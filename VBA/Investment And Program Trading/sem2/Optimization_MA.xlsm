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0490" windowHeight="7575"/>
  </bookViews>
  <sheets>
    <sheet name="回測系統" sheetId="1" r:id="rId1"/>
    <sheet name="工作表1" sheetId="2" r:id="rId2"/>
  </sheets>
  <calcPr calcId="162913"/>
</workbook>
</file>

<file path=xl/calcChain.xml><?xml version="1.0" encoding="utf-8"?>
<calcChain xmlns="http://schemas.openxmlformats.org/spreadsheetml/2006/main">
  <c r="N69" i="1" l="1"/>
  <c r="N93" i="1"/>
  <c r="N112" i="1"/>
  <c r="N132" i="1"/>
  <c r="N156" i="1"/>
  <c r="N175" i="1"/>
  <c r="N194" i="1"/>
  <c r="N219" i="1"/>
  <c r="N239" i="1"/>
  <c r="N263" i="1"/>
  <c r="N281" i="1"/>
  <c r="N296" i="1"/>
  <c r="N314" i="1"/>
  <c r="N338" i="1"/>
  <c r="N358" i="1"/>
  <c r="N376" i="1"/>
  <c r="N401" i="1"/>
  <c r="N421" i="1"/>
  <c r="N443" i="1"/>
  <c r="N463" i="1"/>
  <c r="N483" i="1"/>
  <c r="N507" i="1"/>
  <c r="N521" i="1"/>
  <c r="N540" i="1"/>
  <c r="N563" i="1"/>
  <c r="N582" i="1"/>
  <c r="N601" i="1"/>
  <c r="N625" i="1"/>
  <c r="N645" i="1"/>
  <c r="N669" i="1"/>
  <c r="N686" i="1"/>
  <c r="N706" i="1"/>
  <c r="N731" i="1"/>
  <c r="N750" i="1"/>
  <c r="N764" i="1"/>
  <c r="N783" i="1"/>
  <c r="N806" i="1"/>
  <c r="N825" i="1"/>
  <c r="N849" i="1"/>
  <c r="N869" i="1"/>
  <c r="N889" i="1"/>
  <c r="N914" i="1"/>
  <c r="N932" i="1"/>
  <c r="N952" i="1"/>
  <c r="N977" i="1"/>
  <c r="N996" i="1"/>
  <c r="N1015" i="1"/>
  <c r="N1034" i="1"/>
  <c r="N1052" i="1"/>
  <c r="N1071" i="1"/>
  <c r="N1095" i="1"/>
  <c r="N1115" i="1"/>
  <c r="N1135" i="1"/>
  <c r="N1160" i="1"/>
  <c r="N1178" i="1"/>
  <c r="N1203" i="1"/>
  <c r="N1223" i="1"/>
  <c r="N1242" i="1"/>
  <c r="N1260" i="1"/>
  <c r="N1278" i="1"/>
  <c r="N1296" i="1"/>
  <c r="N1315" i="1"/>
  <c r="N1339" i="1"/>
  <c r="N1359" i="1"/>
  <c r="N1383" i="1"/>
  <c r="N1402" i="1"/>
  <c r="N1419" i="1"/>
  <c r="N1444" i="1"/>
  <c r="N1464" i="1"/>
  <c r="N1483" i="1"/>
  <c r="N1501" i="1"/>
  <c r="N1520" i="1"/>
  <c r="N1538" i="1"/>
  <c r="N1562" i="1"/>
  <c r="N1582" i="1"/>
  <c r="N1600" i="1"/>
  <c r="N1625" i="1"/>
  <c r="N1645" i="1"/>
  <c r="N1662" i="1"/>
  <c r="N61" i="1"/>
  <c r="Y61" i="1" l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60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3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4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M61" i="1" s="1"/>
  <c r="I62" i="1"/>
  <c r="I63" i="1"/>
  <c r="I64" i="1"/>
  <c r="I65" i="1"/>
  <c r="I66" i="1"/>
  <c r="I67" i="1"/>
  <c r="I68" i="1"/>
  <c r="I69" i="1"/>
  <c r="M69" i="1" s="1"/>
  <c r="O69" i="1" s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M93" i="1" s="1"/>
  <c r="O93" i="1" s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M112" i="1" s="1"/>
  <c r="O112" i="1" s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M132" i="1" s="1"/>
  <c r="O132" i="1" s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M156" i="1" s="1"/>
  <c r="O156" i="1" s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M175" i="1" s="1"/>
  <c r="O175" i="1" s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M194" i="1" s="1"/>
  <c r="O194" i="1" s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M219" i="1" s="1"/>
  <c r="O219" i="1" s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M239" i="1" s="1"/>
  <c r="O239" i="1" s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M263" i="1" s="1"/>
  <c r="O263" i="1" s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M281" i="1" s="1"/>
  <c r="O281" i="1" s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M296" i="1" s="1"/>
  <c r="O296" i="1" s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M314" i="1" s="1"/>
  <c r="O314" i="1" s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M338" i="1" s="1"/>
  <c r="O338" i="1" s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M358" i="1" s="1"/>
  <c r="O358" i="1" s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M376" i="1" s="1"/>
  <c r="O376" i="1" s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M401" i="1" s="1"/>
  <c r="O401" i="1" s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M421" i="1" s="1"/>
  <c r="O421" i="1" s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M443" i="1" s="1"/>
  <c r="O443" i="1" s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M463" i="1" s="1"/>
  <c r="O463" i="1" s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M483" i="1" s="1"/>
  <c r="O483" i="1" s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M507" i="1" s="1"/>
  <c r="O507" i="1" s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M521" i="1" s="1"/>
  <c r="O521" i="1" s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M540" i="1" s="1"/>
  <c r="O540" i="1" s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M563" i="1" s="1"/>
  <c r="O563" i="1" s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M582" i="1" s="1"/>
  <c r="O582" i="1" s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M601" i="1" s="1"/>
  <c r="O601" i="1" s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M625" i="1" s="1"/>
  <c r="O625" i="1" s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M645" i="1" s="1"/>
  <c r="O645" i="1" s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M669" i="1" s="1"/>
  <c r="O669" i="1" s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M686" i="1" s="1"/>
  <c r="O686" i="1" s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M706" i="1" s="1"/>
  <c r="O706" i="1" s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M731" i="1" s="1"/>
  <c r="O731" i="1" s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M750" i="1" s="1"/>
  <c r="O750" i="1" s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M764" i="1" s="1"/>
  <c r="O764" i="1" s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M783" i="1" s="1"/>
  <c r="O783" i="1" s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M806" i="1" s="1"/>
  <c r="O806" i="1" s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M825" i="1" s="1"/>
  <c r="O825" i="1" s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M849" i="1" s="1"/>
  <c r="O849" i="1" s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M869" i="1" s="1"/>
  <c r="O869" i="1" s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M889" i="1" s="1"/>
  <c r="O889" i="1" s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M914" i="1" s="1"/>
  <c r="O914" i="1" s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M932" i="1" s="1"/>
  <c r="O932" i="1" s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M952" i="1" s="1"/>
  <c r="O952" i="1" s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M977" i="1" s="1"/>
  <c r="O977" i="1" s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M996" i="1" s="1"/>
  <c r="O996" i="1" s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M1015" i="1" s="1"/>
  <c r="O1015" i="1" s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M1034" i="1" s="1"/>
  <c r="O1034" i="1" s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M1052" i="1" s="1"/>
  <c r="O1052" i="1" s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M1071" i="1" s="1"/>
  <c r="O1071" i="1" s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M1095" i="1" s="1"/>
  <c r="O1095" i="1" s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M1115" i="1" s="1"/>
  <c r="O1115" i="1" s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M1135" i="1" s="1"/>
  <c r="O1135" i="1" s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M1160" i="1" s="1"/>
  <c r="O1160" i="1" s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M1178" i="1" s="1"/>
  <c r="O1178" i="1" s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M1203" i="1" s="1"/>
  <c r="O1203" i="1" s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M1223" i="1" s="1"/>
  <c r="O1223" i="1" s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M1242" i="1" s="1"/>
  <c r="O1242" i="1" s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M1260" i="1" s="1"/>
  <c r="O1260" i="1" s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M1278" i="1" s="1"/>
  <c r="O1278" i="1" s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M1296" i="1" s="1"/>
  <c r="O1296" i="1" s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M1315" i="1" s="1"/>
  <c r="O1315" i="1" s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M1339" i="1" s="1"/>
  <c r="O1339" i="1" s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M1359" i="1" s="1"/>
  <c r="O1359" i="1" s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M1383" i="1" s="1"/>
  <c r="O1383" i="1" s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M1402" i="1" s="1"/>
  <c r="O1402" i="1" s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M1419" i="1" s="1"/>
  <c r="O1419" i="1" s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M1444" i="1" s="1"/>
  <c r="O1444" i="1" s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M1464" i="1" s="1"/>
  <c r="O1464" i="1" s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M1483" i="1" s="1"/>
  <c r="O1483" i="1" s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M1501" i="1" s="1"/>
  <c r="O1501" i="1" s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M1520" i="1" s="1"/>
  <c r="O1520" i="1" s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M1538" i="1" s="1"/>
  <c r="O1538" i="1" s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M1562" i="1" s="1"/>
  <c r="O1562" i="1" s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M1582" i="1" s="1"/>
  <c r="O1582" i="1" s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M1600" i="1" s="1"/>
  <c r="O1600" i="1" s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M1625" i="1" s="1"/>
  <c r="O1625" i="1" s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M1645" i="1" s="1"/>
  <c r="O1645" i="1" s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M1662" i="1" s="1"/>
  <c r="O1662" i="1" s="1"/>
  <c r="I3" i="1"/>
  <c r="O61" i="1" l="1"/>
  <c r="P61" i="1"/>
  <c r="Z61" i="1"/>
  <c r="Z1654" i="1"/>
  <c r="L1654" i="1" s="1"/>
  <c r="Z966" i="1"/>
  <c r="L966" i="1" s="1"/>
  <c r="Z958" i="1"/>
  <c r="L958" i="1" s="1"/>
  <c r="Z950" i="1"/>
  <c r="L950" i="1" s="1"/>
  <c r="Z942" i="1"/>
  <c r="L942" i="1" s="1"/>
  <c r="Z934" i="1"/>
  <c r="L934" i="1" s="1"/>
  <c r="Z926" i="1"/>
  <c r="L926" i="1" s="1"/>
  <c r="Z1656" i="1"/>
  <c r="L1656" i="1" s="1"/>
  <c r="Z1648" i="1"/>
  <c r="L1648" i="1" s="1"/>
  <c r="Z1640" i="1"/>
  <c r="L1640" i="1" s="1"/>
  <c r="Z1632" i="1"/>
  <c r="L1632" i="1" s="1"/>
  <c r="Z1624" i="1"/>
  <c r="L1624" i="1" s="1"/>
  <c r="Z1616" i="1"/>
  <c r="L1616" i="1" s="1"/>
  <c r="Z1608" i="1"/>
  <c r="L1608" i="1" s="1"/>
  <c r="Z1600" i="1"/>
  <c r="L1600" i="1" s="1"/>
  <c r="M1601" i="1" s="1"/>
  <c r="N1601" i="1" s="1"/>
  <c r="Z1592" i="1"/>
  <c r="L1592" i="1" s="1"/>
  <c r="Z1584" i="1"/>
  <c r="L1584" i="1" s="1"/>
  <c r="Z1576" i="1"/>
  <c r="L1576" i="1" s="1"/>
  <c r="Z1568" i="1"/>
  <c r="L1568" i="1" s="1"/>
  <c r="Z1560" i="1"/>
  <c r="L1560" i="1" s="1"/>
  <c r="Z1552" i="1"/>
  <c r="L1552" i="1" s="1"/>
  <c r="Z1544" i="1"/>
  <c r="L1544" i="1" s="1"/>
  <c r="Z1536" i="1"/>
  <c r="L1536" i="1" s="1"/>
  <c r="Z1528" i="1"/>
  <c r="L1528" i="1" s="1"/>
  <c r="Z1520" i="1"/>
  <c r="L1520" i="1" s="1"/>
  <c r="M1521" i="1" s="1"/>
  <c r="N1521" i="1" s="1"/>
  <c r="Z1512" i="1"/>
  <c r="L1512" i="1" s="1"/>
  <c r="Z1504" i="1"/>
  <c r="L1504" i="1" s="1"/>
  <c r="Z1496" i="1"/>
  <c r="L1496" i="1" s="1"/>
  <c r="Z1488" i="1"/>
  <c r="L1488" i="1" s="1"/>
  <c r="Z1480" i="1"/>
  <c r="L1480" i="1" s="1"/>
  <c r="Z1472" i="1"/>
  <c r="L1472" i="1" s="1"/>
  <c r="Z1464" i="1"/>
  <c r="L1464" i="1" s="1"/>
  <c r="M1465" i="1" s="1"/>
  <c r="N1465" i="1" s="1"/>
  <c r="Z1456" i="1"/>
  <c r="L1456" i="1" s="1"/>
  <c r="Z1448" i="1"/>
  <c r="L1448" i="1" s="1"/>
  <c r="Z1440" i="1"/>
  <c r="L1440" i="1" s="1"/>
  <c r="Z1432" i="1"/>
  <c r="L1432" i="1" s="1"/>
  <c r="Z1424" i="1"/>
  <c r="L1424" i="1" s="1"/>
  <c r="Z1662" i="1"/>
  <c r="L1662" i="1" s="1"/>
  <c r="Z1646" i="1"/>
  <c r="L1646" i="1" s="1"/>
  <c r="Z1638" i="1"/>
  <c r="L1638" i="1" s="1"/>
  <c r="Z1630" i="1"/>
  <c r="L1630" i="1" s="1"/>
  <c r="Z1622" i="1"/>
  <c r="L1622" i="1" s="1"/>
  <c r="Z1614" i="1"/>
  <c r="Z1606" i="1"/>
  <c r="L1606" i="1" s="1"/>
  <c r="Z1598" i="1"/>
  <c r="L1598" i="1" s="1"/>
  <c r="Z1590" i="1"/>
  <c r="L1590" i="1" s="1"/>
  <c r="Z1582" i="1"/>
  <c r="L1582" i="1" s="1"/>
  <c r="M1583" i="1" s="1"/>
  <c r="N1583" i="1" s="1"/>
  <c r="Z1574" i="1"/>
  <c r="L1574" i="1" s="1"/>
  <c r="Z1566" i="1"/>
  <c r="L1566" i="1" s="1"/>
  <c r="Z1558" i="1"/>
  <c r="L1558" i="1" s="1"/>
  <c r="Z1550" i="1"/>
  <c r="L1550" i="1" s="1"/>
  <c r="Z1542" i="1"/>
  <c r="L1542" i="1" s="1"/>
  <c r="Z1534" i="1"/>
  <c r="L1534" i="1" s="1"/>
  <c r="Z1526" i="1"/>
  <c r="L1526" i="1" s="1"/>
  <c r="Z1518" i="1"/>
  <c r="L1518" i="1" s="1"/>
  <c r="Z1510" i="1"/>
  <c r="L1510" i="1" s="1"/>
  <c r="Z1502" i="1"/>
  <c r="L1502" i="1" s="1"/>
  <c r="Z1494" i="1"/>
  <c r="L1494" i="1" s="1"/>
  <c r="Z1486" i="1"/>
  <c r="L1486" i="1" s="1"/>
  <c r="Z1478" i="1"/>
  <c r="L1478" i="1" s="1"/>
  <c r="Z1470" i="1"/>
  <c r="L1470" i="1" s="1"/>
  <c r="Z1462" i="1"/>
  <c r="L1462" i="1" s="1"/>
  <c r="Z1454" i="1"/>
  <c r="L1454" i="1" s="1"/>
  <c r="Z1446" i="1"/>
  <c r="L1446" i="1" s="1"/>
  <c r="Z1438" i="1"/>
  <c r="L1438" i="1" s="1"/>
  <c r="Z1430" i="1"/>
  <c r="L1430" i="1" s="1"/>
  <c r="Z1422" i="1"/>
  <c r="L1422" i="1" s="1"/>
  <c r="Z1414" i="1"/>
  <c r="L1414" i="1" s="1"/>
  <c r="Z1406" i="1"/>
  <c r="L1406" i="1" s="1"/>
  <c r="Z1398" i="1"/>
  <c r="L1398" i="1" s="1"/>
  <c r="Z1390" i="1"/>
  <c r="L1390" i="1" s="1"/>
  <c r="Z1382" i="1"/>
  <c r="L1382" i="1" s="1"/>
  <c r="Z1374" i="1"/>
  <c r="L1374" i="1" s="1"/>
  <c r="Z1366" i="1"/>
  <c r="L1366" i="1" s="1"/>
  <c r="Z1358" i="1"/>
  <c r="L1358" i="1" s="1"/>
  <c r="Z1350" i="1"/>
  <c r="L1350" i="1" s="1"/>
  <c r="Z1342" i="1"/>
  <c r="L1342" i="1" s="1"/>
  <c r="Z1334" i="1"/>
  <c r="L1334" i="1" s="1"/>
  <c r="Z1326" i="1"/>
  <c r="L1326" i="1" s="1"/>
  <c r="Z1318" i="1"/>
  <c r="L1318" i="1" s="1"/>
  <c r="Z1310" i="1"/>
  <c r="L1310" i="1" s="1"/>
  <c r="Z1302" i="1"/>
  <c r="L1302" i="1" s="1"/>
  <c r="Z1294" i="1"/>
  <c r="L1294" i="1" s="1"/>
  <c r="Z1286" i="1"/>
  <c r="L1286" i="1" s="1"/>
  <c r="Z1278" i="1"/>
  <c r="L1278" i="1" s="1"/>
  <c r="M1279" i="1" s="1"/>
  <c r="N1279" i="1" s="1"/>
  <c r="Z1270" i="1"/>
  <c r="L1270" i="1" s="1"/>
  <c r="Z1262" i="1"/>
  <c r="L1262" i="1" s="1"/>
  <c r="Z1254" i="1"/>
  <c r="L1254" i="1" s="1"/>
  <c r="Z1246" i="1"/>
  <c r="L1246" i="1" s="1"/>
  <c r="Z1238" i="1"/>
  <c r="L1238" i="1" s="1"/>
  <c r="Z1230" i="1"/>
  <c r="L1230" i="1" s="1"/>
  <c r="Z1222" i="1"/>
  <c r="L1222" i="1" s="1"/>
  <c r="Z1214" i="1"/>
  <c r="L1214" i="1" s="1"/>
  <c r="Z1206" i="1"/>
  <c r="L1206" i="1" s="1"/>
  <c r="Z1198" i="1"/>
  <c r="L1198" i="1" s="1"/>
  <c r="Z1190" i="1"/>
  <c r="L1190" i="1" s="1"/>
  <c r="Z1182" i="1"/>
  <c r="L1182" i="1" s="1"/>
  <c r="Z1174" i="1"/>
  <c r="L1174" i="1" s="1"/>
  <c r="Z1166" i="1"/>
  <c r="L1166" i="1" s="1"/>
  <c r="Z1158" i="1"/>
  <c r="L1158" i="1" s="1"/>
  <c r="Z1150" i="1"/>
  <c r="L1150" i="1" s="1"/>
  <c r="Z1142" i="1"/>
  <c r="L1142" i="1" s="1"/>
  <c r="Z1134" i="1"/>
  <c r="L1134" i="1" s="1"/>
  <c r="Z1126" i="1"/>
  <c r="L1126" i="1" s="1"/>
  <c r="Z1118" i="1"/>
  <c r="L1118" i="1" s="1"/>
  <c r="Z1110" i="1"/>
  <c r="L1110" i="1" s="1"/>
  <c r="Z1102" i="1"/>
  <c r="L1102" i="1" s="1"/>
  <c r="Z1094" i="1"/>
  <c r="L1094" i="1" s="1"/>
  <c r="Z1086" i="1"/>
  <c r="L1086" i="1" s="1"/>
  <c r="Z1078" i="1"/>
  <c r="L1078" i="1" s="1"/>
  <c r="Z1070" i="1"/>
  <c r="L1070" i="1" s="1"/>
  <c r="Z1062" i="1"/>
  <c r="L1062" i="1" s="1"/>
  <c r="Z1054" i="1"/>
  <c r="L1054" i="1" s="1"/>
  <c r="Z1046" i="1"/>
  <c r="L1046" i="1" s="1"/>
  <c r="Z1038" i="1"/>
  <c r="L1038" i="1" s="1"/>
  <c r="Z1030" i="1"/>
  <c r="L1030" i="1" s="1"/>
  <c r="Z1022" i="1"/>
  <c r="L1022" i="1" s="1"/>
  <c r="Z1014" i="1"/>
  <c r="L1014" i="1" s="1"/>
  <c r="Z1006" i="1"/>
  <c r="L1006" i="1" s="1"/>
  <c r="Z998" i="1"/>
  <c r="L998" i="1" s="1"/>
  <c r="Z990" i="1"/>
  <c r="L990" i="1" s="1"/>
  <c r="Z982" i="1"/>
  <c r="L982" i="1" s="1"/>
  <c r="Z974" i="1"/>
  <c r="L974" i="1" s="1"/>
  <c r="Z1658" i="1"/>
  <c r="L1658" i="1" s="1"/>
  <c r="Z1650" i="1"/>
  <c r="L1650" i="1" s="1"/>
  <c r="Z1642" i="1"/>
  <c r="L1642" i="1" s="1"/>
  <c r="Z1634" i="1"/>
  <c r="L1634" i="1" s="1"/>
  <c r="Z1626" i="1"/>
  <c r="L1626" i="1" s="1"/>
  <c r="Z1618" i="1"/>
  <c r="L1618" i="1" s="1"/>
  <c r="Z1610" i="1"/>
  <c r="L1610" i="1" s="1"/>
  <c r="Z1602" i="1"/>
  <c r="L1602" i="1" s="1"/>
  <c r="Z1594" i="1"/>
  <c r="L1594" i="1" s="1"/>
  <c r="Z1586" i="1"/>
  <c r="L1586" i="1" s="1"/>
  <c r="Z1578" i="1"/>
  <c r="L1578" i="1" s="1"/>
  <c r="Z1570" i="1"/>
  <c r="L1570" i="1" s="1"/>
  <c r="Z1562" i="1"/>
  <c r="L1562" i="1" s="1"/>
  <c r="M1563" i="1" s="1"/>
  <c r="N1563" i="1" s="1"/>
  <c r="Z1554" i="1"/>
  <c r="L1554" i="1" s="1"/>
  <c r="Z1546" i="1"/>
  <c r="L1546" i="1" s="1"/>
  <c r="Z1538" i="1"/>
  <c r="L1538" i="1" s="1"/>
  <c r="M1539" i="1" s="1"/>
  <c r="N1539" i="1" s="1"/>
  <c r="Z1530" i="1"/>
  <c r="L1530" i="1" s="1"/>
  <c r="Z1522" i="1"/>
  <c r="L1522" i="1" s="1"/>
  <c r="Z1514" i="1"/>
  <c r="L1514" i="1" s="1"/>
  <c r="Z1506" i="1"/>
  <c r="L1506" i="1" s="1"/>
  <c r="Z1498" i="1"/>
  <c r="L1498" i="1" s="1"/>
  <c r="Z1490" i="1"/>
  <c r="L1490" i="1" s="1"/>
  <c r="Z1482" i="1"/>
  <c r="L1482" i="1" s="1"/>
  <c r="Z1474" i="1"/>
  <c r="L1474" i="1" s="1"/>
  <c r="Z1466" i="1"/>
  <c r="L1466" i="1" s="1"/>
  <c r="Z1458" i="1"/>
  <c r="L1458" i="1" s="1"/>
  <c r="Z1450" i="1"/>
  <c r="L1450" i="1" s="1"/>
  <c r="Z1442" i="1"/>
  <c r="L1442" i="1" s="1"/>
  <c r="Z1434" i="1"/>
  <c r="L1434" i="1" s="1"/>
  <c r="Z1426" i="1"/>
  <c r="L1426" i="1" s="1"/>
  <c r="Z1418" i="1"/>
  <c r="L1418" i="1" s="1"/>
  <c r="Z1410" i="1"/>
  <c r="L1410" i="1" s="1"/>
  <c r="Z1402" i="1"/>
  <c r="L1402" i="1" s="1"/>
  <c r="M1403" i="1" s="1"/>
  <c r="N1403" i="1" s="1"/>
  <c r="Z1394" i="1"/>
  <c r="L1394" i="1" s="1"/>
  <c r="Z1386" i="1"/>
  <c r="L1386" i="1" s="1"/>
  <c r="Z1378" i="1"/>
  <c r="L1378" i="1" s="1"/>
  <c r="Z1370" i="1"/>
  <c r="L1370" i="1" s="1"/>
  <c r="Z1362" i="1"/>
  <c r="L1362" i="1" s="1"/>
  <c r="Z1354" i="1"/>
  <c r="L1354" i="1" s="1"/>
  <c r="Z1346" i="1"/>
  <c r="L1346" i="1" s="1"/>
  <c r="Z1338" i="1"/>
  <c r="L1338" i="1" s="1"/>
  <c r="Z1330" i="1"/>
  <c r="L1330" i="1" s="1"/>
  <c r="Z1322" i="1"/>
  <c r="L1322" i="1" s="1"/>
  <c r="Z1314" i="1"/>
  <c r="L1314" i="1" s="1"/>
  <c r="Z1306" i="1"/>
  <c r="L1306" i="1" s="1"/>
  <c r="Z1298" i="1"/>
  <c r="L1298" i="1" s="1"/>
  <c r="Z1290" i="1"/>
  <c r="L1290" i="1" s="1"/>
  <c r="Z1282" i="1"/>
  <c r="L1282" i="1" s="1"/>
  <c r="Z1274" i="1"/>
  <c r="L1274" i="1" s="1"/>
  <c r="Z1266" i="1"/>
  <c r="L1266" i="1" s="1"/>
  <c r="Z1258" i="1"/>
  <c r="L1258" i="1" s="1"/>
  <c r="Z1250" i="1"/>
  <c r="L1250" i="1" s="1"/>
  <c r="Z1242" i="1"/>
  <c r="L1242" i="1" s="1"/>
  <c r="M1243" i="1" s="1"/>
  <c r="N1243" i="1" s="1"/>
  <c r="Z1234" i="1"/>
  <c r="L1234" i="1" s="1"/>
  <c r="Z1226" i="1"/>
  <c r="L1226" i="1" s="1"/>
  <c r="Z1218" i="1"/>
  <c r="L1218" i="1" s="1"/>
  <c r="Z1210" i="1"/>
  <c r="L1210" i="1" s="1"/>
  <c r="Z1202" i="1"/>
  <c r="L1202" i="1" s="1"/>
  <c r="Z1194" i="1"/>
  <c r="L1194" i="1" s="1"/>
  <c r="Z1186" i="1"/>
  <c r="L1186" i="1" s="1"/>
  <c r="Z1178" i="1"/>
  <c r="L1178" i="1" s="1"/>
  <c r="M1179" i="1" s="1"/>
  <c r="N1179" i="1" s="1"/>
  <c r="Z1170" i="1"/>
  <c r="L1170" i="1" s="1"/>
  <c r="Z1162" i="1"/>
  <c r="L1162" i="1" s="1"/>
  <c r="Z1154" i="1"/>
  <c r="L1154" i="1" s="1"/>
  <c r="Z1146" i="1"/>
  <c r="L1146" i="1" s="1"/>
  <c r="Z1138" i="1"/>
  <c r="L1138" i="1" s="1"/>
  <c r="Z1130" i="1"/>
  <c r="L1130" i="1" s="1"/>
  <c r="Z1122" i="1"/>
  <c r="L1122" i="1" s="1"/>
  <c r="Z1114" i="1"/>
  <c r="L1114" i="1" s="1"/>
  <c r="Z1106" i="1"/>
  <c r="L1106" i="1" s="1"/>
  <c r="Z1098" i="1"/>
  <c r="L1098" i="1" s="1"/>
  <c r="Z1090" i="1"/>
  <c r="L1090" i="1" s="1"/>
  <c r="Z1082" i="1"/>
  <c r="L1082" i="1" s="1"/>
  <c r="Z1074" i="1"/>
  <c r="L1074" i="1" s="1"/>
  <c r="Z1066" i="1"/>
  <c r="L1066" i="1" s="1"/>
  <c r="Z1058" i="1"/>
  <c r="L1058" i="1" s="1"/>
  <c r="Z1050" i="1"/>
  <c r="L1050" i="1" s="1"/>
  <c r="Z1042" i="1"/>
  <c r="L1042" i="1" s="1"/>
  <c r="Z1034" i="1"/>
  <c r="L1034" i="1" s="1"/>
  <c r="M1035" i="1" s="1"/>
  <c r="N1035" i="1" s="1"/>
  <c r="Z1026" i="1"/>
  <c r="L1026" i="1" s="1"/>
  <c r="Z1018" i="1"/>
  <c r="L1018" i="1" s="1"/>
  <c r="Z1010" i="1"/>
  <c r="L1010" i="1" s="1"/>
  <c r="Z1002" i="1"/>
  <c r="L1002" i="1" s="1"/>
  <c r="Z994" i="1"/>
  <c r="L994" i="1" s="1"/>
  <c r="Z986" i="1"/>
  <c r="L986" i="1" s="1"/>
  <c r="Z978" i="1"/>
  <c r="L978" i="1" s="1"/>
  <c r="Z970" i="1"/>
  <c r="L970" i="1" s="1"/>
  <c r="Z962" i="1"/>
  <c r="L962" i="1" s="1"/>
  <c r="Z954" i="1"/>
  <c r="L954" i="1" s="1"/>
  <c r="Z946" i="1"/>
  <c r="L946" i="1" s="1"/>
  <c r="Z938" i="1"/>
  <c r="L938" i="1" s="1"/>
  <c r="Z930" i="1"/>
  <c r="L930" i="1" s="1"/>
  <c r="Z922" i="1"/>
  <c r="L922" i="1" s="1"/>
  <c r="Z914" i="1"/>
  <c r="L914" i="1" s="1"/>
  <c r="M915" i="1" s="1"/>
  <c r="N915" i="1" s="1"/>
  <c r="Z906" i="1"/>
  <c r="L906" i="1" s="1"/>
  <c r="Z898" i="1"/>
  <c r="L898" i="1" s="1"/>
  <c r="Z890" i="1"/>
  <c r="L890" i="1" s="1"/>
  <c r="Z882" i="1"/>
  <c r="L882" i="1" s="1"/>
  <c r="Z874" i="1"/>
  <c r="L874" i="1" s="1"/>
  <c r="Z866" i="1"/>
  <c r="L866" i="1" s="1"/>
  <c r="Z858" i="1"/>
  <c r="L858" i="1" s="1"/>
  <c r="Z850" i="1"/>
  <c r="L850" i="1" s="1"/>
  <c r="Z842" i="1"/>
  <c r="L842" i="1" s="1"/>
  <c r="Z834" i="1"/>
  <c r="L834" i="1" s="1"/>
  <c r="Z826" i="1"/>
  <c r="L826" i="1" s="1"/>
  <c r="Z818" i="1"/>
  <c r="L818" i="1" s="1"/>
  <c r="Z810" i="1"/>
  <c r="L810" i="1" s="1"/>
  <c r="Z802" i="1"/>
  <c r="L802" i="1" s="1"/>
  <c r="Z794" i="1"/>
  <c r="L794" i="1" s="1"/>
  <c r="Z786" i="1"/>
  <c r="L786" i="1" s="1"/>
  <c r="Z778" i="1"/>
  <c r="L778" i="1" s="1"/>
  <c r="Z770" i="1"/>
  <c r="L770" i="1" s="1"/>
  <c r="Z762" i="1"/>
  <c r="L762" i="1" s="1"/>
  <c r="Z754" i="1"/>
  <c r="L754" i="1" s="1"/>
  <c r="Z746" i="1"/>
  <c r="L746" i="1" s="1"/>
  <c r="Z918" i="1"/>
  <c r="L918" i="1" s="1"/>
  <c r="Z910" i="1"/>
  <c r="L910" i="1" s="1"/>
  <c r="Z902" i="1"/>
  <c r="L902" i="1" s="1"/>
  <c r="Z894" i="1"/>
  <c r="L894" i="1" s="1"/>
  <c r="Z886" i="1"/>
  <c r="L886" i="1" s="1"/>
  <c r="Z878" i="1"/>
  <c r="L878" i="1" s="1"/>
  <c r="Z870" i="1"/>
  <c r="L870" i="1" s="1"/>
  <c r="Z862" i="1"/>
  <c r="L862" i="1" s="1"/>
  <c r="Z854" i="1"/>
  <c r="L854" i="1" s="1"/>
  <c r="Z846" i="1"/>
  <c r="L846" i="1" s="1"/>
  <c r="Z838" i="1"/>
  <c r="L838" i="1" s="1"/>
  <c r="Z830" i="1"/>
  <c r="L830" i="1" s="1"/>
  <c r="Z342" i="1"/>
  <c r="Z334" i="1"/>
  <c r="Z326" i="1"/>
  <c r="Z318" i="1"/>
  <c r="Z310" i="1"/>
  <c r="Z302" i="1"/>
  <c r="Z294" i="1"/>
  <c r="Z286" i="1"/>
  <c r="Z278" i="1"/>
  <c r="Z270" i="1"/>
  <c r="Z262" i="1"/>
  <c r="Z254" i="1"/>
  <c r="Z246" i="1"/>
  <c r="Z238" i="1"/>
  <c r="Z230" i="1"/>
  <c r="Z222" i="1"/>
  <c r="Z214" i="1"/>
  <c r="Z206" i="1"/>
  <c r="Z198" i="1"/>
  <c r="Z190" i="1"/>
  <c r="Z182" i="1"/>
  <c r="Z174" i="1"/>
  <c r="Z166" i="1"/>
  <c r="Z158" i="1"/>
  <c r="Z150" i="1"/>
  <c r="Z142" i="1"/>
  <c r="Z134" i="1"/>
  <c r="Z126" i="1"/>
  <c r="Z118" i="1"/>
  <c r="Z110" i="1"/>
  <c r="Z102" i="1"/>
  <c r="Z94" i="1"/>
  <c r="Z86" i="1"/>
  <c r="Z78" i="1"/>
  <c r="Z70" i="1"/>
  <c r="Z62" i="1"/>
  <c r="Z738" i="1"/>
  <c r="L738" i="1" s="1"/>
  <c r="Z730" i="1"/>
  <c r="Z722" i="1"/>
  <c r="Z714" i="1"/>
  <c r="Z706" i="1"/>
  <c r="Z698" i="1"/>
  <c r="Z690" i="1"/>
  <c r="Z682" i="1"/>
  <c r="Z674" i="1"/>
  <c r="Z666" i="1"/>
  <c r="Z658" i="1"/>
  <c r="Z650" i="1"/>
  <c r="Z642" i="1"/>
  <c r="Z634" i="1"/>
  <c r="Z626" i="1"/>
  <c r="Z618" i="1"/>
  <c r="Z610" i="1"/>
  <c r="Z602" i="1"/>
  <c r="Z594" i="1"/>
  <c r="Z586" i="1"/>
  <c r="Z578" i="1"/>
  <c r="Z570" i="1"/>
  <c r="Z562" i="1"/>
  <c r="Z554" i="1"/>
  <c r="Z546" i="1"/>
  <c r="Z538" i="1"/>
  <c r="Z530" i="1"/>
  <c r="Z522" i="1"/>
  <c r="Z514" i="1"/>
  <c r="Z506" i="1"/>
  <c r="Z498" i="1"/>
  <c r="Z490" i="1"/>
  <c r="Z482" i="1"/>
  <c r="Z474" i="1"/>
  <c r="Z466" i="1"/>
  <c r="Z458" i="1"/>
  <c r="Z450" i="1"/>
  <c r="Z442" i="1"/>
  <c r="Z434" i="1"/>
  <c r="Z426" i="1"/>
  <c r="Z418" i="1"/>
  <c r="Z410" i="1"/>
  <c r="Z402" i="1"/>
  <c r="Z394" i="1"/>
  <c r="Z386" i="1"/>
  <c r="Z378" i="1"/>
  <c r="Z370" i="1"/>
  <c r="Z362" i="1"/>
  <c r="Z354" i="1"/>
  <c r="Z346" i="1"/>
  <c r="Z338" i="1"/>
  <c r="Z330" i="1"/>
  <c r="Z322" i="1"/>
  <c r="Z314" i="1"/>
  <c r="Z306" i="1"/>
  <c r="Z298" i="1"/>
  <c r="Z290" i="1"/>
  <c r="Z282" i="1"/>
  <c r="Z274" i="1"/>
  <c r="Z266" i="1"/>
  <c r="Z258" i="1"/>
  <c r="Z250" i="1"/>
  <c r="Z242" i="1"/>
  <c r="Z234" i="1"/>
  <c r="Z226" i="1"/>
  <c r="Z218" i="1"/>
  <c r="Z210" i="1"/>
  <c r="Z202" i="1"/>
  <c r="Z194" i="1"/>
  <c r="Z186" i="1"/>
  <c r="Z178" i="1"/>
  <c r="Z170" i="1"/>
  <c r="Z162" i="1"/>
  <c r="Z154" i="1"/>
  <c r="Z146" i="1"/>
  <c r="Z138" i="1"/>
  <c r="Z130" i="1"/>
  <c r="Z122" i="1"/>
  <c r="Z114" i="1"/>
  <c r="Z106" i="1"/>
  <c r="Z98" i="1"/>
  <c r="Z90" i="1"/>
  <c r="Z82" i="1"/>
  <c r="Z74" i="1"/>
  <c r="Z66" i="1"/>
  <c r="Z1416" i="1"/>
  <c r="L1416" i="1" s="1"/>
  <c r="Z1659" i="1"/>
  <c r="L1659" i="1" s="1"/>
  <c r="Z1651" i="1"/>
  <c r="L1651" i="1" s="1"/>
  <c r="Z1643" i="1"/>
  <c r="L1643" i="1" s="1"/>
  <c r="Z1635" i="1"/>
  <c r="L1635" i="1" s="1"/>
  <c r="Z1627" i="1"/>
  <c r="L1627" i="1" s="1"/>
  <c r="Z1619" i="1"/>
  <c r="L1619" i="1" s="1"/>
  <c r="Z1611" i="1"/>
  <c r="L1611" i="1" s="1"/>
  <c r="Z1603" i="1"/>
  <c r="L1603" i="1" s="1"/>
  <c r="Z1595" i="1"/>
  <c r="L1595" i="1" s="1"/>
  <c r="Z1587" i="1"/>
  <c r="L1587" i="1" s="1"/>
  <c r="Z1579" i="1"/>
  <c r="L1579" i="1" s="1"/>
  <c r="Z1571" i="1"/>
  <c r="L1571" i="1" s="1"/>
  <c r="Z1563" i="1"/>
  <c r="L1563" i="1" s="1"/>
  <c r="Z1555" i="1"/>
  <c r="L1555" i="1" s="1"/>
  <c r="Z1547" i="1"/>
  <c r="L1547" i="1" s="1"/>
  <c r="Z1539" i="1"/>
  <c r="L1539" i="1" s="1"/>
  <c r="Z1531" i="1"/>
  <c r="L1531" i="1" s="1"/>
  <c r="Z1523" i="1"/>
  <c r="L1523" i="1" s="1"/>
  <c r="Z1515" i="1"/>
  <c r="L1515" i="1" s="1"/>
  <c r="Z1507" i="1"/>
  <c r="L1507" i="1" s="1"/>
  <c r="Z1499" i="1"/>
  <c r="L1499" i="1" s="1"/>
  <c r="Z1491" i="1"/>
  <c r="L1491" i="1" s="1"/>
  <c r="Z1483" i="1"/>
  <c r="L1483" i="1" s="1"/>
  <c r="M1484" i="1" s="1"/>
  <c r="N1484" i="1" s="1"/>
  <c r="Z1475" i="1"/>
  <c r="L1475" i="1" s="1"/>
  <c r="Z1467" i="1"/>
  <c r="L1467" i="1" s="1"/>
  <c r="Z1459" i="1"/>
  <c r="L1459" i="1" s="1"/>
  <c r="Z1451" i="1"/>
  <c r="L1451" i="1" s="1"/>
  <c r="Z1443" i="1"/>
  <c r="L1443" i="1" s="1"/>
  <c r="Z1435" i="1"/>
  <c r="L1435" i="1" s="1"/>
  <c r="Z1427" i="1"/>
  <c r="L1427" i="1" s="1"/>
  <c r="Z1419" i="1"/>
  <c r="L1419" i="1" s="1"/>
  <c r="M1420" i="1" s="1"/>
  <c r="N1420" i="1" s="1"/>
  <c r="Z1411" i="1"/>
  <c r="L1411" i="1" s="1"/>
  <c r="Z1408" i="1"/>
  <c r="L1408" i="1" s="1"/>
  <c r="Z1400" i="1"/>
  <c r="L1400" i="1" s="1"/>
  <c r="Z1392" i="1"/>
  <c r="L1392" i="1" s="1"/>
  <c r="Z1384" i="1"/>
  <c r="L1384" i="1" s="1"/>
  <c r="Z1376" i="1"/>
  <c r="L1376" i="1" s="1"/>
  <c r="Z1368" i="1"/>
  <c r="L1368" i="1" s="1"/>
  <c r="Z1360" i="1"/>
  <c r="L1360" i="1" s="1"/>
  <c r="Z1352" i="1"/>
  <c r="L1352" i="1" s="1"/>
  <c r="Z1344" i="1"/>
  <c r="L1344" i="1" s="1"/>
  <c r="Z1336" i="1"/>
  <c r="L1336" i="1" s="1"/>
  <c r="Z1328" i="1"/>
  <c r="L1328" i="1" s="1"/>
  <c r="Z1320" i="1"/>
  <c r="L1320" i="1" s="1"/>
  <c r="Z1312" i="1"/>
  <c r="L1312" i="1" s="1"/>
  <c r="Z1304" i="1"/>
  <c r="L1304" i="1" s="1"/>
  <c r="Z1296" i="1"/>
  <c r="L1296" i="1" s="1"/>
  <c r="M1297" i="1" s="1"/>
  <c r="N1297" i="1" s="1"/>
  <c r="Z1288" i="1"/>
  <c r="L1288" i="1" s="1"/>
  <c r="Z1280" i="1"/>
  <c r="L1280" i="1" s="1"/>
  <c r="Z1272" i="1"/>
  <c r="L1272" i="1" s="1"/>
  <c r="Z1264" i="1"/>
  <c r="L1264" i="1" s="1"/>
  <c r="Z1256" i="1"/>
  <c r="L1256" i="1" s="1"/>
  <c r="Z1248" i="1"/>
  <c r="L1248" i="1" s="1"/>
  <c r="Z1240" i="1"/>
  <c r="L1240" i="1" s="1"/>
  <c r="Z1232" i="1"/>
  <c r="L1232" i="1" s="1"/>
  <c r="Z1224" i="1"/>
  <c r="L1224" i="1" s="1"/>
  <c r="Z1216" i="1"/>
  <c r="L1216" i="1" s="1"/>
  <c r="Z1208" i="1"/>
  <c r="L1208" i="1" s="1"/>
  <c r="Z1200" i="1"/>
  <c r="L1200" i="1" s="1"/>
  <c r="Z1192" i="1"/>
  <c r="L1192" i="1" s="1"/>
  <c r="Z1184" i="1"/>
  <c r="L1184" i="1" s="1"/>
  <c r="Z1176" i="1"/>
  <c r="L1176" i="1" s="1"/>
  <c r="Z1168" i="1"/>
  <c r="L1168" i="1" s="1"/>
  <c r="Z1160" i="1"/>
  <c r="L1160" i="1" s="1"/>
  <c r="M1161" i="1" s="1"/>
  <c r="N1161" i="1" s="1"/>
  <c r="Z1152" i="1"/>
  <c r="L1152" i="1" s="1"/>
  <c r="Z1144" i="1"/>
  <c r="L1144" i="1" s="1"/>
  <c r="Z1136" i="1"/>
  <c r="L1136" i="1" s="1"/>
  <c r="Z1128" i="1"/>
  <c r="L1128" i="1" s="1"/>
  <c r="Z1120" i="1"/>
  <c r="L1120" i="1" s="1"/>
  <c r="Z1112" i="1"/>
  <c r="L1112" i="1" s="1"/>
  <c r="Z1104" i="1"/>
  <c r="L1104" i="1" s="1"/>
  <c r="Z1096" i="1"/>
  <c r="L1096" i="1" s="1"/>
  <c r="Z1088" i="1"/>
  <c r="L1088" i="1" s="1"/>
  <c r="Z1080" i="1"/>
  <c r="L1080" i="1" s="1"/>
  <c r="Z1072" i="1"/>
  <c r="L1072" i="1" s="1"/>
  <c r="Z1064" i="1"/>
  <c r="L1064" i="1" s="1"/>
  <c r="Z1056" i="1"/>
  <c r="L1056" i="1" s="1"/>
  <c r="Z1048" i="1"/>
  <c r="L1048" i="1" s="1"/>
  <c r="Z1040" i="1"/>
  <c r="L1040" i="1" s="1"/>
  <c r="Z1032" i="1"/>
  <c r="L1032" i="1" s="1"/>
  <c r="Z1024" i="1"/>
  <c r="L1024" i="1" s="1"/>
  <c r="Z1016" i="1"/>
  <c r="L1016" i="1" s="1"/>
  <c r="Z1008" i="1"/>
  <c r="L1008" i="1" s="1"/>
  <c r="Z1000" i="1"/>
  <c r="L1000" i="1" s="1"/>
  <c r="Z992" i="1"/>
  <c r="L992" i="1" s="1"/>
  <c r="Z984" i="1"/>
  <c r="L984" i="1" s="1"/>
  <c r="Z976" i="1"/>
  <c r="L976" i="1" s="1"/>
  <c r="Z968" i="1"/>
  <c r="L968" i="1" s="1"/>
  <c r="Z960" i="1"/>
  <c r="L960" i="1" s="1"/>
  <c r="Z952" i="1"/>
  <c r="L952" i="1" s="1"/>
  <c r="M953" i="1" s="1"/>
  <c r="N953" i="1" s="1"/>
  <c r="Z944" i="1"/>
  <c r="L944" i="1" s="1"/>
  <c r="Z936" i="1"/>
  <c r="L936" i="1" s="1"/>
  <c r="Z928" i="1"/>
  <c r="L928" i="1" s="1"/>
  <c r="Z920" i="1"/>
  <c r="L920" i="1" s="1"/>
  <c r="Z912" i="1"/>
  <c r="L912" i="1" s="1"/>
  <c r="Z904" i="1"/>
  <c r="L904" i="1" s="1"/>
  <c r="Z896" i="1"/>
  <c r="L896" i="1" s="1"/>
  <c r="Z888" i="1"/>
  <c r="L888" i="1" s="1"/>
  <c r="Z880" i="1"/>
  <c r="L880" i="1" s="1"/>
  <c r="Z872" i="1"/>
  <c r="L872" i="1" s="1"/>
  <c r="Z864" i="1"/>
  <c r="L864" i="1" s="1"/>
  <c r="Z856" i="1"/>
  <c r="L856" i="1" s="1"/>
  <c r="Z848" i="1"/>
  <c r="L848" i="1" s="1"/>
  <c r="Z840" i="1"/>
  <c r="L840" i="1" s="1"/>
  <c r="Z832" i="1"/>
  <c r="L832" i="1" s="1"/>
  <c r="Z824" i="1"/>
  <c r="L824" i="1" s="1"/>
  <c r="Z816" i="1"/>
  <c r="L816" i="1" s="1"/>
  <c r="Z808" i="1"/>
  <c r="L808" i="1" s="1"/>
  <c r="Z800" i="1"/>
  <c r="L800" i="1" s="1"/>
  <c r="Z792" i="1"/>
  <c r="L792" i="1" s="1"/>
  <c r="Z784" i="1"/>
  <c r="L784" i="1" s="1"/>
  <c r="Z776" i="1"/>
  <c r="L776" i="1" s="1"/>
  <c r="Z768" i="1"/>
  <c r="L768" i="1" s="1"/>
  <c r="Z760" i="1"/>
  <c r="L760" i="1" s="1"/>
  <c r="Z752" i="1"/>
  <c r="L752" i="1" s="1"/>
  <c r="Z744" i="1"/>
  <c r="L744" i="1" s="1"/>
  <c r="Z1403" i="1"/>
  <c r="L1403" i="1" s="1"/>
  <c r="Z1395" i="1"/>
  <c r="L1395" i="1" s="1"/>
  <c r="Z1387" i="1"/>
  <c r="L1387" i="1" s="1"/>
  <c r="Z1379" i="1"/>
  <c r="L1379" i="1" s="1"/>
  <c r="Z1371" i="1"/>
  <c r="L1371" i="1" s="1"/>
  <c r="Z1363" i="1"/>
  <c r="L1363" i="1" s="1"/>
  <c r="Z1355" i="1"/>
  <c r="L1355" i="1" s="1"/>
  <c r="Z1347" i="1"/>
  <c r="L1347" i="1" s="1"/>
  <c r="Z1339" i="1"/>
  <c r="L1339" i="1" s="1"/>
  <c r="M1340" i="1" s="1"/>
  <c r="N1340" i="1" s="1"/>
  <c r="Z1331" i="1"/>
  <c r="L1331" i="1" s="1"/>
  <c r="Z1323" i="1"/>
  <c r="L1323" i="1" s="1"/>
  <c r="Z1315" i="1"/>
  <c r="L1315" i="1" s="1"/>
  <c r="M1316" i="1" s="1"/>
  <c r="N1316" i="1" s="1"/>
  <c r="Z1307" i="1"/>
  <c r="L1307" i="1" s="1"/>
  <c r="Z1299" i="1"/>
  <c r="L1299" i="1" s="1"/>
  <c r="Z1291" i="1"/>
  <c r="L1291" i="1" s="1"/>
  <c r="Z1283" i="1"/>
  <c r="L1283" i="1" s="1"/>
  <c r="Z1275" i="1"/>
  <c r="L1275" i="1" s="1"/>
  <c r="Z1267" i="1"/>
  <c r="L1267" i="1" s="1"/>
  <c r="Z1259" i="1"/>
  <c r="L1259" i="1" s="1"/>
  <c r="Z1251" i="1"/>
  <c r="L1251" i="1" s="1"/>
  <c r="Z1243" i="1"/>
  <c r="L1243" i="1" s="1"/>
  <c r="Z1235" i="1"/>
  <c r="L1235" i="1" s="1"/>
  <c r="Z1227" i="1"/>
  <c r="L1227" i="1" s="1"/>
  <c r="Z1219" i="1"/>
  <c r="L1219" i="1" s="1"/>
  <c r="Z1211" i="1"/>
  <c r="L1211" i="1" s="1"/>
  <c r="Z1203" i="1"/>
  <c r="L1203" i="1" s="1"/>
  <c r="M1204" i="1" s="1"/>
  <c r="N1204" i="1" s="1"/>
  <c r="Z1195" i="1"/>
  <c r="L1195" i="1" s="1"/>
  <c r="Z1187" i="1"/>
  <c r="L1187" i="1" s="1"/>
  <c r="Z1179" i="1"/>
  <c r="L1179" i="1" s="1"/>
  <c r="Z1171" i="1"/>
  <c r="L1171" i="1" s="1"/>
  <c r="Z1163" i="1"/>
  <c r="L1163" i="1" s="1"/>
  <c r="Z1155" i="1"/>
  <c r="L1155" i="1" s="1"/>
  <c r="Z1147" i="1"/>
  <c r="L1147" i="1" s="1"/>
  <c r="Z1139" i="1"/>
  <c r="L1139" i="1" s="1"/>
  <c r="Z1131" i="1"/>
  <c r="L1131" i="1" s="1"/>
  <c r="Z1123" i="1"/>
  <c r="L1123" i="1" s="1"/>
  <c r="Z1115" i="1"/>
  <c r="L1115" i="1" s="1"/>
  <c r="M1116" i="1" s="1"/>
  <c r="N1116" i="1" s="1"/>
  <c r="Z1107" i="1"/>
  <c r="L1107" i="1" s="1"/>
  <c r="Z1099" i="1"/>
  <c r="L1099" i="1" s="1"/>
  <c r="Z1091" i="1"/>
  <c r="L1091" i="1" s="1"/>
  <c r="Z1083" i="1"/>
  <c r="L1083" i="1" s="1"/>
  <c r="Z1075" i="1"/>
  <c r="L1075" i="1" s="1"/>
  <c r="Z1067" i="1"/>
  <c r="L1067" i="1" s="1"/>
  <c r="Z1059" i="1"/>
  <c r="L1059" i="1" s="1"/>
  <c r="Z1051" i="1"/>
  <c r="L1051" i="1" s="1"/>
  <c r="Z1043" i="1"/>
  <c r="L1043" i="1" s="1"/>
  <c r="Z1035" i="1"/>
  <c r="L1035" i="1" s="1"/>
  <c r="Z1027" i="1"/>
  <c r="L1027" i="1" s="1"/>
  <c r="Z1019" i="1"/>
  <c r="L1019" i="1" s="1"/>
  <c r="Z1011" i="1"/>
  <c r="L1011" i="1" s="1"/>
  <c r="Z1003" i="1"/>
  <c r="L1003" i="1" s="1"/>
  <c r="Z995" i="1"/>
  <c r="L995" i="1" s="1"/>
  <c r="Z987" i="1"/>
  <c r="L987" i="1" s="1"/>
  <c r="Z979" i="1"/>
  <c r="L979" i="1" s="1"/>
  <c r="Z971" i="1"/>
  <c r="L971" i="1" s="1"/>
  <c r="Z963" i="1"/>
  <c r="L963" i="1" s="1"/>
  <c r="Z955" i="1"/>
  <c r="L955" i="1" s="1"/>
  <c r="Z947" i="1"/>
  <c r="L947" i="1" s="1"/>
  <c r="Z939" i="1"/>
  <c r="L939" i="1" s="1"/>
  <c r="Z931" i="1"/>
  <c r="L931" i="1" s="1"/>
  <c r="Z923" i="1"/>
  <c r="L923" i="1" s="1"/>
  <c r="Z915" i="1"/>
  <c r="L915" i="1" s="1"/>
  <c r="Z907" i="1"/>
  <c r="L907" i="1" s="1"/>
  <c r="Z899" i="1"/>
  <c r="L899" i="1" s="1"/>
  <c r="Z891" i="1"/>
  <c r="L891" i="1" s="1"/>
  <c r="Z883" i="1"/>
  <c r="L883" i="1" s="1"/>
  <c r="Z875" i="1"/>
  <c r="L875" i="1" s="1"/>
  <c r="Z867" i="1"/>
  <c r="L867" i="1" s="1"/>
  <c r="Z859" i="1"/>
  <c r="L859" i="1" s="1"/>
  <c r="Z851" i="1"/>
  <c r="L851" i="1" s="1"/>
  <c r="Z843" i="1"/>
  <c r="L843" i="1" s="1"/>
  <c r="Z835" i="1"/>
  <c r="L835" i="1" s="1"/>
  <c r="Z827" i="1"/>
  <c r="L827" i="1" s="1"/>
  <c r="Z819" i="1"/>
  <c r="L819" i="1" s="1"/>
  <c r="Z811" i="1"/>
  <c r="L811" i="1" s="1"/>
  <c r="Z803" i="1"/>
  <c r="L803" i="1" s="1"/>
  <c r="Z795" i="1"/>
  <c r="L795" i="1" s="1"/>
  <c r="Z787" i="1"/>
  <c r="L787" i="1" s="1"/>
  <c r="Z779" i="1"/>
  <c r="L779" i="1" s="1"/>
  <c r="Z771" i="1"/>
  <c r="L771" i="1" s="1"/>
  <c r="Z763" i="1"/>
  <c r="L763" i="1" s="1"/>
  <c r="Z755" i="1"/>
  <c r="L755" i="1" s="1"/>
  <c r="Z747" i="1"/>
  <c r="L747" i="1" s="1"/>
  <c r="Z739" i="1"/>
  <c r="L739" i="1" s="1"/>
  <c r="Z731" i="1"/>
  <c r="Z1655" i="1"/>
  <c r="L1655" i="1" s="1"/>
  <c r="Z1647" i="1"/>
  <c r="L1647" i="1" s="1"/>
  <c r="Z1639" i="1"/>
  <c r="L1639" i="1" s="1"/>
  <c r="Z1631" i="1"/>
  <c r="L1631" i="1" s="1"/>
  <c r="Z1623" i="1"/>
  <c r="L1623" i="1" s="1"/>
  <c r="Z1615" i="1"/>
  <c r="L1615" i="1" s="1"/>
  <c r="Z1607" i="1"/>
  <c r="L1607" i="1" s="1"/>
  <c r="Z1599" i="1"/>
  <c r="L1599" i="1" s="1"/>
  <c r="Z1591" i="1"/>
  <c r="L1591" i="1" s="1"/>
  <c r="Z1583" i="1"/>
  <c r="L1583" i="1" s="1"/>
  <c r="Z1575" i="1"/>
  <c r="L1575" i="1" s="1"/>
  <c r="Z1567" i="1"/>
  <c r="L1567" i="1" s="1"/>
  <c r="Z1559" i="1"/>
  <c r="L1559" i="1" s="1"/>
  <c r="Z1551" i="1"/>
  <c r="L1551" i="1" s="1"/>
  <c r="Z1543" i="1"/>
  <c r="L1543" i="1" s="1"/>
  <c r="Z1535" i="1"/>
  <c r="L1535" i="1" s="1"/>
  <c r="Z1527" i="1"/>
  <c r="L1527" i="1" s="1"/>
  <c r="Z1519" i="1"/>
  <c r="L1519" i="1" s="1"/>
  <c r="Z1511" i="1"/>
  <c r="L1511" i="1" s="1"/>
  <c r="Z1503" i="1"/>
  <c r="L1503" i="1" s="1"/>
  <c r="Z1495" i="1"/>
  <c r="L1495" i="1" s="1"/>
  <c r="Z1487" i="1"/>
  <c r="L1487" i="1" s="1"/>
  <c r="Z1479" i="1"/>
  <c r="L1479" i="1" s="1"/>
  <c r="Z1471" i="1"/>
  <c r="L1471" i="1" s="1"/>
  <c r="Z1463" i="1"/>
  <c r="L1463" i="1" s="1"/>
  <c r="Z1455" i="1"/>
  <c r="L1455" i="1" s="1"/>
  <c r="Z1447" i="1"/>
  <c r="L1447" i="1" s="1"/>
  <c r="Z1439" i="1"/>
  <c r="L1439" i="1" s="1"/>
  <c r="Z1431" i="1"/>
  <c r="L1431" i="1" s="1"/>
  <c r="Z1423" i="1"/>
  <c r="L1423" i="1" s="1"/>
  <c r="Z1415" i="1"/>
  <c r="L1415" i="1" s="1"/>
  <c r="Z1407" i="1"/>
  <c r="L1407" i="1" s="1"/>
  <c r="Z1399" i="1"/>
  <c r="L1399" i="1" s="1"/>
  <c r="Z1391" i="1"/>
  <c r="L1391" i="1" s="1"/>
  <c r="Z1383" i="1"/>
  <c r="L1383" i="1" s="1"/>
  <c r="M1384" i="1" s="1"/>
  <c r="N1384" i="1" s="1"/>
  <c r="Z1375" i="1"/>
  <c r="L1375" i="1" s="1"/>
  <c r="Z1367" i="1"/>
  <c r="L1367" i="1" s="1"/>
  <c r="Z1359" i="1"/>
  <c r="L1359" i="1" s="1"/>
  <c r="M1360" i="1" s="1"/>
  <c r="N1360" i="1" s="1"/>
  <c r="Z1351" i="1"/>
  <c r="L1351" i="1" s="1"/>
  <c r="Z1343" i="1"/>
  <c r="L1343" i="1" s="1"/>
  <c r="Z1335" i="1"/>
  <c r="L1335" i="1" s="1"/>
  <c r="Z1327" i="1"/>
  <c r="L1327" i="1" s="1"/>
  <c r="Z1319" i="1"/>
  <c r="L1319" i="1" s="1"/>
  <c r="Z1311" i="1"/>
  <c r="L1311" i="1" s="1"/>
  <c r="Z1303" i="1"/>
  <c r="L1303" i="1" s="1"/>
  <c r="Z1295" i="1"/>
  <c r="L1295" i="1" s="1"/>
  <c r="Z1287" i="1"/>
  <c r="L1287" i="1" s="1"/>
  <c r="Z1279" i="1"/>
  <c r="L1279" i="1" s="1"/>
  <c r="Z1271" i="1"/>
  <c r="L1271" i="1" s="1"/>
  <c r="Z1263" i="1"/>
  <c r="L1263" i="1" s="1"/>
  <c r="Z1255" i="1"/>
  <c r="L1255" i="1" s="1"/>
  <c r="Z1247" i="1"/>
  <c r="L1247" i="1" s="1"/>
  <c r="Z1239" i="1"/>
  <c r="L1239" i="1" s="1"/>
  <c r="Z1231" i="1"/>
  <c r="L1231" i="1" s="1"/>
  <c r="Z1223" i="1"/>
  <c r="L1223" i="1" s="1"/>
  <c r="M1224" i="1" s="1"/>
  <c r="N1224" i="1" s="1"/>
  <c r="Z1215" i="1"/>
  <c r="L1215" i="1" s="1"/>
  <c r="Z1207" i="1"/>
  <c r="L1207" i="1" s="1"/>
  <c r="Z1199" i="1"/>
  <c r="L1199" i="1" s="1"/>
  <c r="Z1191" i="1"/>
  <c r="L1191" i="1" s="1"/>
  <c r="Z1183" i="1"/>
  <c r="L1183" i="1" s="1"/>
  <c r="Z1175" i="1"/>
  <c r="L1175" i="1" s="1"/>
  <c r="Z1167" i="1"/>
  <c r="L1167" i="1" s="1"/>
  <c r="Z1159" i="1"/>
  <c r="L1159" i="1" s="1"/>
  <c r="Z1151" i="1"/>
  <c r="L1151" i="1" s="1"/>
  <c r="Z1143" i="1"/>
  <c r="L1143" i="1" s="1"/>
  <c r="Z1135" i="1"/>
  <c r="L1135" i="1" s="1"/>
  <c r="M1136" i="1" s="1"/>
  <c r="N1136" i="1" s="1"/>
  <c r="Z1127" i="1"/>
  <c r="L1127" i="1" s="1"/>
  <c r="Z1119" i="1"/>
  <c r="L1119" i="1" s="1"/>
  <c r="Z1111" i="1"/>
  <c r="L1111" i="1" s="1"/>
  <c r="Z1103" i="1"/>
  <c r="L1103" i="1" s="1"/>
  <c r="Z1095" i="1"/>
  <c r="L1095" i="1" s="1"/>
  <c r="M1096" i="1" s="1"/>
  <c r="N1096" i="1" s="1"/>
  <c r="Z1087" i="1"/>
  <c r="L1087" i="1" s="1"/>
  <c r="Z1079" i="1"/>
  <c r="L1079" i="1" s="1"/>
  <c r="Z1071" i="1"/>
  <c r="L1071" i="1" s="1"/>
  <c r="M1072" i="1" s="1"/>
  <c r="N1072" i="1" s="1"/>
  <c r="Z1063" i="1"/>
  <c r="L1063" i="1" s="1"/>
  <c r="Z1055" i="1"/>
  <c r="L1055" i="1" s="1"/>
  <c r="Z1047" i="1"/>
  <c r="L1047" i="1" s="1"/>
  <c r="Z1039" i="1"/>
  <c r="L1039" i="1" s="1"/>
  <c r="Z1031" i="1"/>
  <c r="L1031" i="1" s="1"/>
  <c r="Z1023" i="1"/>
  <c r="L1023" i="1" s="1"/>
  <c r="Z1015" i="1"/>
  <c r="L1015" i="1" s="1"/>
  <c r="M1016" i="1" s="1"/>
  <c r="N1016" i="1" s="1"/>
  <c r="Z1007" i="1"/>
  <c r="L1007" i="1" s="1"/>
  <c r="Z999" i="1"/>
  <c r="L999" i="1" s="1"/>
  <c r="Z991" i="1"/>
  <c r="L991" i="1" s="1"/>
  <c r="Z983" i="1"/>
  <c r="L983" i="1" s="1"/>
  <c r="Z975" i="1"/>
  <c r="L975" i="1" s="1"/>
  <c r="Z967" i="1"/>
  <c r="L967" i="1" s="1"/>
  <c r="Z959" i="1"/>
  <c r="L959" i="1" s="1"/>
  <c r="Z951" i="1"/>
  <c r="L951" i="1" s="1"/>
  <c r="Z943" i="1"/>
  <c r="L943" i="1" s="1"/>
  <c r="Z935" i="1"/>
  <c r="L935" i="1" s="1"/>
  <c r="Z927" i="1"/>
  <c r="L927" i="1" s="1"/>
  <c r="Z919" i="1"/>
  <c r="L919" i="1" s="1"/>
  <c r="Z911" i="1"/>
  <c r="L911" i="1" s="1"/>
  <c r="Z903" i="1"/>
  <c r="L903" i="1" s="1"/>
  <c r="Z895" i="1"/>
  <c r="L895" i="1" s="1"/>
  <c r="Z887" i="1"/>
  <c r="L887" i="1" s="1"/>
  <c r="Z879" i="1"/>
  <c r="L879" i="1" s="1"/>
  <c r="Z871" i="1"/>
  <c r="L871" i="1" s="1"/>
  <c r="Z863" i="1"/>
  <c r="L863" i="1" s="1"/>
  <c r="Z855" i="1"/>
  <c r="L855" i="1" s="1"/>
  <c r="Z847" i="1"/>
  <c r="L847" i="1" s="1"/>
  <c r="Z839" i="1"/>
  <c r="L839" i="1" s="1"/>
  <c r="Z831" i="1"/>
  <c r="L831" i="1" s="1"/>
  <c r="Z823" i="1"/>
  <c r="L823" i="1" s="1"/>
  <c r="Z815" i="1"/>
  <c r="L815" i="1" s="1"/>
  <c r="Z807" i="1"/>
  <c r="L807" i="1" s="1"/>
  <c r="Z799" i="1"/>
  <c r="L799" i="1" s="1"/>
  <c r="Z736" i="1"/>
  <c r="L736" i="1" s="1"/>
  <c r="Z728" i="1"/>
  <c r="Z720" i="1"/>
  <c r="Z712" i="1"/>
  <c r="Z704" i="1"/>
  <c r="Z696" i="1"/>
  <c r="Z688" i="1"/>
  <c r="Z680" i="1"/>
  <c r="Z672" i="1"/>
  <c r="Z664" i="1"/>
  <c r="Z656" i="1"/>
  <c r="Z648" i="1"/>
  <c r="Z640" i="1"/>
  <c r="Z632" i="1"/>
  <c r="Z624" i="1"/>
  <c r="Z616" i="1"/>
  <c r="Z608" i="1"/>
  <c r="Z600" i="1"/>
  <c r="Z592" i="1"/>
  <c r="Z584" i="1"/>
  <c r="Z576" i="1"/>
  <c r="Z568" i="1"/>
  <c r="Z560" i="1"/>
  <c r="Z552" i="1"/>
  <c r="Z544" i="1"/>
  <c r="Z536" i="1"/>
  <c r="Z528" i="1"/>
  <c r="Z520" i="1"/>
  <c r="Z512" i="1"/>
  <c r="Z504" i="1"/>
  <c r="Z496" i="1"/>
  <c r="Z488" i="1"/>
  <c r="Z480" i="1"/>
  <c r="Z472" i="1"/>
  <c r="Z464" i="1"/>
  <c r="Z456" i="1"/>
  <c r="Z448" i="1"/>
  <c r="Z440" i="1"/>
  <c r="Z432" i="1"/>
  <c r="Z424" i="1"/>
  <c r="Z416" i="1"/>
  <c r="Z408" i="1"/>
  <c r="Z400" i="1"/>
  <c r="Z392" i="1"/>
  <c r="Z384" i="1"/>
  <c r="Z376" i="1"/>
  <c r="Z368" i="1"/>
  <c r="Z360" i="1"/>
  <c r="Z352" i="1"/>
  <c r="Z344" i="1"/>
  <c r="Z336" i="1"/>
  <c r="Z328" i="1"/>
  <c r="Z320" i="1"/>
  <c r="Z312" i="1"/>
  <c r="Z304" i="1"/>
  <c r="Z296" i="1"/>
  <c r="Z288" i="1"/>
  <c r="Z280" i="1"/>
  <c r="Z272" i="1"/>
  <c r="Z264" i="1"/>
  <c r="Z256" i="1"/>
  <c r="Z248" i="1"/>
  <c r="Z240" i="1"/>
  <c r="Z232" i="1"/>
  <c r="Z224" i="1"/>
  <c r="Z216" i="1"/>
  <c r="Z208" i="1"/>
  <c r="Z200" i="1"/>
  <c r="Z192" i="1"/>
  <c r="Z184" i="1"/>
  <c r="Z176" i="1"/>
  <c r="Z168" i="1"/>
  <c r="Z160" i="1"/>
  <c r="Z152" i="1"/>
  <c r="Z144" i="1"/>
  <c r="Z136" i="1"/>
  <c r="Z128" i="1"/>
  <c r="Z120" i="1"/>
  <c r="Z112" i="1"/>
  <c r="Z104" i="1"/>
  <c r="Z96" i="1"/>
  <c r="Z88" i="1"/>
  <c r="Z80" i="1"/>
  <c r="Z72" i="1"/>
  <c r="Z64" i="1"/>
  <c r="Z791" i="1"/>
  <c r="L791" i="1" s="1"/>
  <c r="Z783" i="1"/>
  <c r="L783" i="1" s="1"/>
  <c r="M784" i="1" s="1"/>
  <c r="N784" i="1" s="1"/>
  <c r="Z775" i="1"/>
  <c r="L775" i="1" s="1"/>
  <c r="Z767" i="1"/>
  <c r="L767" i="1" s="1"/>
  <c r="Z759" i="1"/>
  <c r="L759" i="1" s="1"/>
  <c r="Z751" i="1"/>
  <c r="L751" i="1" s="1"/>
  <c r="Z743" i="1"/>
  <c r="L743" i="1" s="1"/>
  <c r="Z735" i="1"/>
  <c r="L735" i="1" s="1"/>
  <c r="Z727" i="1"/>
  <c r="Z719" i="1"/>
  <c r="Z711" i="1"/>
  <c r="Z703" i="1"/>
  <c r="Z695" i="1"/>
  <c r="Z687" i="1"/>
  <c r="Z679" i="1"/>
  <c r="Z671" i="1"/>
  <c r="Z663" i="1"/>
  <c r="Z655" i="1"/>
  <c r="Z647" i="1"/>
  <c r="Z639" i="1"/>
  <c r="Z631" i="1"/>
  <c r="Z623" i="1"/>
  <c r="Z615" i="1"/>
  <c r="Z607" i="1"/>
  <c r="Z599" i="1"/>
  <c r="Z591" i="1"/>
  <c r="Z583" i="1"/>
  <c r="Z575" i="1"/>
  <c r="Z567" i="1"/>
  <c r="Z559" i="1"/>
  <c r="Z551" i="1"/>
  <c r="Z543" i="1"/>
  <c r="Z535" i="1"/>
  <c r="Z527" i="1"/>
  <c r="Z519" i="1"/>
  <c r="Z511" i="1"/>
  <c r="Z503" i="1"/>
  <c r="Z495" i="1"/>
  <c r="Z487" i="1"/>
  <c r="Z479" i="1"/>
  <c r="Z471" i="1"/>
  <c r="Z463" i="1"/>
  <c r="Z455" i="1"/>
  <c r="Z447" i="1"/>
  <c r="Z439" i="1"/>
  <c r="Z431" i="1"/>
  <c r="Z423" i="1"/>
  <c r="Z415" i="1"/>
  <c r="Z407" i="1"/>
  <c r="Z399" i="1"/>
  <c r="Z391" i="1"/>
  <c r="Z383" i="1"/>
  <c r="Z375" i="1"/>
  <c r="Z367" i="1"/>
  <c r="Z359" i="1"/>
  <c r="Z351" i="1"/>
  <c r="Z723" i="1"/>
  <c r="Z715" i="1"/>
  <c r="Z707" i="1"/>
  <c r="Z699" i="1"/>
  <c r="Z691" i="1"/>
  <c r="Z683" i="1"/>
  <c r="Z675" i="1"/>
  <c r="Z667" i="1"/>
  <c r="Z659" i="1"/>
  <c r="Z651" i="1"/>
  <c r="Z643" i="1"/>
  <c r="Z635" i="1"/>
  <c r="Z627" i="1"/>
  <c r="Z619" i="1"/>
  <c r="Z611" i="1"/>
  <c r="Z603" i="1"/>
  <c r="Z595" i="1"/>
  <c r="Z587" i="1"/>
  <c r="Z579" i="1"/>
  <c r="Z571" i="1"/>
  <c r="Z563" i="1"/>
  <c r="Z555" i="1"/>
  <c r="Z547" i="1"/>
  <c r="Z539" i="1"/>
  <c r="Z531" i="1"/>
  <c r="Z523" i="1"/>
  <c r="Z515" i="1"/>
  <c r="Z507" i="1"/>
  <c r="Z499" i="1"/>
  <c r="Z491" i="1"/>
  <c r="Z483" i="1"/>
  <c r="Z475" i="1"/>
  <c r="Z467" i="1"/>
  <c r="Z459" i="1"/>
  <c r="Z451" i="1"/>
  <c r="Z443" i="1"/>
  <c r="Z435" i="1"/>
  <c r="Z427" i="1"/>
  <c r="Z419" i="1"/>
  <c r="Z411" i="1"/>
  <c r="Z403" i="1"/>
  <c r="Z395" i="1"/>
  <c r="Z387" i="1"/>
  <c r="Z379" i="1"/>
  <c r="Z371" i="1"/>
  <c r="Z363" i="1"/>
  <c r="Z355" i="1"/>
  <c r="Z347" i="1"/>
  <c r="Z339" i="1"/>
  <c r="Z331" i="1"/>
  <c r="Z323" i="1"/>
  <c r="Z315" i="1"/>
  <c r="Z307" i="1"/>
  <c r="Z299" i="1"/>
  <c r="Z291" i="1"/>
  <c r="Z283" i="1"/>
  <c r="Z275" i="1"/>
  <c r="Z267" i="1"/>
  <c r="Z259" i="1"/>
  <c r="Z251" i="1"/>
  <c r="Z243" i="1"/>
  <c r="Z235" i="1"/>
  <c r="Z227" i="1"/>
  <c r="Z219" i="1"/>
  <c r="Z211" i="1"/>
  <c r="Z203" i="1"/>
  <c r="Z195" i="1"/>
  <c r="Z187" i="1"/>
  <c r="Z179" i="1"/>
  <c r="Z171" i="1"/>
  <c r="Z163" i="1"/>
  <c r="Z155" i="1"/>
  <c r="Z147" i="1"/>
  <c r="Z139" i="1"/>
  <c r="Z131" i="1"/>
  <c r="Z123" i="1"/>
  <c r="Z115" i="1"/>
  <c r="Z67" i="1"/>
  <c r="Z356" i="1"/>
  <c r="Z228" i="1"/>
  <c r="Z1660" i="1"/>
  <c r="L1660" i="1" s="1"/>
  <c r="Z1652" i="1"/>
  <c r="L1652" i="1" s="1"/>
  <c r="Z1644" i="1"/>
  <c r="L1644" i="1" s="1"/>
  <c r="Z1636" i="1"/>
  <c r="L1636" i="1" s="1"/>
  <c r="Z1628" i="1"/>
  <c r="L1628" i="1" s="1"/>
  <c r="Z1620" i="1"/>
  <c r="L1620" i="1" s="1"/>
  <c r="Z1612" i="1"/>
  <c r="L1612" i="1" s="1"/>
  <c r="Z1604" i="1"/>
  <c r="L1604" i="1" s="1"/>
  <c r="Z1596" i="1"/>
  <c r="L1596" i="1" s="1"/>
  <c r="Z1588" i="1"/>
  <c r="L1588" i="1" s="1"/>
  <c r="Z1580" i="1"/>
  <c r="L1580" i="1" s="1"/>
  <c r="Z1572" i="1"/>
  <c r="L1572" i="1" s="1"/>
  <c r="Z1564" i="1"/>
  <c r="L1564" i="1" s="1"/>
  <c r="Z1556" i="1"/>
  <c r="L1556" i="1" s="1"/>
  <c r="Z1548" i="1"/>
  <c r="L1548" i="1" s="1"/>
  <c r="Z1540" i="1"/>
  <c r="L1540" i="1" s="1"/>
  <c r="Z1532" i="1"/>
  <c r="L1532" i="1" s="1"/>
  <c r="Z1524" i="1"/>
  <c r="L1524" i="1" s="1"/>
  <c r="Z1516" i="1"/>
  <c r="L1516" i="1" s="1"/>
  <c r="Z1508" i="1"/>
  <c r="L1508" i="1" s="1"/>
  <c r="Z1500" i="1"/>
  <c r="L1500" i="1" s="1"/>
  <c r="Z1492" i="1"/>
  <c r="L1492" i="1" s="1"/>
  <c r="Z1484" i="1"/>
  <c r="L1484" i="1" s="1"/>
  <c r="Z1476" i="1"/>
  <c r="L1476" i="1" s="1"/>
  <c r="Z1468" i="1"/>
  <c r="L1468" i="1" s="1"/>
  <c r="Z1460" i="1"/>
  <c r="L1460" i="1" s="1"/>
  <c r="Z1452" i="1"/>
  <c r="L1452" i="1" s="1"/>
  <c r="Z1444" i="1"/>
  <c r="L1444" i="1" s="1"/>
  <c r="M1445" i="1" s="1"/>
  <c r="N1445" i="1" s="1"/>
  <c r="Z1436" i="1"/>
  <c r="L1436" i="1" s="1"/>
  <c r="Z1428" i="1"/>
  <c r="L1428" i="1" s="1"/>
  <c r="Z1420" i="1"/>
  <c r="L1420" i="1" s="1"/>
  <c r="Z1412" i="1"/>
  <c r="L1412" i="1" s="1"/>
  <c r="Z1404" i="1"/>
  <c r="L1404" i="1" s="1"/>
  <c r="Z1396" i="1"/>
  <c r="L1396" i="1" s="1"/>
  <c r="Z1388" i="1"/>
  <c r="L1388" i="1" s="1"/>
  <c r="Z1380" i="1"/>
  <c r="L1380" i="1" s="1"/>
  <c r="Z1372" i="1"/>
  <c r="L1372" i="1" s="1"/>
  <c r="Z1364" i="1"/>
  <c r="L1364" i="1" s="1"/>
  <c r="Z1356" i="1"/>
  <c r="L1356" i="1" s="1"/>
  <c r="Z1348" i="1"/>
  <c r="L1348" i="1" s="1"/>
  <c r="Z1340" i="1"/>
  <c r="L1340" i="1" s="1"/>
  <c r="Z1332" i="1"/>
  <c r="L1332" i="1" s="1"/>
  <c r="Z1324" i="1"/>
  <c r="L1324" i="1" s="1"/>
  <c r="Z1316" i="1"/>
  <c r="L1316" i="1" s="1"/>
  <c r="Z1308" i="1"/>
  <c r="L1308" i="1" s="1"/>
  <c r="Z1300" i="1"/>
  <c r="L1300" i="1" s="1"/>
  <c r="Z1292" i="1"/>
  <c r="L1292" i="1" s="1"/>
  <c r="Z1284" i="1"/>
  <c r="L1284" i="1" s="1"/>
  <c r="Z1276" i="1"/>
  <c r="L1276" i="1" s="1"/>
  <c r="Z1268" i="1"/>
  <c r="L1268" i="1" s="1"/>
  <c r="Z1260" i="1"/>
  <c r="L1260" i="1" s="1"/>
  <c r="M1261" i="1" s="1"/>
  <c r="N1261" i="1" s="1"/>
  <c r="Z1252" i="1"/>
  <c r="L1252" i="1" s="1"/>
  <c r="Z1244" i="1"/>
  <c r="L1244" i="1" s="1"/>
  <c r="Z1236" i="1"/>
  <c r="L1236" i="1" s="1"/>
  <c r="Z1228" i="1"/>
  <c r="L1228" i="1" s="1"/>
  <c r="Z1220" i="1"/>
  <c r="L1220" i="1" s="1"/>
  <c r="Z1212" i="1"/>
  <c r="L1212" i="1" s="1"/>
  <c r="Z1204" i="1"/>
  <c r="L1204" i="1" s="1"/>
  <c r="Z1196" i="1"/>
  <c r="L1196" i="1" s="1"/>
  <c r="Z1188" i="1"/>
  <c r="L1188" i="1" s="1"/>
  <c r="Z1180" i="1"/>
  <c r="L1180" i="1" s="1"/>
  <c r="Z1172" i="1"/>
  <c r="L1172" i="1" s="1"/>
  <c r="Z1164" i="1"/>
  <c r="L1164" i="1" s="1"/>
  <c r="Z1156" i="1"/>
  <c r="L1156" i="1" s="1"/>
  <c r="Z1148" i="1"/>
  <c r="L1148" i="1" s="1"/>
  <c r="Z1140" i="1"/>
  <c r="L1140" i="1" s="1"/>
  <c r="Z1132" i="1"/>
  <c r="L1132" i="1" s="1"/>
  <c r="Z1124" i="1"/>
  <c r="L1124" i="1" s="1"/>
  <c r="Z1116" i="1"/>
  <c r="L1116" i="1" s="1"/>
  <c r="Z1108" i="1"/>
  <c r="L1108" i="1" s="1"/>
  <c r="Z1100" i="1"/>
  <c r="L1100" i="1" s="1"/>
  <c r="Z1092" i="1"/>
  <c r="L1092" i="1" s="1"/>
  <c r="Z1084" i="1"/>
  <c r="L1084" i="1" s="1"/>
  <c r="Z1076" i="1"/>
  <c r="L1076" i="1" s="1"/>
  <c r="Z1068" i="1"/>
  <c r="L1068" i="1" s="1"/>
  <c r="Z1060" i="1"/>
  <c r="L1060" i="1" s="1"/>
  <c r="Z1052" i="1"/>
  <c r="L1052" i="1" s="1"/>
  <c r="M1053" i="1" s="1"/>
  <c r="N1053" i="1" s="1"/>
  <c r="Z1044" i="1"/>
  <c r="L1044" i="1" s="1"/>
  <c r="Z1036" i="1"/>
  <c r="L1036" i="1" s="1"/>
  <c r="Z1028" i="1"/>
  <c r="L1028" i="1" s="1"/>
  <c r="Z1020" i="1"/>
  <c r="L1020" i="1" s="1"/>
  <c r="Z1012" i="1"/>
  <c r="L1012" i="1" s="1"/>
  <c r="Z1004" i="1"/>
  <c r="L1004" i="1" s="1"/>
  <c r="Z996" i="1"/>
  <c r="L996" i="1" s="1"/>
  <c r="M997" i="1" s="1"/>
  <c r="N997" i="1" s="1"/>
  <c r="Z988" i="1"/>
  <c r="L988" i="1" s="1"/>
  <c r="Z980" i="1"/>
  <c r="L980" i="1" s="1"/>
  <c r="Z932" i="1"/>
  <c r="L932" i="1" s="1"/>
  <c r="M933" i="1" s="1"/>
  <c r="N933" i="1" s="1"/>
  <c r="Z884" i="1"/>
  <c r="L884" i="1" s="1"/>
  <c r="Z1657" i="1"/>
  <c r="L1657" i="1" s="1"/>
  <c r="Z1649" i="1"/>
  <c r="L1649" i="1" s="1"/>
  <c r="Z1641" i="1"/>
  <c r="L1641" i="1" s="1"/>
  <c r="Z1633" i="1"/>
  <c r="Z1625" i="1"/>
  <c r="L1625" i="1" s="1"/>
  <c r="M1626" i="1" s="1"/>
  <c r="N1626" i="1" s="1"/>
  <c r="Z1617" i="1"/>
  <c r="L1617" i="1" s="1"/>
  <c r="Z1609" i="1"/>
  <c r="L1609" i="1" s="1"/>
  <c r="Z1601" i="1"/>
  <c r="L1601" i="1" s="1"/>
  <c r="Z1593" i="1"/>
  <c r="L1593" i="1" s="1"/>
  <c r="Z1585" i="1"/>
  <c r="L1585" i="1" s="1"/>
  <c r="Z1577" i="1"/>
  <c r="L1577" i="1" s="1"/>
  <c r="Z1569" i="1"/>
  <c r="L1569" i="1" s="1"/>
  <c r="Z1561" i="1"/>
  <c r="L1561" i="1" s="1"/>
  <c r="Z1553" i="1"/>
  <c r="L1553" i="1" s="1"/>
  <c r="Z1545" i="1"/>
  <c r="L1545" i="1" s="1"/>
  <c r="Z1537" i="1"/>
  <c r="L1537" i="1" s="1"/>
  <c r="Z1529" i="1"/>
  <c r="L1529" i="1" s="1"/>
  <c r="Z1521" i="1"/>
  <c r="L1521" i="1" s="1"/>
  <c r="Z1513" i="1"/>
  <c r="L1513" i="1" s="1"/>
  <c r="Z1505" i="1"/>
  <c r="L1505" i="1" s="1"/>
  <c r="Z1497" i="1"/>
  <c r="L1497" i="1" s="1"/>
  <c r="Z1489" i="1"/>
  <c r="L1489" i="1" s="1"/>
  <c r="Z1481" i="1"/>
  <c r="L1481" i="1" s="1"/>
  <c r="Z1473" i="1"/>
  <c r="L1473" i="1" s="1"/>
  <c r="Z1465" i="1"/>
  <c r="L1465" i="1" s="1"/>
  <c r="Z1457" i="1"/>
  <c r="L1457" i="1" s="1"/>
  <c r="Z1449" i="1"/>
  <c r="L1449" i="1" s="1"/>
  <c r="Z1441" i="1"/>
  <c r="L1441" i="1" s="1"/>
  <c r="Z1433" i="1"/>
  <c r="L1433" i="1" s="1"/>
  <c r="Z1425" i="1"/>
  <c r="L1425" i="1" s="1"/>
  <c r="Z1417" i="1"/>
  <c r="L1417" i="1" s="1"/>
  <c r="Z1409" i="1"/>
  <c r="L1409" i="1" s="1"/>
  <c r="Z1401" i="1"/>
  <c r="L1401" i="1" s="1"/>
  <c r="Z1393" i="1"/>
  <c r="L1393" i="1" s="1"/>
  <c r="Z1385" i="1"/>
  <c r="L1385" i="1" s="1"/>
  <c r="Z1377" i="1"/>
  <c r="L1377" i="1" s="1"/>
  <c r="Z1369" i="1"/>
  <c r="L1369" i="1" s="1"/>
  <c r="Z1361" i="1"/>
  <c r="L1361" i="1" s="1"/>
  <c r="Z1353" i="1"/>
  <c r="L1353" i="1" s="1"/>
  <c r="Z1345" i="1"/>
  <c r="L1345" i="1" s="1"/>
  <c r="Z1337" i="1"/>
  <c r="L1337" i="1" s="1"/>
  <c r="Z1329" i="1"/>
  <c r="L1329" i="1" s="1"/>
  <c r="Z1321" i="1"/>
  <c r="L1321" i="1" s="1"/>
  <c r="Z1313" i="1"/>
  <c r="L1313" i="1" s="1"/>
  <c r="Z1305" i="1"/>
  <c r="L1305" i="1" s="1"/>
  <c r="Z1297" i="1"/>
  <c r="L1297" i="1" s="1"/>
  <c r="Z1289" i="1"/>
  <c r="L1289" i="1" s="1"/>
  <c r="Z1281" i="1"/>
  <c r="L1281" i="1" s="1"/>
  <c r="Z1273" i="1"/>
  <c r="L1273" i="1" s="1"/>
  <c r="Z1265" i="1"/>
  <c r="L1265" i="1" s="1"/>
  <c r="Z1257" i="1"/>
  <c r="L1257" i="1" s="1"/>
  <c r="Z1249" i="1"/>
  <c r="L1249" i="1" s="1"/>
  <c r="Z1241" i="1"/>
  <c r="L1241" i="1" s="1"/>
  <c r="Z1233" i="1"/>
  <c r="L1233" i="1" s="1"/>
  <c r="Z1225" i="1"/>
  <c r="L1225" i="1" s="1"/>
  <c r="Z1217" i="1"/>
  <c r="L1217" i="1" s="1"/>
  <c r="Z1209" i="1"/>
  <c r="L1209" i="1" s="1"/>
  <c r="Z1201" i="1"/>
  <c r="L1201" i="1" s="1"/>
  <c r="Z1193" i="1"/>
  <c r="L1193" i="1" s="1"/>
  <c r="Z1185" i="1"/>
  <c r="L1185" i="1" s="1"/>
  <c r="Z1177" i="1"/>
  <c r="L1177" i="1" s="1"/>
  <c r="Z1169" i="1"/>
  <c r="L1169" i="1" s="1"/>
  <c r="Z1161" i="1"/>
  <c r="L1161" i="1" s="1"/>
  <c r="Z1153" i="1"/>
  <c r="L1153" i="1" s="1"/>
  <c r="Z1145" i="1"/>
  <c r="L1145" i="1" s="1"/>
  <c r="Z1137" i="1"/>
  <c r="L1137" i="1" s="1"/>
  <c r="Z1129" i="1"/>
  <c r="L1129" i="1" s="1"/>
  <c r="Z1121" i="1"/>
  <c r="L1121" i="1" s="1"/>
  <c r="Z1113" i="1"/>
  <c r="L1113" i="1" s="1"/>
  <c r="Z1105" i="1"/>
  <c r="L1105" i="1" s="1"/>
  <c r="Z1097" i="1"/>
  <c r="L1097" i="1" s="1"/>
  <c r="Z1089" i="1"/>
  <c r="L1089" i="1" s="1"/>
  <c r="Z1081" i="1"/>
  <c r="L1081" i="1" s="1"/>
  <c r="Z1073" i="1"/>
  <c r="L1073" i="1" s="1"/>
  <c r="Z1065" i="1"/>
  <c r="L1065" i="1" s="1"/>
  <c r="Z1057" i="1"/>
  <c r="L1057" i="1" s="1"/>
  <c r="Z1049" i="1"/>
  <c r="L1049" i="1" s="1"/>
  <c r="Z1041" i="1"/>
  <c r="L1041" i="1" s="1"/>
  <c r="Z1033" i="1"/>
  <c r="L1033" i="1" s="1"/>
  <c r="Z1025" i="1"/>
  <c r="L1025" i="1" s="1"/>
  <c r="Z1017" i="1"/>
  <c r="L1017" i="1" s="1"/>
  <c r="Z1009" i="1"/>
  <c r="L1009" i="1" s="1"/>
  <c r="Z1001" i="1"/>
  <c r="L1001" i="1" s="1"/>
  <c r="Z993" i="1"/>
  <c r="L993" i="1" s="1"/>
  <c r="Z825" i="1"/>
  <c r="L825" i="1" s="1"/>
  <c r="M826" i="1" s="1"/>
  <c r="N826" i="1" s="1"/>
  <c r="Z822" i="1"/>
  <c r="L822" i="1" s="1"/>
  <c r="Z814" i="1"/>
  <c r="L814" i="1" s="1"/>
  <c r="Z806" i="1"/>
  <c r="L806" i="1" s="1"/>
  <c r="M807" i="1" s="1"/>
  <c r="N807" i="1" s="1"/>
  <c r="Z798" i="1"/>
  <c r="L798" i="1" s="1"/>
  <c r="Z790" i="1"/>
  <c r="L790" i="1" s="1"/>
  <c r="Z782" i="1"/>
  <c r="L782" i="1" s="1"/>
  <c r="Z1661" i="1"/>
  <c r="L1661" i="1" s="1"/>
  <c r="Z1653" i="1"/>
  <c r="L1653" i="1" s="1"/>
  <c r="Z1645" i="1"/>
  <c r="L1645" i="1" s="1"/>
  <c r="M1646" i="1" s="1"/>
  <c r="N1646" i="1" s="1"/>
  <c r="Z1637" i="1"/>
  <c r="L1637" i="1" s="1"/>
  <c r="Z1629" i="1"/>
  <c r="L1629" i="1" s="1"/>
  <c r="Z1621" i="1"/>
  <c r="L1621" i="1" s="1"/>
  <c r="Z1613" i="1"/>
  <c r="L1613" i="1" s="1"/>
  <c r="Z1605" i="1"/>
  <c r="L1605" i="1" s="1"/>
  <c r="Z1597" i="1"/>
  <c r="L1597" i="1" s="1"/>
  <c r="Z1589" i="1"/>
  <c r="L1589" i="1" s="1"/>
  <c r="Z1581" i="1"/>
  <c r="L1581" i="1" s="1"/>
  <c r="Z1573" i="1"/>
  <c r="L1573" i="1" s="1"/>
  <c r="Z1565" i="1"/>
  <c r="L1565" i="1" s="1"/>
  <c r="Z1557" i="1"/>
  <c r="L1557" i="1" s="1"/>
  <c r="Z1549" i="1"/>
  <c r="L1549" i="1" s="1"/>
  <c r="Z1541" i="1"/>
  <c r="L1541" i="1" s="1"/>
  <c r="Z1533" i="1"/>
  <c r="L1533" i="1" s="1"/>
  <c r="Z1525" i="1"/>
  <c r="L1525" i="1" s="1"/>
  <c r="Z1517" i="1"/>
  <c r="L1517" i="1" s="1"/>
  <c r="Z1509" i="1"/>
  <c r="L1509" i="1" s="1"/>
  <c r="Z1501" i="1"/>
  <c r="L1501" i="1" s="1"/>
  <c r="M1502" i="1" s="1"/>
  <c r="N1502" i="1" s="1"/>
  <c r="Z1493" i="1"/>
  <c r="L1493" i="1" s="1"/>
  <c r="Z1485" i="1"/>
  <c r="L1485" i="1" s="1"/>
  <c r="Z1477" i="1"/>
  <c r="L1477" i="1" s="1"/>
  <c r="Z1469" i="1"/>
  <c r="L1469" i="1" s="1"/>
  <c r="Z1461" i="1"/>
  <c r="L1461" i="1" s="1"/>
  <c r="Z1453" i="1"/>
  <c r="L1453" i="1" s="1"/>
  <c r="Z1445" i="1"/>
  <c r="L1445" i="1" s="1"/>
  <c r="Z1437" i="1"/>
  <c r="L1437" i="1" s="1"/>
  <c r="Z1429" i="1"/>
  <c r="L1429" i="1" s="1"/>
  <c r="Z1421" i="1"/>
  <c r="L1421" i="1" s="1"/>
  <c r="Z1413" i="1"/>
  <c r="L1413" i="1" s="1"/>
  <c r="Z1405" i="1"/>
  <c r="L1405" i="1" s="1"/>
  <c r="Z1397" i="1"/>
  <c r="L1397" i="1" s="1"/>
  <c r="Z1389" i="1"/>
  <c r="L1389" i="1" s="1"/>
  <c r="Z1381" i="1"/>
  <c r="L1381" i="1" s="1"/>
  <c r="Z1373" i="1"/>
  <c r="L1373" i="1" s="1"/>
  <c r="Z1365" i="1"/>
  <c r="L1365" i="1" s="1"/>
  <c r="Z1357" i="1"/>
  <c r="L1357" i="1" s="1"/>
  <c r="Z1349" i="1"/>
  <c r="L1349" i="1" s="1"/>
  <c r="Z1341" i="1"/>
  <c r="L1341" i="1" s="1"/>
  <c r="Z1333" i="1"/>
  <c r="L1333" i="1" s="1"/>
  <c r="Z1325" i="1"/>
  <c r="L1325" i="1" s="1"/>
  <c r="Z1317" i="1"/>
  <c r="L1317" i="1" s="1"/>
  <c r="Z1309" i="1"/>
  <c r="L1309" i="1" s="1"/>
  <c r="Z1301" i="1"/>
  <c r="L1301" i="1" s="1"/>
  <c r="Z1293" i="1"/>
  <c r="L1293" i="1" s="1"/>
  <c r="Z1285" i="1"/>
  <c r="L1285" i="1" s="1"/>
  <c r="Z1277" i="1"/>
  <c r="L1277" i="1" s="1"/>
  <c r="Z1269" i="1"/>
  <c r="L1269" i="1" s="1"/>
  <c r="Z1261" i="1"/>
  <c r="L1261" i="1" s="1"/>
  <c r="Z1253" i="1"/>
  <c r="L1253" i="1" s="1"/>
  <c r="Z1245" i="1"/>
  <c r="L1245" i="1" s="1"/>
  <c r="Z1237" i="1"/>
  <c r="L1237" i="1" s="1"/>
  <c r="Z1229" i="1"/>
  <c r="L1229" i="1" s="1"/>
  <c r="Z1221" i="1"/>
  <c r="L1221" i="1" s="1"/>
  <c r="Z1213" i="1"/>
  <c r="L1213" i="1" s="1"/>
  <c r="Z1205" i="1"/>
  <c r="L1205" i="1" s="1"/>
  <c r="Z1197" i="1"/>
  <c r="L1197" i="1" s="1"/>
  <c r="Z1189" i="1"/>
  <c r="L1189" i="1" s="1"/>
  <c r="Z1181" i="1"/>
  <c r="L1181" i="1" s="1"/>
  <c r="Z1173" i="1"/>
  <c r="L1173" i="1" s="1"/>
  <c r="Z1165" i="1"/>
  <c r="L1165" i="1" s="1"/>
  <c r="Z1157" i="1"/>
  <c r="L1157" i="1" s="1"/>
  <c r="Z1149" i="1"/>
  <c r="L1149" i="1" s="1"/>
  <c r="Z1141" i="1"/>
  <c r="L1141" i="1" s="1"/>
  <c r="Z1133" i="1"/>
  <c r="L1133" i="1" s="1"/>
  <c r="Z1125" i="1"/>
  <c r="L1125" i="1" s="1"/>
  <c r="Z1117" i="1"/>
  <c r="L1117" i="1" s="1"/>
  <c r="Z1109" i="1"/>
  <c r="L1109" i="1" s="1"/>
  <c r="Z1101" i="1"/>
  <c r="L1101" i="1" s="1"/>
  <c r="Z1093" i="1"/>
  <c r="L1093" i="1" s="1"/>
  <c r="Z1085" i="1"/>
  <c r="L1085" i="1" s="1"/>
  <c r="Z1077" i="1"/>
  <c r="L1077" i="1" s="1"/>
  <c r="Z1069" i="1"/>
  <c r="L1069" i="1" s="1"/>
  <c r="Z1061" i="1"/>
  <c r="L1061" i="1" s="1"/>
  <c r="Z1053" i="1"/>
  <c r="L1053" i="1" s="1"/>
  <c r="Z1045" i="1"/>
  <c r="L1045" i="1" s="1"/>
  <c r="Z1037" i="1"/>
  <c r="L1037" i="1" s="1"/>
  <c r="Z1029" i="1"/>
  <c r="L1029" i="1" s="1"/>
  <c r="Z1021" i="1"/>
  <c r="L1021" i="1" s="1"/>
  <c r="Z1013" i="1"/>
  <c r="L1013" i="1" s="1"/>
  <c r="Z1005" i="1"/>
  <c r="L1005" i="1" s="1"/>
  <c r="Z997" i="1"/>
  <c r="L997" i="1" s="1"/>
  <c r="Z989" i="1"/>
  <c r="L989" i="1" s="1"/>
  <c r="Z677" i="1"/>
  <c r="Z985" i="1"/>
  <c r="L985" i="1" s="1"/>
  <c r="Z977" i="1"/>
  <c r="L977" i="1" s="1"/>
  <c r="M978" i="1" s="1"/>
  <c r="N978" i="1" s="1"/>
  <c r="Z969" i="1"/>
  <c r="L969" i="1" s="1"/>
  <c r="Z961" i="1"/>
  <c r="L961" i="1" s="1"/>
  <c r="Z953" i="1"/>
  <c r="L953" i="1" s="1"/>
  <c r="Z945" i="1"/>
  <c r="L945" i="1" s="1"/>
  <c r="Z937" i="1"/>
  <c r="L937" i="1" s="1"/>
  <c r="Z929" i="1"/>
  <c r="L929" i="1" s="1"/>
  <c r="Z921" i="1"/>
  <c r="L921" i="1" s="1"/>
  <c r="Z913" i="1"/>
  <c r="L913" i="1" s="1"/>
  <c r="Z905" i="1"/>
  <c r="L905" i="1" s="1"/>
  <c r="Z897" i="1"/>
  <c r="L897" i="1" s="1"/>
  <c r="Z889" i="1"/>
  <c r="L889" i="1" s="1"/>
  <c r="M890" i="1" s="1"/>
  <c r="N890" i="1" s="1"/>
  <c r="Z881" i="1"/>
  <c r="L881" i="1" s="1"/>
  <c r="Z873" i="1"/>
  <c r="L873" i="1" s="1"/>
  <c r="Z865" i="1"/>
  <c r="L865" i="1" s="1"/>
  <c r="Z857" i="1"/>
  <c r="L857" i="1" s="1"/>
  <c r="Z849" i="1"/>
  <c r="L849" i="1" s="1"/>
  <c r="M850" i="1" s="1"/>
  <c r="N850" i="1" s="1"/>
  <c r="Z841" i="1"/>
  <c r="L841" i="1" s="1"/>
  <c r="Z833" i="1"/>
  <c r="L833" i="1" s="1"/>
  <c r="Z817" i="1"/>
  <c r="L817" i="1" s="1"/>
  <c r="Z809" i="1"/>
  <c r="L809" i="1" s="1"/>
  <c r="Z801" i="1"/>
  <c r="L801" i="1" s="1"/>
  <c r="Z793" i="1"/>
  <c r="L793" i="1" s="1"/>
  <c r="Z785" i="1"/>
  <c r="L785" i="1" s="1"/>
  <c r="Z777" i="1"/>
  <c r="L777" i="1" s="1"/>
  <c r="Z769" i="1"/>
  <c r="L769" i="1" s="1"/>
  <c r="Z761" i="1"/>
  <c r="L761" i="1" s="1"/>
  <c r="Z753" i="1"/>
  <c r="L753" i="1" s="1"/>
  <c r="Z745" i="1"/>
  <c r="L745" i="1" s="1"/>
  <c r="Z737" i="1"/>
  <c r="L737" i="1" s="1"/>
  <c r="Z729" i="1"/>
  <c r="Z721" i="1"/>
  <c r="Z713" i="1"/>
  <c r="Z705" i="1"/>
  <c r="Z697" i="1"/>
  <c r="Z689" i="1"/>
  <c r="Z681" i="1"/>
  <c r="Z673" i="1"/>
  <c r="Z665" i="1"/>
  <c r="Z657" i="1"/>
  <c r="Z649" i="1"/>
  <c r="Z641" i="1"/>
  <c r="Z633" i="1"/>
  <c r="Z625" i="1"/>
  <c r="Z617" i="1"/>
  <c r="Z609" i="1"/>
  <c r="Z601" i="1"/>
  <c r="Z593" i="1"/>
  <c r="Z585" i="1"/>
  <c r="Z577" i="1"/>
  <c r="Z569" i="1"/>
  <c r="Z561" i="1"/>
  <c r="Z553" i="1"/>
  <c r="Z545" i="1"/>
  <c r="Z537" i="1"/>
  <c r="Z529" i="1"/>
  <c r="Z521" i="1"/>
  <c r="Z513" i="1"/>
  <c r="Z505" i="1"/>
  <c r="Z497" i="1"/>
  <c r="Z489" i="1"/>
  <c r="Z481" i="1"/>
  <c r="Z473" i="1"/>
  <c r="Z465" i="1"/>
  <c r="Z457" i="1"/>
  <c r="Z449" i="1"/>
  <c r="Z441" i="1"/>
  <c r="Z433" i="1"/>
  <c r="Z425" i="1"/>
  <c r="Z417" i="1"/>
  <c r="Z409" i="1"/>
  <c r="Z401" i="1"/>
  <c r="Z393" i="1"/>
  <c r="Z385" i="1"/>
  <c r="Z377" i="1"/>
  <c r="Z369" i="1"/>
  <c r="Z361" i="1"/>
  <c r="Z353" i="1"/>
  <c r="Z774" i="1"/>
  <c r="L774" i="1" s="1"/>
  <c r="Z766" i="1"/>
  <c r="L766" i="1" s="1"/>
  <c r="Z758" i="1"/>
  <c r="L758" i="1" s="1"/>
  <c r="Z750" i="1"/>
  <c r="L750" i="1" s="1"/>
  <c r="M751" i="1" s="1"/>
  <c r="N751" i="1" s="1"/>
  <c r="Z742" i="1"/>
  <c r="L742" i="1" s="1"/>
  <c r="Z734" i="1"/>
  <c r="L734" i="1" s="1"/>
  <c r="Z726" i="1"/>
  <c r="Z718" i="1"/>
  <c r="Z710" i="1"/>
  <c r="Z702" i="1"/>
  <c r="Z694" i="1"/>
  <c r="Z686" i="1"/>
  <c r="Z678" i="1"/>
  <c r="Z670" i="1"/>
  <c r="Z662" i="1"/>
  <c r="Z654" i="1"/>
  <c r="Z646" i="1"/>
  <c r="Z638" i="1"/>
  <c r="Z630" i="1"/>
  <c r="Z622" i="1"/>
  <c r="Z614" i="1"/>
  <c r="Z606" i="1"/>
  <c r="Z598" i="1"/>
  <c r="Z590" i="1"/>
  <c r="Z582" i="1"/>
  <c r="Z574" i="1"/>
  <c r="Z566" i="1"/>
  <c r="Z558" i="1"/>
  <c r="Z550" i="1"/>
  <c r="Z542" i="1"/>
  <c r="Z534" i="1"/>
  <c r="Z526" i="1"/>
  <c r="Z518" i="1"/>
  <c r="Z510" i="1"/>
  <c r="Z502" i="1"/>
  <c r="Z494" i="1"/>
  <c r="Z486" i="1"/>
  <c r="Z478" i="1"/>
  <c r="Z470" i="1"/>
  <c r="Z462" i="1"/>
  <c r="Z454" i="1"/>
  <c r="Z446" i="1"/>
  <c r="Z438" i="1"/>
  <c r="Z430" i="1"/>
  <c r="Z422" i="1"/>
  <c r="Z414" i="1"/>
  <c r="Z406" i="1"/>
  <c r="Z398" i="1"/>
  <c r="Z390" i="1"/>
  <c r="Z382" i="1"/>
  <c r="Z374" i="1"/>
  <c r="Z366" i="1"/>
  <c r="Z358" i="1"/>
  <c r="Z350" i="1"/>
  <c r="Z981" i="1"/>
  <c r="L981" i="1" s="1"/>
  <c r="Z973" i="1"/>
  <c r="L973" i="1" s="1"/>
  <c r="Z965" i="1"/>
  <c r="L965" i="1" s="1"/>
  <c r="Z957" i="1"/>
  <c r="L957" i="1" s="1"/>
  <c r="Z949" i="1"/>
  <c r="L949" i="1" s="1"/>
  <c r="Z941" i="1"/>
  <c r="L941" i="1" s="1"/>
  <c r="Z933" i="1"/>
  <c r="L933" i="1" s="1"/>
  <c r="Z925" i="1"/>
  <c r="L925" i="1" s="1"/>
  <c r="Z917" i="1"/>
  <c r="L917" i="1" s="1"/>
  <c r="Z909" i="1"/>
  <c r="L909" i="1" s="1"/>
  <c r="Z901" i="1"/>
  <c r="L901" i="1" s="1"/>
  <c r="Z893" i="1"/>
  <c r="L893" i="1" s="1"/>
  <c r="Z885" i="1"/>
  <c r="L885" i="1" s="1"/>
  <c r="Z877" i="1"/>
  <c r="L877" i="1" s="1"/>
  <c r="Z869" i="1"/>
  <c r="L869" i="1" s="1"/>
  <c r="M870" i="1" s="1"/>
  <c r="N870" i="1" s="1"/>
  <c r="Z861" i="1"/>
  <c r="L861" i="1" s="1"/>
  <c r="Z853" i="1"/>
  <c r="L853" i="1" s="1"/>
  <c r="Z845" i="1"/>
  <c r="L845" i="1" s="1"/>
  <c r="Z837" i="1"/>
  <c r="L837" i="1" s="1"/>
  <c r="Z829" i="1"/>
  <c r="L829" i="1" s="1"/>
  <c r="Z821" i="1"/>
  <c r="L821" i="1" s="1"/>
  <c r="Z813" i="1"/>
  <c r="L813" i="1" s="1"/>
  <c r="Z805" i="1"/>
  <c r="L805" i="1" s="1"/>
  <c r="Z797" i="1"/>
  <c r="L797" i="1" s="1"/>
  <c r="Z789" i="1"/>
  <c r="L789" i="1" s="1"/>
  <c r="Z781" i="1"/>
  <c r="L781" i="1" s="1"/>
  <c r="Z773" i="1"/>
  <c r="L773" i="1" s="1"/>
  <c r="Z765" i="1"/>
  <c r="L765" i="1" s="1"/>
  <c r="Z757" i="1"/>
  <c r="L757" i="1" s="1"/>
  <c r="Z749" i="1"/>
  <c r="L749" i="1" s="1"/>
  <c r="Z741" i="1"/>
  <c r="L741" i="1" s="1"/>
  <c r="Z733" i="1"/>
  <c r="L733" i="1" s="1"/>
  <c r="Z725" i="1"/>
  <c r="Z717" i="1"/>
  <c r="Z709" i="1"/>
  <c r="Z701" i="1"/>
  <c r="Z693" i="1"/>
  <c r="Z685" i="1"/>
  <c r="Z669" i="1"/>
  <c r="Z661" i="1"/>
  <c r="Z653" i="1"/>
  <c r="Z645" i="1"/>
  <c r="Z637" i="1"/>
  <c r="Z629" i="1"/>
  <c r="Z621" i="1"/>
  <c r="Z613" i="1"/>
  <c r="Z605" i="1"/>
  <c r="Z597" i="1"/>
  <c r="Z589" i="1"/>
  <c r="Z581" i="1"/>
  <c r="Z573" i="1"/>
  <c r="Z565" i="1"/>
  <c r="Z557" i="1"/>
  <c r="Z549" i="1"/>
  <c r="Z541" i="1"/>
  <c r="Z533" i="1"/>
  <c r="Z525" i="1"/>
  <c r="Z517" i="1"/>
  <c r="Z509" i="1"/>
  <c r="Z501" i="1"/>
  <c r="Z493" i="1"/>
  <c r="Z485" i="1"/>
  <c r="Z477" i="1"/>
  <c r="Z469" i="1"/>
  <c r="Z461" i="1"/>
  <c r="Z453" i="1"/>
  <c r="Z445" i="1"/>
  <c r="Z437" i="1"/>
  <c r="Z429" i="1"/>
  <c r="Z421" i="1"/>
  <c r="Z413" i="1"/>
  <c r="Z405" i="1"/>
  <c r="Z397" i="1"/>
  <c r="Z389" i="1"/>
  <c r="Z381" i="1"/>
  <c r="Z373" i="1"/>
  <c r="Z365" i="1"/>
  <c r="Z357" i="1"/>
  <c r="Z349" i="1"/>
  <c r="Z341" i="1"/>
  <c r="Z293" i="1"/>
  <c r="Z277" i="1"/>
  <c r="Z229" i="1"/>
  <c r="Z165" i="1"/>
  <c r="Z972" i="1"/>
  <c r="L972" i="1" s="1"/>
  <c r="Z964" i="1"/>
  <c r="L964" i="1" s="1"/>
  <c r="Z956" i="1"/>
  <c r="L956" i="1" s="1"/>
  <c r="Z948" i="1"/>
  <c r="L948" i="1" s="1"/>
  <c r="Z940" i="1"/>
  <c r="L940" i="1" s="1"/>
  <c r="Z924" i="1"/>
  <c r="L924" i="1" s="1"/>
  <c r="Z916" i="1"/>
  <c r="L916" i="1" s="1"/>
  <c r="Z908" i="1"/>
  <c r="L908" i="1" s="1"/>
  <c r="Z900" i="1"/>
  <c r="L900" i="1" s="1"/>
  <c r="Z892" i="1"/>
  <c r="L892" i="1" s="1"/>
  <c r="Z876" i="1"/>
  <c r="L876" i="1" s="1"/>
  <c r="Z868" i="1"/>
  <c r="L868" i="1" s="1"/>
  <c r="Z860" i="1"/>
  <c r="L860" i="1" s="1"/>
  <c r="Z852" i="1"/>
  <c r="L852" i="1" s="1"/>
  <c r="Z844" i="1"/>
  <c r="L844" i="1" s="1"/>
  <c r="Z836" i="1"/>
  <c r="L836" i="1" s="1"/>
  <c r="Z828" i="1"/>
  <c r="L828" i="1" s="1"/>
  <c r="Z820" i="1"/>
  <c r="L820" i="1" s="1"/>
  <c r="Z812" i="1"/>
  <c r="L812" i="1" s="1"/>
  <c r="Z804" i="1"/>
  <c r="L804" i="1" s="1"/>
  <c r="Z796" i="1"/>
  <c r="L796" i="1" s="1"/>
  <c r="Z788" i="1"/>
  <c r="L788" i="1" s="1"/>
  <c r="Z780" i="1"/>
  <c r="L780" i="1" s="1"/>
  <c r="Z772" i="1"/>
  <c r="L772" i="1" s="1"/>
  <c r="Z764" i="1"/>
  <c r="L764" i="1" s="1"/>
  <c r="M765" i="1" s="1"/>
  <c r="N765" i="1" s="1"/>
  <c r="Z756" i="1"/>
  <c r="L756" i="1" s="1"/>
  <c r="Z748" i="1"/>
  <c r="L748" i="1" s="1"/>
  <c r="Z740" i="1"/>
  <c r="L740" i="1" s="1"/>
  <c r="Z732" i="1"/>
  <c r="Z724" i="1"/>
  <c r="Z716" i="1"/>
  <c r="Z708" i="1"/>
  <c r="Z700" i="1"/>
  <c r="Z692" i="1"/>
  <c r="Z684" i="1"/>
  <c r="Z676" i="1"/>
  <c r="Z668" i="1"/>
  <c r="Z660" i="1"/>
  <c r="Z652" i="1"/>
  <c r="Z644" i="1"/>
  <c r="Z636" i="1"/>
  <c r="Z628" i="1"/>
  <c r="Z620" i="1"/>
  <c r="Z612" i="1"/>
  <c r="Z604" i="1"/>
  <c r="Z596" i="1"/>
  <c r="Z588" i="1"/>
  <c r="Z580" i="1"/>
  <c r="Z572" i="1"/>
  <c r="Z564" i="1"/>
  <c r="Z556" i="1"/>
  <c r="Z548" i="1"/>
  <c r="Z540" i="1"/>
  <c r="Z532" i="1"/>
  <c r="Z524" i="1"/>
  <c r="Z516" i="1"/>
  <c r="Z508" i="1"/>
  <c r="Z500" i="1"/>
  <c r="Z492" i="1"/>
  <c r="Z484" i="1"/>
  <c r="Z476" i="1"/>
  <c r="Z468" i="1"/>
  <c r="Z460" i="1"/>
  <c r="Z452" i="1"/>
  <c r="Z444" i="1"/>
  <c r="Z436" i="1"/>
  <c r="Z428" i="1"/>
  <c r="Z420" i="1"/>
  <c r="Z412" i="1"/>
  <c r="Z404" i="1"/>
  <c r="Z396" i="1"/>
  <c r="Z388" i="1"/>
  <c r="Z380" i="1"/>
  <c r="Z372" i="1"/>
  <c r="Z364" i="1"/>
  <c r="Z348" i="1"/>
  <c r="Z292" i="1"/>
  <c r="Z236" i="1"/>
  <c r="Z172" i="1"/>
  <c r="Z124" i="1"/>
  <c r="Z108" i="1"/>
  <c r="Z345" i="1"/>
  <c r="Z337" i="1"/>
  <c r="Z329" i="1"/>
  <c r="Z321" i="1"/>
  <c r="Z313" i="1"/>
  <c r="Z305" i="1"/>
  <c r="Z297" i="1"/>
  <c r="Z289" i="1"/>
  <c r="Z281" i="1"/>
  <c r="Z273" i="1"/>
  <c r="Z265" i="1"/>
  <c r="Z257" i="1"/>
  <c r="Z249" i="1"/>
  <c r="Z241" i="1"/>
  <c r="Z233" i="1"/>
  <c r="Z225" i="1"/>
  <c r="Z217" i="1"/>
  <c r="Z209" i="1"/>
  <c r="Z201" i="1"/>
  <c r="Z193" i="1"/>
  <c r="Z185" i="1"/>
  <c r="Z177" i="1"/>
  <c r="Z169" i="1"/>
  <c r="Z161" i="1"/>
  <c r="Z153" i="1"/>
  <c r="Z145" i="1"/>
  <c r="Z137" i="1"/>
  <c r="Z129" i="1"/>
  <c r="Z121" i="1"/>
  <c r="Z113" i="1"/>
  <c r="Z105" i="1"/>
  <c r="Z97" i="1"/>
  <c r="Z89" i="1"/>
  <c r="Z81" i="1"/>
  <c r="Z73" i="1"/>
  <c r="Z65" i="1"/>
  <c r="Z343" i="1"/>
  <c r="Z335" i="1"/>
  <c r="Z327" i="1"/>
  <c r="Z319" i="1"/>
  <c r="Z311" i="1"/>
  <c r="Z303" i="1"/>
  <c r="Z295" i="1"/>
  <c r="Z287" i="1"/>
  <c r="Z279" i="1"/>
  <c r="Z271" i="1"/>
  <c r="Z263" i="1"/>
  <c r="Z255" i="1"/>
  <c r="Z247" i="1"/>
  <c r="Z239" i="1"/>
  <c r="Z231" i="1"/>
  <c r="Z223" i="1"/>
  <c r="Z215" i="1"/>
  <c r="Z207" i="1"/>
  <c r="Z199" i="1"/>
  <c r="Z191" i="1"/>
  <c r="Z183" i="1"/>
  <c r="Z175" i="1"/>
  <c r="Z167" i="1"/>
  <c r="Z159" i="1"/>
  <c r="Z151" i="1"/>
  <c r="Z143" i="1"/>
  <c r="Z135" i="1"/>
  <c r="Z127" i="1"/>
  <c r="Z119" i="1"/>
  <c r="Z111" i="1"/>
  <c r="Z103" i="1"/>
  <c r="Z95" i="1"/>
  <c r="Z87" i="1"/>
  <c r="Z79" i="1"/>
  <c r="Z71" i="1"/>
  <c r="Z63" i="1"/>
  <c r="Z333" i="1"/>
  <c r="Z325" i="1"/>
  <c r="Z317" i="1"/>
  <c r="Z309" i="1"/>
  <c r="Z301" i="1"/>
  <c r="Z285" i="1"/>
  <c r="Z269" i="1"/>
  <c r="Z261" i="1"/>
  <c r="Z253" i="1"/>
  <c r="Z245" i="1"/>
  <c r="Z237" i="1"/>
  <c r="Z221" i="1"/>
  <c r="Z213" i="1"/>
  <c r="Z205" i="1"/>
  <c r="Z197" i="1"/>
  <c r="Z189" i="1"/>
  <c r="Z181" i="1"/>
  <c r="Z173" i="1"/>
  <c r="Z157" i="1"/>
  <c r="Z149" i="1"/>
  <c r="Z141" i="1"/>
  <c r="Z133" i="1"/>
  <c r="Z125" i="1"/>
  <c r="Z117" i="1"/>
  <c r="Z109" i="1"/>
  <c r="Z101" i="1"/>
  <c r="Z93" i="1"/>
  <c r="Z85" i="1"/>
  <c r="Z77" i="1"/>
  <c r="Z69" i="1"/>
  <c r="Z340" i="1"/>
  <c r="Z332" i="1"/>
  <c r="Z324" i="1"/>
  <c r="Z316" i="1"/>
  <c r="Z308" i="1"/>
  <c r="Z300" i="1"/>
  <c r="Z284" i="1"/>
  <c r="Z276" i="1"/>
  <c r="Z268" i="1"/>
  <c r="Z260" i="1"/>
  <c r="Z252" i="1"/>
  <c r="Z244" i="1"/>
  <c r="Z220" i="1"/>
  <c r="Z212" i="1"/>
  <c r="Z204" i="1"/>
  <c r="Z196" i="1"/>
  <c r="Z188" i="1"/>
  <c r="Z180" i="1"/>
  <c r="Z164" i="1"/>
  <c r="Z156" i="1"/>
  <c r="Z148" i="1"/>
  <c r="Z140" i="1"/>
  <c r="Z132" i="1"/>
  <c r="Z116" i="1"/>
  <c r="Z100" i="1"/>
  <c r="Z92" i="1"/>
  <c r="Z84" i="1"/>
  <c r="Z76" i="1"/>
  <c r="Z68" i="1"/>
  <c r="Z107" i="1"/>
  <c r="Z99" i="1"/>
  <c r="Z91" i="1"/>
  <c r="Z83" i="1"/>
  <c r="Z75" i="1"/>
  <c r="L1633" i="1"/>
  <c r="L1614" i="1"/>
  <c r="O1072" i="1" l="1"/>
  <c r="P1072" i="1"/>
  <c r="O1136" i="1"/>
  <c r="P1136" i="1"/>
  <c r="P1583" i="1"/>
  <c r="O1601" i="1"/>
  <c r="P1601" i="1"/>
  <c r="O1502" i="1"/>
  <c r="P1502" i="1"/>
  <c r="O807" i="1"/>
  <c r="P807" i="1"/>
  <c r="O1016" i="1"/>
  <c r="P1016" i="1"/>
  <c r="O953" i="1"/>
  <c r="P953" i="1"/>
  <c r="O933" i="1"/>
  <c r="P933" i="1"/>
  <c r="O1116" i="1"/>
  <c r="P1116" i="1"/>
  <c r="O1279" i="1"/>
  <c r="P1279" i="1"/>
  <c r="O890" i="1"/>
  <c r="P890" i="1"/>
  <c r="O1646" i="1"/>
  <c r="P1646" i="1"/>
  <c r="O1096" i="1"/>
  <c r="P1096" i="1"/>
  <c r="O1224" i="1"/>
  <c r="P1224" i="1"/>
  <c r="O1316" i="1"/>
  <c r="P1316" i="1"/>
  <c r="O1161" i="1"/>
  <c r="P1161" i="1"/>
  <c r="O1403" i="1"/>
  <c r="P1403" i="1"/>
  <c r="O870" i="1"/>
  <c r="P870" i="1"/>
  <c r="O826" i="1"/>
  <c r="P826" i="1"/>
  <c r="O1626" i="1"/>
  <c r="P1626" i="1"/>
  <c r="O1053" i="1"/>
  <c r="P1053" i="1"/>
  <c r="O1360" i="1"/>
  <c r="P1360" i="1"/>
  <c r="O1297" i="1"/>
  <c r="P1297" i="1"/>
  <c r="O1420" i="1"/>
  <c r="P1420" i="1"/>
  <c r="O1484" i="1"/>
  <c r="P1484" i="1"/>
  <c r="O1539" i="1"/>
  <c r="P1539" i="1"/>
  <c r="O751" i="1"/>
  <c r="P751" i="1"/>
  <c r="O997" i="1"/>
  <c r="P997" i="1"/>
  <c r="P1445" i="1"/>
  <c r="O1204" i="1"/>
  <c r="P1204" i="1"/>
  <c r="O1035" i="1"/>
  <c r="P1035" i="1"/>
  <c r="O765" i="1"/>
  <c r="P765" i="1"/>
  <c r="O850" i="1"/>
  <c r="P850" i="1"/>
  <c r="O978" i="1"/>
  <c r="P978" i="1"/>
  <c r="O1261" i="1"/>
  <c r="P1261" i="1"/>
  <c r="O1340" i="1"/>
  <c r="P1340" i="1"/>
  <c r="O915" i="1"/>
  <c r="P915" i="1"/>
  <c r="O1521" i="1"/>
  <c r="P1521" i="1"/>
  <c r="P784" i="1"/>
  <c r="O1384" i="1"/>
  <c r="P1384" i="1"/>
  <c r="O1179" i="1"/>
  <c r="P1179" i="1"/>
  <c r="O1243" i="1"/>
  <c r="P1243" i="1"/>
  <c r="O1563" i="1"/>
  <c r="P1563" i="1"/>
  <c r="O1465" i="1"/>
  <c r="P1465" i="1"/>
  <c r="R61" i="1"/>
  <c r="Q61" i="1"/>
  <c r="U61" i="1" s="1"/>
  <c r="V61" i="1" s="1"/>
  <c r="O1445" i="1"/>
  <c r="O784" i="1"/>
  <c r="O1583" i="1"/>
  <c r="M1137" i="1"/>
  <c r="N1137" i="1" s="1"/>
  <c r="M954" i="1"/>
  <c r="M1225" i="1"/>
  <c r="M1073" i="1"/>
  <c r="N1073" i="1" s="1"/>
  <c r="M1627" i="1"/>
  <c r="N1627" i="1" s="1"/>
  <c r="M1361" i="1"/>
  <c r="M752" i="1"/>
  <c r="M1446" i="1"/>
  <c r="M851" i="1"/>
  <c r="N851" i="1" s="1"/>
  <c r="M979" i="1"/>
  <c r="M1385" i="1"/>
  <c r="M1280" i="1"/>
  <c r="N1280" i="1" s="1"/>
  <c r="M998" i="1"/>
  <c r="M871" i="1"/>
  <c r="M827" i="1"/>
  <c r="M1054" i="1"/>
  <c r="M1262" i="1"/>
  <c r="M1341" i="1"/>
  <c r="N1341" i="1" s="1"/>
  <c r="M1522" i="1"/>
  <c r="M785" i="1"/>
  <c r="N785" i="1" s="1"/>
  <c r="M1180" i="1"/>
  <c r="M1244" i="1"/>
  <c r="M1564" i="1"/>
  <c r="M1466" i="1"/>
  <c r="N1466" i="1" s="1"/>
  <c r="M1584" i="1"/>
  <c r="M1602" i="1"/>
  <c r="M1117" i="1"/>
  <c r="N1117" i="1" s="1"/>
  <c r="M1503" i="1"/>
  <c r="M934" i="1"/>
  <c r="N934" i="1" s="1"/>
  <c r="M1162" i="1"/>
  <c r="M891" i="1"/>
  <c r="M1097" i="1"/>
  <c r="M1317" i="1"/>
  <c r="N1317" i="1" s="1"/>
  <c r="M1205" i="1"/>
  <c r="M1540" i="1"/>
  <c r="M808" i="1"/>
  <c r="N808" i="1" s="1"/>
  <c r="M1017" i="1"/>
  <c r="M1404" i="1"/>
  <c r="M1647" i="1"/>
  <c r="M1298" i="1"/>
  <c r="M1421" i="1"/>
  <c r="M1485" i="1"/>
  <c r="N1485" i="1" s="1"/>
  <c r="M1036" i="1"/>
  <c r="M766" i="1"/>
  <c r="N766" i="1" s="1"/>
  <c r="M916" i="1"/>
  <c r="P1421" i="1" l="1"/>
  <c r="N1421" i="1"/>
  <c r="P1162" i="1"/>
  <c r="N1162" i="1"/>
  <c r="P871" i="1"/>
  <c r="N871" i="1"/>
  <c r="P916" i="1"/>
  <c r="N916" i="1"/>
  <c r="P1017" i="1"/>
  <c r="N1017" i="1"/>
  <c r="P1180" i="1"/>
  <c r="N1180" i="1"/>
  <c r="P998" i="1"/>
  <c r="N998" i="1"/>
  <c r="P1503" i="1"/>
  <c r="N1503" i="1"/>
  <c r="P1584" i="1"/>
  <c r="N1584" i="1"/>
  <c r="P1404" i="1"/>
  <c r="N1404" i="1"/>
  <c r="P1244" i="1"/>
  <c r="N1244" i="1"/>
  <c r="P1361" i="1"/>
  <c r="N1361" i="1"/>
  <c r="P1036" i="1"/>
  <c r="N1036" i="1"/>
  <c r="P1540" i="1"/>
  <c r="N1540" i="1"/>
  <c r="P1522" i="1"/>
  <c r="N1522" i="1"/>
  <c r="P1385" i="1"/>
  <c r="N1385" i="1"/>
  <c r="P1225" i="1"/>
  <c r="N1225" i="1"/>
  <c r="P1205" i="1"/>
  <c r="N1205" i="1"/>
  <c r="P1602" i="1"/>
  <c r="N1602" i="1"/>
  <c r="P979" i="1"/>
  <c r="N979" i="1"/>
  <c r="P954" i="1"/>
  <c r="N954" i="1"/>
  <c r="P1262" i="1"/>
  <c r="N1262" i="1"/>
  <c r="P1298" i="1"/>
  <c r="N1298" i="1"/>
  <c r="P1097" i="1"/>
  <c r="N1097" i="1"/>
  <c r="P1054" i="1"/>
  <c r="N1054" i="1"/>
  <c r="P1446" i="1"/>
  <c r="N1446" i="1"/>
  <c r="P1647" i="1"/>
  <c r="N1647" i="1"/>
  <c r="P891" i="1"/>
  <c r="N891" i="1"/>
  <c r="P1564" i="1"/>
  <c r="N1564" i="1"/>
  <c r="P827" i="1"/>
  <c r="N827" i="1"/>
  <c r="P752" i="1"/>
  <c r="N752" i="1"/>
  <c r="O766" i="1"/>
  <c r="O808" i="1"/>
  <c r="P934" i="1"/>
  <c r="P1073" i="1"/>
  <c r="O1036" i="1"/>
  <c r="O1522" i="1"/>
  <c r="P766" i="1"/>
  <c r="O1602" i="1"/>
  <c r="P1280" i="1"/>
  <c r="P808" i="1"/>
  <c r="O1262" i="1"/>
  <c r="O1421" i="1"/>
  <c r="O1298" i="1"/>
  <c r="O1466" i="1"/>
  <c r="P1317" i="1"/>
  <c r="O827" i="1"/>
  <c r="O752" i="1"/>
  <c r="P785" i="1"/>
  <c r="P1627" i="1"/>
  <c r="P1137" i="1"/>
  <c r="O1404" i="1"/>
  <c r="O871" i="1"/>
  <c r="P1466" i="1"/>
  <c r="P1341" i="1"/>
  <c r="P851" i="1"/>
  <c r="P1485" i="1"/>
  <c r="P1117" i="1"/>
  <c r="O1180" i="1"/>
  <c r="O998" i="1"/>
  <c r="O954" i="1"/>
  <c r="O1280" i="1"/>
  <c r="O1317" i="1"/>
  <c r="O1361" i="1"/>
  <c r="O1341" i="1"/>
  <c r="O1017" i="1"/>
  <c r="O1540" i="1"/>
  <c r="O934" i="1"/>
  <c r="O916" i="1"/>
  <c r="O1647" i="1"/>
  <c r="O891" i="1"/>
  <c r="O1244" i="1"/>
  <c r="O1073" i="1"/>
  <c r="O1503" i="1"/>
  <c r="O851" i="1"/>
  <c r="O979" i="1"/>
  <c r="O1485" i="1"/>
  <c r="O1564" i="1"/>
  <c r="O1117" i="1"/>
  <c r="O1205" i="1"/>
  <c r="O1097" i="1"/>
  <c r="O1162" i="1"/>
  <c r="R765" i="1"/>
  <c r="R1316" i="1"/>
  <c r="R1563" i="1"/>
  <c r="R915" i="1"/>
  <c r="R1502" i="1"/>
  <c r="R1224" i="1"/>
  <c r="R1035" i="1"/>
  <c r="R1016" i="1"/>
  <c r="R1243" i="1"/>
  <c r="R1340" i="1"/>
  <c r="R1484" i="1"/>
  <c r="R826" i="1"/>
  <c r="R1161" i="1"/>
  <c r="R1465" i="1"/>
  <c r="R1179" i="1"/>
  <c r="R1261" i="1"/>
  <c r="R1204" i="1"/>
  <c r="R1420" i="1"/>
  <c r="R870" i="1"/>
  <c r="R1096" i="1"/>
  <c r="R1626" i="1"/>
  <c r="R1384" i="1"/>
  <c r="R978" i="1"/>
  <c r="R997" i="1"/>
  <c r="R1297" i="1"/>
  <c r="R1116" i="1"/>
  <c r="R1646" i="1"/>
  <c r="R933" i="1"/>
  <c r="R751" i="1"/>
  <c r="R1360" i="1"/>
  <c r="R807" i="1"/>
  <c r="R890" i="1"/>
  <c r="R1601" i="1"/>
  <c r="R1521" i="1"/>
  <c r="R784" i="1"/>
  <c r="R850" i="1"/>
  <c r="R1072" i="1"/>
  <c r="R1539" i="1"/>
  <c r="R1136" i="1"/>
  <c r="R1279" i="1"/>
  <c r="R1403" i="1"/>
  <c r="R1053" i="1"/>
  <c r="R953" i="1"/>
  <c r="O785" i="1"/>
  <c r="O1385" i="1"/>
  <c r="O1137" i="1"/>
  <c r="R1583" i="1"/>
  <c r="O1584" i="1"/>
  <c r="R1445" i="1"/>
  <c r="O1446" i="1"/>
  <c r="O1225" i="1"/>
  <c r="O1054" i="1"/>
  <c r="O1627" i="1"/>
  <c r="M1226" i="1"/>
  <c r="N1226" i="1" s="1"/>
  <c r="M955" i="1"/>
  <c r="M1386" i="1"/>
  <c r="N1386" i="1" s="1"/>
  <c r="M1362" i="1"/>
  <c r="N1362" i="1" s="1"/>
  <c r="M1074" i="1"/>
  <c r="M753" i="1"/>
  <c r="N753" i="1" s="1"/>
  <c r="M980" i="1"/>
  <c r="N980" i="1" s="1"/>
  <c r="M1138" i="1"/>
  <c r="M1055" i="1"/>
  <c r="N1055" i="1" s="1"/>
  <c r="M1447" i="1"/>
  <c r="N1447" i="1" s="1"/>
  <c r="M1037" i="1"/>
  <c r="N1037" i="1" s="1"/>
  <c r="M1467" i="1"/>
  <c r="N1467" i="1" s="1"/>
  <c r="M1163" i="1"/>
  <c r="N1163" i="1" s="1"/>
  <c r="M999" i="1"/>
  <c r="M1422" i="1"/>
  <c r="N1422" i="1" s="1"/>
  <c r="M809" i="1"/>
  <c r="M935" i="1"/>
  <c r="N935" i="1" s="1"/>
  <c r="M1245" i="1"/>
  <c r="M1281" i="1"/>
  <c r="M1405" i="1"/>
  <c r="M1342" i="1"/>
  <c r="M1018" i="1"/>
  <c r="N1018" i="1" s="1"/>
  <c r="M1263" i="1"/>
  <c r="N1263" i="1" s="1"/>
  <c r="M1299" i="1"/>
  <c r="M1541" i="1"/>
  <c r="M1504" i="1"/>
  <c r="M1181" i="1"/>
  <c r="M852" i="1"/>
  <c r="N852" i="1" s="1"/>
  <c r="M892" i="1"/>
  <c r="M1486" i="1"/>
  <c r="M1565" i="1"/>
  <c r="N1565" i="1" s="1"/>
  <c r="M1206" i="1"/>
  <c r="M1118" i="1"/>
  <c r="N1118" i="1" s="1"/>
  <c r="M917" i="1"/>
  <c r="N917" i="1" s="1"/>
  <c r="M1603" i="1"/>
  <c r="M786" i="1"/>
  <c r="M767" i="1"/>
  <c r="N767" i="1" s="1"/>
  <c r="M1318" i="1"/>
  <c r="N1318" i="1" s="1"/>
  <c r="M1585" i="1"/>
  <c r="N1585" i="1" s="1"/>
  <c r="M828" i="1"/>
  <c r="N828" i="1" s="1"/>
  <c r="M1648" i="1"/>
  <c r="N1648" i="1" s="1"/>
  <c r="M1098" i="1"/>
  <c r="M1523" i="1"/>
  <c r="M872" i="1"/>
  <c r="N872" i="1" s="1"/>
  <c r="M1628" i="1"/>
  <c r="N1628" i="1" s="1"/>
  <c r="P1603" i="1" l="1"/>
  <c r="N1603" i="1"/>
  <c r="P1098" i="1"/>
  <c r="N1098" i="1"/>
  <c r="P1504" i="1"/>
  <c r="N1504" i="1"/>
  <c r="P1245" i="1"/>
  <c r="N1245" i="1"/>
  <c r="P955" i="1"/>
  <c r="N955" i="1"/>
  <c r="P786" i="1"/>
  <c r="N786" i="1"/>
  <c r="P1405" i="1"/>
  <c r="N1405" i="1"/>
  <c r="P1523" i="1"/>
  <c r="N1523" i="1"/>
  <c r="P1181" i="1"/>
  <c r="N1181" i="1"/>
  <c r="P1281" i="1"/>
  <c r="N1281" i="1"/>
  <c r="P1541" i="1"/>
  <c r="N1541" i="1"/>
  <c r="P1206" i="1"/>
  <c r="N1206" i="1"/>
  <c r="P1299" i="1"/>
  <c r="N1299" i="1"/>
  <c r="P1138" i="1"/>
  <c r="N1138" i="1"/>
  <c r="P1486" i="1"/>
  <c r="N1486" i="1"/>
  <c r="P999" i="1"/>
  <c r="N999" i="1"/>
  <c r="P809" i="1"/>
  <c r="N809" i="1"/>
  <c r="P892" i="1"/>
  <c r="N892" i="1"/>
  <c r="P1342" i="1"/>
  <c r="N1342" i="1"/>
  <c r="P1074" i="1"/>
  <c r="N1074" i="1"/>
  <c r="O1263" i="1"/>
  <c r="O1422" i="1"/>
  <c r="P935" i="1"/>
  <c r="O999" i="1"/>
  <c r="P1018" i="1"/>
  <c r="P1565" i="1"/>
  <c r="P1263" i="1"/>
  <c r="O767" i="1"/>
  <c r="O872" i="1"/>
  <c r="O1405" i="1"/>
  <c r="O1467" i="1"/>
  <c r="P1362" i="1"/>
  <c r="P1648" i="1"/>
  <c r="P1318" i="1"/>
  <c r="P1118" i="1"/>
  <c r="O1523" i="1"/>
  <c r="O1603" i="1"/>
  <c r="O1181" i="1"/>
  <c r="P872" i="1"/>
  <c r="P1585" i="1"/>
  <c r="P1037" i="1"/>
  <c r="P917" i="1"/>
  <c r="P753" i="1"/>
  <c r="P1447" i="1"/>
  <c r="P1422" i="1"/>
  <c r="P767" i="1"/>
  <c r="P1055" i="1"/>
  <c r="P1226" i="1"/>
  <c r="O828" i="1"/>
  <c r="O1299" i="1"/>
  <c r="P1163" i="1"/>
  <c r="P828" i="1"/>
  <c r="P1467" i="1"/>
  <c r="P852" i="1"/>
  <c r="P980" i="1"/>
  <c r="P1386" i="1"/>
  <c r="P1628" i="1"/>
  <c r="O1281" i="1"/>
  <c r="O1318" i="1"/>
  <c r="O1362" i="1"/>
  <c r="O1342" i="1"/>
  <c r="O1541" i="1"/>
  <c r="O1018" i="1"/>
  <c r="O809" i="1"/>
  <c r="O935" i="1"/>
  <c r="O1648" i="1"/>
  <c r="O955" i="1"/>
  <c r="O1245" i="1"/>
  <c r="O1074" i="1"/>
  <c r="O892" i="1"/>
  <c r="O1504" i="1"/>
  <c r="O852" i="1"/>
  <c r="O1118" i="1"/>
  <c r="O1486" i="1"/>
  <c r="O1098" i="1"/>
  <c r="O1206" i="1"/>
  <c r="O980" i="1"/>
  <c r="O1565" i="1"/>
  <c r="O786" i="1"/>
  <c r="R1522" i="1"/>
  <c r="R891" i="1"/>
  <c r="R1036" i="1"/>
  <c r="R954" i="1"/>
  <c r="R1280" i="1"/>
  <c r="R934" i="1"/>
  <c r="R1647" i="1"/>
  <c r="R785" i="1"/>
  <c r="R851" i="1"/>
  <c r="R1385" i="1"/>
  <c r="R1503" i="1"/>
  <c r="R916" i="1"/>
  <c r="R1317" i="1"/>
  <c r="R1564" i="1"/>
  <c r="R1404" i="1"/>
  <c r="R1466" i="1"/>
  <c r="R1361" i="1"/>
  <c r="R808" i="1"/>
  <c r="R979" i="1"/>
  <c r="R1097" i="1"/>
  <c r="R1117" i="1"/>
  <c r="R1421" i="1"/>
  <c r="R766" i="1"/>
  <c r="R1298" i="1"/>
  <c r="R1262" i="1"/>
  <c r="R1162" i="1"/>
  <c r="R1540" i="1"/>
  <c r="R871" i="1"/>
  <c r="R1602" i="1"/>
  <c r="R1180" i="1"/>
  <c r="R1017" i="1"/>
  <c r="R752" i="1"/>
  <c r="R1244" i="1"/>
  <c r="R1205" i="1"/>
  <c r="R1341" i="1"/>
  <c r="R1073" i="1"/>
  <c r="R998" i="1"/>
  <c r="R827" i="1"/>
  <c r="R1485" i="1"/>
  <c r="O1386" i="1"/>
  <c r="O1163" i="1"/>
  <c r="O753" i="1"/>
  <c r="O1055" i="1"/>
  <c r="R1137" i="1"/>
  <c r="O1138" i="1"/>
  <c r="O1585" i="1"/>
  <c r="R1584" i="1"/>
  <c r="O1447" i="1"/>
  <c r="R1446" i="1"/>
  <c r="R1225" i="1"/>
  <c r="R1054" i="1"/>
  <c r="O1226" i="1"/>
  <c r="R1627" i="1"/>
  <c r="O917" i="1"/>
  <c r="O1628" i="1"/>
  <c r="O1037" i="1"/>
  <c r="M1227" i="1"/>
  <c r="M956" i="1"/>
  <c r="N956" i="1" s="1"/>
  <c r="M1387" i="1"/>
  <c r="M1363" i="1"/>
  <c r="N1363" i="1" s="1"/>
  <c r="M1139" i="1"/>
  <c r="M1075" i="1"/>
  <c r="M754" i="1"/>
  <c r="M981" i="1"/>
  <c r="N981" i="1" s="1"/>
  <c r="M1448" i="1"/>
  <c r="N1448" i="1" s="1"/>
  <c r="M1056" i="1"/>
  <c r="N1056" i="1" s="1"/>
  <c r="M1524" i="1"/>
  <c r="M810" i="1"/>
  <c r="N810" i="1" s="1"/>
  <c r="M1542" i="1"/>
  <c r="M1343" i="1"/>
  <c r="M1505" i="1"/>
  <c r="M1019" i="1"/>
  <c r="M1282" i="1"/>
  <c r="M1468" i="1"/>
  <c r="M1629" i="1"/>
  <c r="N1629" i="1" s="1"/>
  <c r="M1586" i="1"/>
  <c r="N1586" i="1" s="1"/>
  <c r="M1566" i="1"/>
  <c r="M1423" i="1"/>
  <c r="N1423" i="1" s="1"/>
  <c r="M1038" i="1"/>
  <c r="M1099" i="1"/>
  <c r="M787" i="1"/>
  <c r="N787" i="1" s="1"/>
  <c r="M918" i="1"/>
  <c r="M853" i="1"/>
  <c r="M1300" i="1"/>
  <c r="N1300" i="1" s="1"/>
  <c r="M1406" i="1"/>
  <c r="M1319" i="1"/>
  <c r="N1319" i="1" s="1"/>
  <c r="M1119" i="1"/>
  <c r="M1487" i="1"/>
  <c r="N1487" i="1" s="1"/>
  <c r="M1246" i="1"/>
  <c r="M1000" i="1"/>
  <c r="M873" i="1"/>
  <c r="M1649" i="1"/>
  <c r="N1649" i="1" s="1"/>
  <c r="M1604" i="1"/>
  <c r="M1182" i="1"/>
  <c r="M1264" i="1"/>
  <c r="M829" i="1"/>
  <c r="M768" i="1"/>
  <c r="M1207" i="1"/>
  <c r="N1207" i="1" s="1"/>
  <c r="M893" i="1"/>
  <c r="M936" i="1"/>
  <c r="N936" i="1" s="1"/>
  <c r="M1164" i="1"/>
  <c r="C2" i="2"/>
  <c r="C3" i="2"/>
  <c r="C4" i="2"/>
  <c r="C5" i="2"/>
  <c r="C6" i="2"/>
  <c r="C7" i="2"/>
  <c r="C8" i="2"/>
  <c r="C9" i="2"/>
  <c r="C10" i="2"/>
  <c r="C1" i="2"/>
  <c r="B2" i="2"/>
  <c r="B3" i="2"/>
  <c r="B4" i="2"/>
  <c r="B5" i="2"/>
  <c r="B6" i="2"/>
  <c r="B7" i="2"/>
  <c r="B8" i="2"/>
  <c r="B9" i="2"/>
  <c r="B10" i="2"/>
  <c r="B1" i="2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12" i="1"/>
  <c r="P1264" i="1" l="1"/>
  <c r="N1264" i="1"/>
  <c r="P1505" i="1"/>
  <c r="N1505" i="1"/>
  <c r="P1182" i="1"/>
  <c r="N1182" i="1"/>
  <c r="P1075" i="1"/>
  <c r="N1075" i="1"/>
  <c r="P853" i="1"/>
  <c r="N853" i="1"/>
  <c r="P1387" i="1"/>
  <c r="N1387" i="1"/>
  <c r="P1468" i="1"/>
  <c r="N1468" i="1"/>
  <c r="P918" i="1"/>
  <c r="N918" i="1"/>
  <c r="P768" i="1"/>
  <c r="N768" i="1"/>
  <c r="P1246" i="1"/>
  <c r="N1246" i="1"/>
  <c r="P1282" i="1"/>
  <c r="N1282" i="1"/>
  <c r="P1227" i="1"/>
  <c r="N1227" i="1"/>
  <c r="P893" i="1"/>
  <c r="N893" i="1"/>
  <c r="P873" i="1"/>
  <c r="N873" i="1"/>
  <c r="P1524" i="1"/>
  <c r="N1524" i="1"/>
  <c r="P1629" i="1"/>
  <c r="P1000" i="1"/>
  <c r="N1000" i="1"/>
  <c r="P829" i="1"/>
  <c r="N829" i="1"/>
  <c r="P1099" i="1"/>
  <c r="N1099" i="1"/>
  <c r="P1019" i="1"/>
  <c r="N1019" i="1"/>
  <c r="P1038" i="1"/>
  <c r="N1038" i="1"/>
  <c r="P1343" i="1"/>
  <c r="N1343" i="1"/>
  <c r="P1119" i="1"/>
  <c r="N1119" i="1"/>
  <c r="P754" i="1"/>
  <c r="N754" i="1"/>
  <c r="P1164" i="1"/>
  <c r="N1164" i="1"/>
  <c r="P1604" i="1"/>
  <c r="N1604" i="1"/>
  <c r="P1406" i="1"/>
  <c r="N1406" i="1"/>
  <c r="P1566" i="1"/>
  <c r="N1566" i="1"/>
  <c r="P1542" i="1"/>
  <c r="N1542" i="1"/>
  <c r="P1139" i="1"/>
  <c r="N1139" i="1"/>
  <c r="O1423" i="1"/>
  <c r="O1300" i="1"/>
  <c r="O1363" i="1"/>
  <c r="P1300" i="1"/>
  <c r="P1423" i="1"/>
  <c r="O873" i="1"/>
  <c r="O1524" i="1"/>
  <c r="O1468" i="1"/>
  <c r="P1207" i="1"/>
  <c r="O1000" i="1"/>
  <c r="O768" i="1"/>
  <c r="O829" i="1"/>
  <c r="P1649" i="1"/>
  <c r="P1487" i="1"/>
  <c r="O1264" i="1"/>
  <c r="P787" i="1"/>
  <c r="P1319" i="1"/>
  <c r="P1586" i="1"/>
  <c r="P956" i="1"/>
  <c r="O1182" i="1"/>
  <c r="O1406" i="1"/>
  <c r="P810" i="1"/>
  <c r="P1056" i="1"/>
  <c r="P1448" i="1"/>
  <c r="P1363" i="1"/>
  <c r="P981" i="1"/>
  <c r="P936" i="1"/>
  <c r="O1282" i="1"/>
  <c r="O1319" i="1"/>
  <c r="O1343" i="1"/>
  <c r="O810" i="1"/>
  <c r="O1542" i="1"/>
  <c r="O1649" i="1"/>
  <c r="O936" i="1"/>
  <c r="O956" i="1"/>
  <c r="O1075" i="1"/>
  <c r="O1246" i="1"/>
  <c r="O853" i="1"/>
  <c r="O893" i="1"/>
  <c r="O1119" i="1"/>
  <c r="O787" i="1"/>
  <c r="O1487" i="1"/>
  <c r="O1099" i="1"/>
  <c r="O1207" i="1"/>
  <c r="O981" i="1"/>
  <c r="O1586" i="1"/>
  <c r="O1164" i="1"/>
  <c r="O754" i="1"/>
  <c r="O1387" i="1"/>
  <c r="R1074" i="1"/>
  <c r="R1565" i="1"/>
  <c r="R1342" i="1"/>
  <c r="R935" i="1"/>
  <c r="R1467" i="1"/>
  <c r="R1281" i="1"/>
  <c r="R1603" i="1"/>
  <c r="R999" i="1"/>
  <c r="R1118" i="1"/>
  <c r="R1263" i="1"/>
  <c r="R1362" i="1"/>
  <c r="R1386" i="1"/>
  <c r="R1422" i="1"/>
  <c r="R1541" i="1"/>
  <c r="R828" i="1"/>
  <c r="R1405" i="1"/>
  <c r="R1447" i="1"/>
  <c r="R1318" i="1"/>
  <c r="R1523" i="1"/>
  <c r="R1486" i="1"/>
  <c r="R892" i="1"/>
  <c r="R852" i="1"/>
  <c r="R809" i="1"/>
  <c r="R1245" i="1"/>
  <c r="R1163" i="1"/>
  <c r="R1206" i="1"/>
  <c r="R767" i="1"/>
  <c r="R1585" i="1"/>
  <c r="R955" i="1"/>
  <c r="R1018" i="1"/>
  <c r="R1098" i="1"/>
  <c r="R1181" i="1"/>
  <c r="R1299" i="1"/>
  <c r="R872" i="1"/>
  <c r="R1504" i="1"/>
  <c r="R980" i="1"/>
  <c r="R786" i="1"/>
  <c r="R753" i="1"/>
  <c r="R1648" i="1"/>
  <c r="R1055" i="1"/>
  <c r="O1056" i="1"/>
  <c r="O1139" i="1"/>
  <c r="R1138" i="1"/>
  <c r="O1448" i="1"/>
  <c r="O1038" i="1"/>
  <c r="O1227" i="1"/>
  <c r="R917" i="1"/>
  <c r="R1226" i="1"/>
  <c r="O918" i="1"/>
  <c r="R1037" i="1"/>
  <c r="R1628" i="1"/>
  <c r="O1604" i="1"/>
  <c r="O1566" i="1"/>
  <c r="O1629" i="1"/>
  <c r="O1505" i="1"/>
  <c r="Z60" i="1"/>
  <c r="O1019" i="1"/>
  <c r="M1228" i="1"/>
  <c r="M957" i="1"/>
  <c r="M1364" i="1"/>
  <c r="N1364" i="1" s="1"/>
  <c r="M1388" i="1"/>
  <c r="M1140" i="1"/>
  <c r="M1076" i="1"/>
  <c r="M982" i="1"/>
  <c r="N982" i="1" s="1"/>
  <c r="M1449" i="1"/>
  <c r="N1449" i="1" s="1"/>
  <c r="M1057" i="1"/>
  <c r="N1057" i="1" s="1"/>
  <c r="M755" i="1"/>
  <c r="M830" i="1"/>
  <c r="N830" i="1" s="1"/>
  <c r="M1605" i="1"/>
  <c r="M1001" i="1"/>
  <c r="M1320" i="1"/>
  <c r="M919" i="1"/>
  <c r="M1424" i="1"/>
  <c r="M1587" i="1"/>
  <c r="M1020" i="1"/>
  <c r="N1020" i="1" s="1"/>
  <c r="M1344" i="1"/>
  <c r="N1344" i="1" s="1"/>
  <c r="M811" i="1"/>
  <c r="M894" i="1"/>
  <c r="M1650" i="1"/>
  <c r="M1247" i="1"/>
  <c r="N1247" i="1" s="1"/>
  <c r="M1407" i="1"/>
  <c r="M788" i="1"/>
  <c r="M1630" i="1"/>
  <c r="N1630" i="1" s="1"/>
  <c r="M1506" i="1"/>
  <c r="N1506" i="1" s="1"/>
  <c r="M1543" i="1"/>
  <c r="M1165" i="1"/>
  <c r="M1208" i="1"/>
  <c r="M1265" i="1"/>
  <c r="M874" i="1"/>
  <c r="M1488" i="1"/>
  <c r="M1301" i="1"/>
  <c r="M1100" i="1"/>
  <c r="N1100" i="1" s="1"/>
  <c r="M1567" i="1"/>
  <c r="N1567" i="1" s="1"/>
  <c r="M1469" i="1"/>
  <c r="M937" i="1"/>
  <c r="M769" i="1"/>
  <c r="M1183" i="1"/>
  <c r="N1183" i="1" s="1"/>
  <c r="M1120" i="1"/>
  <c r="M854" i="1"/>
  <c r="M1039" i="1"/>
  <c r="N1039" i="1" s="1"/>
  <c r="M1283" i="1"/>
  <c r="M1525" i="1"/>
  <c r="L732" i="1"/>
  <c r="L467" i="1"/>
  <c r="L459" i="1"/>
  <c r="L451" i="1"/>
  <c r="L443" i="1"/>
  <c r="M444" i="1" s="1"/>
  <c r="N444" i="1" s="1"/>
  <c r="L435" i="1"/>
  <c r="L427" i="1"/>
  <c r="L419" i="1"/>
  <c r="L411" i="1"/>
  <c r="L403" i="1"/>
  <c r="L395" i="1"/>
  <c r="L387" i="1"/>
  <c r="L379" i="1"/>
  <c r="L371" i="1"/>
  <c r="L363" i="1"/>
  <c r="L355" i="1"/>
  <c r="L347" i="1"/>
  <c r="L339" i="1"/>
  <c r="L331" i="1"/>
  <c r="L323" i="1"/>
  <c r="L315" i="1"/>
  <c r="L307" i="1"/>
  <c r="L299" i="1"/>
  <c r="L291" i="1"/>
  <c r="L283" i="1"/>
  <c r="L275" i="1"/>
  <c r="L267" i="1"/>
  <c r="L259" i="1"/>
  <c r="L251" i="1"/>
  <c r="L243" i="1"/>
  <c r="L235" i="1"/>
  <c r="L227" i="1"/>
  <c r="L219" i="1"/>
  <c r="M220" i="1" s="1"/>
  <c r="N220" i="1" s="1"/>
  <c r="L211" i="1"/>
  <c r="L203" i="1"/>
  <c r="L195" i="1"/>
  <c r="L187" i="1"/>
  <c r="L179" i="1"/>
  <c r="L163" i="1"/>
  <c r="L147" i="1"/>
  <c r="L139" i="1"/>
  <c r="L131" i="1"/>
  <c r="L123" i="1"/>
  <c r="L115" i="1"/>
  <c r="L720" i="1"/>
  <c r="L680" i="1"/>
  <c r="L640" i="1"/>
  <c r="L600" i="1"/>
  <c r="L544" i="1"/>
  <c r="L504" i="1"/>
  <c r="L456" i="1"/>
  <c r="L400" i="1"/>
  <c r="L336" i="1"/>
  <c r="L272" i="1"/>
  <c r="L208" i="1"/>
  <c r="L144" i="1"/>
  <c r="L64" i="1"/>
  <c r="L704" i="1"/>
  <c r="L672" i="1"/>
  <c r="L632" i="1"/>
  <c r="L592" i="1"/>
  <c r="L568" i="1"/>
  <c r="L528" i="1"/>
  <c r="L488" i="1"/>
  <c r="L440" i="1"/>
  <c r="L408" i="1"/>
  <c r="L384" i="1"/>
  <c r="L360" i="1"/>
  <c r="L320" i="1"/>
  <c r="L288" i="1"/>
  <c r="L248" i="1"/>
  <c r="L216" i="1"/>
  <c r="L152" i="1"/>
  <c r="L120" i="1"/>
  <c r="L96" i="1"/>
  <c r="L696" i="1"/>
  <c r="L656" i="1"/>
  <c r="L616" i="1"/>
  <c r="L576" i="1"/>
  <c r="L520" i="1"/>
  <c r="L480" i="1"/>
  <c r="L448" i="1"/>
  <c r="L416" i="1"/>
  <c r="L392" i="1"/>
  <c r="L352" i="1"/>
  <c r="L304" i="1"/>
  <c r="L264" i="1"/>
  <c r="L224" i="1"/>
  <c r="L192" i="1"/>
  <c r="L176" i="1"/>
  <c r="L136" i="1"/>
  <c r="L88" i="1"/>
  <c r="L712" i="1"/>
  <c r="L664" i="1"/>
  <c r="L624" i="1"/>
  <c r="L584" i="1"/>
  <c r="L560" i="1"/>
  <c r="L536" i="1"/>
  <c r="L496" i="1"/>
  <c r="L464" i="1"/>
  <c r="L424" i="1"/>
  <c r="L376" i="1"/>
  <c r="M377" i="1" s="1"/>
  <c r="N377" i="1" s="1"/>
  <c r="L328" i="1"/>
  <c r="L280" i="1"/>
  <c r="L240" i="1"/>
  <c r="L184" i="1"/>
  <c r="L160" i="1"/>
  <c r="L112" i="1"/>
  <c r="M113" i="1" s="1"/>
  <c r="N113" i="1" s="1"/>
  <c r="L80" i="1"/>
  <c r="L728" i="1"/>
  <c r="L688" i="1"/>
  <c r="L648" i="1"/>
  <c r="L608" i="1"/>
  <c r="L552" i="1"/>
  <c r="L512" i="1"/>
  <c r="L472" i="1"/>
  <c r="L432" i="1"/>
  <c r="L368" i="1"/>
  <c r="L344" i="1"/>
  <c r="L312" i="1"/>
  <c r="L296" i="1"/>
  <c r="M297" i="1" s="1"/>
  <c r="N297" i="1" s="1"/>
  <c r="L256" i="1"/>
  <c r="L232" i="1"/>
  <c r="L200" i="1"/>
  <c r="L168" i="1"/>
  <c r="L128" i="1"/>
  <c r="L104" i="1"/>
  <c r="L731" i="1"/>
  <c r="M732" i="1" s="1"/>
  <c r="N732" i="1" s="1"/>
  <c r="L683" i="1"/>
  <c r="L635" i="1"/>
  <c r="L579" i="1"/>
  <c r="L507" i="1"/>
  <c r="M508" i="1" s="1"/>
  <c r="N508" i="1" s="1"/>
  <c r="L723" i="1"/>
  <c r="L691" i="1"/>
  <c r="L643" i="1"/>
  <c r="L603" i="1"/>
  <c r="L563" i="1"/>
  <c r="M564" i="1" s="1"/>
  <c r="N564" i="1" s="1"/>
  <c r="L547" i="1"/>
  <c r="L483" i="1"/>
  <c r="M484" i="1" s="1"/>
  <c r="N484" i="1" s="1"/>
  <c r="L715" i="1"/>
  <c r="L659" i="1"/>
  <c r="L595" i="1"/>
  <c r="L475" i="1"/>
  <c r="L675" i="1"/>
  <c r="L619" i="1"/>
  <c r="L571" i="1"/>
  <c r="L531" i="1"/>
  <c r="L499" i="1"/>
  <c r="L515" i="1"/>
  <c r="L707" i="1"/>
  <c r="L651" i="1"/>
  <c r="L611" i="1"/>
  <c r="L555" i="1"/>
  <c r="L523" i="1"/>
  <c r="L386" i="1"/>
  <c r="L378" i="1"/>
  <c r="L370" i="1"/>
  <c r="L362" i="1"/>
  <c r="L354" i="1"/>
  <c r="L346" i="1"/>
  <c r="L338" i="1"/>
  <c r="M339" i="1" s="1"/>
  <c r="N339" i="1" s="1"/>
  <c r="L330" i="1"/>
  <c r="L322" i="1"/>
  <c r="L314" i="1"/>
  <c r="M315" i="1" s="1"/>
  <c r="N315" i="1" s="1"/>
  <c r="L306" i="1"/>
  <c r="L298" i="1"/>
  <c r="L290" i="1"/>
  <c r="L282" i="1"/>
  <c r="L274" i="1"/>
  <c r="L266" i="1"/>
  <c r="L258" i="1"/>
  <c r="L250" i="1"/>
  <c r="L242" i="1"/>
  <c r="L234" i="1"/>
  <c r="L226" i="1"/>
  <c r="L218" i="1"/>
  <c r="L210" i="1"/>
  <c r="L202" i="1"/>
  <c r="L194" i="1"/>
  <c r="M195" i="1" s="1"/>
  <c r="N195" i="1" s="1"/>
  <c r="L186" i="1"/>
  <c r="L178" i="1"/>
  <c r="L170" i="1"/>
  <c r="L162" i="1"/>
  <c r="L146" i="1"/>
  <c r="L138" i="1"/>
  <c r="L130" i="1"/>
  <c r="L122" i="1"/>
  <c r="L114" i="1"/>
  <c r="L106" i="1"/>
  <c r="L98" i="1"/>
  <c r="L699" i="1"/>
  <c r="L667" i="1"/>
  <c r="L627" i="1"/>
  <c r="L587" i="1"/>
  <c r="L539" i="1"/>
  <c r="L491" i="1"/>
  <c r="L394" i="1"/>
  <c r="L90" i="1"/>
  <c r="L82" i="1"/>
  <c r="L74" i="1"/>
  <c r="L66" i="1"/>
  <c r="L725" i="1"/>
  <c r="L717" i="1"/>
  <c r="L709" i="1"/>
  <c r="L701" i="1"/>
  <c r="L693" i="1"/>
  <c r="L685" i="1"/>
  <c r="L677" i="1"/>
  <c r="L669" i="1"/>
  <c r="M670" i="1" s="1"/>
  <c r="N670" i="1" s="1"/>
  <c r="L661" i="1"/>
  <c r="L653" i="1"/>
  <c r="L645" i="1"/>
  <c r="M646" i="1" s="1"/>
  <c r="N646" i="1" s="1"/>
  <c r="L637" i="1"/>
  <c r="L629" i="1"/>
  <c r="L621" i="1"/>
  <c r="L613" i="1"/>
  <c r="L605" i="1"/>
  <c r="L597" i="1"/>
  <c r="L589" i="1"/>
  <c r="L581" i="1"/>
  <c r="L573" i="1"/>
  <c r="L565" i="1"/>
  <c r="L557" i="1"/>
  <c r="L549" i="1"/>
  <c r="L541" i="1"/>
  <c r="L525" i="1"/>
  <c r="L517" i="1"/>
  <c r="L509" i="1"/>
  <c r="L501" i="1"/>
  <c r="L493" i="1"/>
  <c r="L485" i="1"/>
  <c r="L477" i="1"/>
  <c r="L469" i="1"/>
  <c r="L461" i="1"/>
  <c r="L453" i="1"/>
  <c r="L445" i="1"/>
  <c r="L437" i="1"/>
  <c r="L429" i="1"/>
  <c r="L421" i="1"/>
  <c r="M422" i="1" s="1"/>
  <c r="N422" i="1" s="1"/>
  <c r="L413" i="1"/>
  <c r="L405" i="1"/>
  <c r="L397" i="1"/>
  <c r="L389" i="1"/>
  <c r="L381" i="1"/>
  <c r="L373" i="1"/>
  <c r="L365" i="1"/>
  <c r="L357" i="1"/>
  <c r="L349" i="1"/>
  <c r="L341" i="1"/>
  <c r="L333" i="1"/>
  <c r="L325" i="1"/>
  <c r="L317" i="1"/>
  <c r="L309" i="1"/>
  <c r="L301" i="1"/>
  <c r="L293" i="1"/>
  <c r="L285" i="1"/>
  <c r="L277" i="1"/>
  <c r="L269" i="1"/>
  <c r="L261" i="1"/>
  <c r="L253" i="1"/>
  <c r="L245" i="1"/>
  <c r="L237" i="1"/>
  <c r="L229" i="1"/>
  <c r="L221" i="1"/>
  <c r="L213" i="1"/>
  <c r="L205" i="1"/>
  <c r="L197" i="1"/>
  <c r="L189" i="1"/>
  <c r="L181" i="1"/>
  <c r="L173" i="1"/>
  <c r="L165" i="1"/>
  <c r="L149" i="1"/>
  <c r="L141" i="1"/>
  <c r="L133" i="1"/>
  <c r="L125" i="1"/>
  <c r="L109" i="1"/>
  <c r="L101" i="1"/>
  <c r="L93" i="1"/>
  <c r="M94" i="1" s="1"/>
  <c r="N94" i="1" s="1"/>
  <c r="L85" i="1"/>
  <c r="L77" i="1"/>
  <c r="L69" i="1"/>
  <c r="M70" i="1" s="1"/>
  <c r="N70" i="1" s="1"/>
  <c r="L61" i="1"/>
  <c r="M62" i="1" s="1"/>
  <c r="N62" i="1" s="1"/>
  <c r="L533" i="1"/>
  <c r="L81" i="1"/>
  <c r="L73" i="1"/>
  <c r="L72" i="1"/>
  <c r="L157" i="1"/>
  <c r="L171" i="1"/>
  <c r="L155" i="1"/>
  <c r="L107" i="1"/>
  <c r="L99" i="1"/>
  <c r="L91" i="1"/>
  <c r="L154" i="1"/>
  <c r="L65" i="1"/>
  <c r="L695" i="1"/>
  <c r="L647" i="1"/>
  <c r="L599" i="1"/>
  <c r="L543" i="1"/>
  <c r="L495" i="1"/>
  <c r="L455" i="1"/>
  <c r="L415" i="1"/>
  <c r="L367" i="1"/>
  <c r="L327" i="1"/>
  <c r="L279" i="1"/>
  <c r="L231" i="1"/>
  <c r="L183" i="1"/>
  <c r="L135" i="1"/>
  <c r="L63" i="1"/>
  <c r="L703" i="1"/>
  <c r="L663" i="1"/>
  <c r="L615" i="1"/>
  <c r="L575" i="1"/>
  <c r="L535" i="1"/>
  <c r="L479" i="1"/>
  <c r="L431" i="1"/>
  <c r="L383" i="1"/>
  <c r="L343" i="1"/>
  <c r="L295" i="1"/>
  <c r="L271" i="1"/>
  <c r="L223" i="1"/>
  <c r="L167" i="1"/>
  <c r="L119" i="1"/>
  <c r="L71" i="1"/>
  <c r="L719" i="1"/>
  <c r="L671" i="1"/>
  <c r="L623" i="1"/>
  <c r="L567" i="1"/>
  <c r="L527" i="1"/>
  <c r="L487" i="1"/>
  <c r="L439" i="1"/>
  <c r="L399" i="1"/>
  <c r="L359" i="1"/>
  <c r="L311" i="1"/>
  <c r="L263" i="1"/>
  <c r="M264" i="1" s="1"/>
  <c r="N264" i="1" s="1"/>
  <c r="L215" i="1"/>
  <c r="L175" i="1"/>
  <c r="M176" i="1" s="1"/>
  <c r="N176" i="1" s="1"/>
  <c r="L127" i="1"/>
  <c r="L87" i="1"/>
  <c r="L727" i="1"/>
  <c r="L679" i="1"/>
  <c r="L631" i="1"/>
  <c r="L591" i="1"/>
  <c r="L551" i="1"/>
  <c r="L511" i="1"/>
  <c r="L463" i="1"/>
  <c r="M464" i="1" s="1"/>
  <c r="N464" i="1" s="1"/>
  <c r="L407" i="1"/>
  <c r="L351" i="1"/>
  <c r="L303" i="1"/>
  <c r="L247" i="1"/>
  <c r="L191" i="1"/>
  <c r="L143" i="1"/>
  <c r="L95" i="1"/>
  <c r="L687" i="1"/>
  <c r="L639" i="1"/>
  <c r="L583" i="1"/>
  <c r="L519" i="1"/>
  <c r="L471" i="1"/>
  <c r="L423" i="1"/>
  <c r="L375" i="1"/>
  <c r="L319" i="1"/>
  <c r="L239" i="1"/>
  <c r="M240" i="1" s="1"/>
  <c r="N240" i="1" s="1"/>
  <c r="L199" i="1"/>
  <c r="L159" i="1"/>
  <c r="L103" i="1"/>
  <c r="L562" i="1"/>
  <c r="L546" i="1"/>
  <c r="L530" i="1"/>
  <c r="L514" i="1"/>
  <c r="L498" i="1"/>
  <c r="L482" i="1"/>
  <c r="L466" i="1"/>
  <c r="L450" i="1"/>
  <c r="L434" i="1"/>
  <c r="L418" i="1"/>
  <c r="L402" i="1"/>
  <c r="L711" i="1"/>
  <c r="L655" i="1"/>
  <c r="L607" i="1"/>
  <c r="L559" i="1"/>
  <c r="L503" i="1"/>
  <c r="L447" i="1"/>
  <c r="L391" i="1"/>
  <c r="L335" i="1"/>
  <c r="L287" i="1"/>
  <c r="L255" i="1"/>
  <c r="L207" i="1"/>
  <c r="L151" i="1"/>
  <c r="L111" i="1"/>
  <c r="L79" i="1"/>
  <c r="L554" i="1"/>
  <c r="L538" i="1"/>
  <c r="L522" i="1"/>
  <c r="L506" i="1"/>
  <c r="L490" i="1"/>
  <c r="L474" i="1"/>
  <c r="L458" i="1"/>
  <c r="L442" i="1"/>
  <c r="L426" i="1"/>
  <c r="L410" i="1"/>
  <c r="L564" i="1"/>
  <c r="L726" i="1"/>
  <c r="L718" i="1"/>
  <c r="L710" i="1"/>
  <c r="L702" i="1"/>
  <c r="L694" i="1"/>
  <c r="L686" i="1"/>
  <c r="M687" i="1" s="1"/>
  <c r="N687" i="1" s="1"/>
  <c r="L678" i="1"/>
  <c r="L670" i="1"/>
  <c r="L662" i="1"/>
  <c r="L500" i="1"/>
  <c r="L436" i="1"/>
  <c r="L724" i="1"/>
  <c r="L716" i="1"/>
  <c r="L708" i="1"/>
  <c r="L700" i="1"/>
  <c r="L684" i="1"/>
  <c r="L676" i="1"/>
  <c r="L668" i="1"/>
  <c r="L660" i="1"/>
  <c r="L652" i="1"/>
  <c r="L644" i="1"/>
  <c r="L636" i="1"/>
  <c r="L620" i="1"/>
  <c r="L612" i="1"/>
  <c r="L604" i="1"/>
  <c r="L596" i="1"/>
  <c r="L588" i="1"/>
  <c r="L580" i="1"/>
  <c r="L572" i="1"/>
  <c r="L556" i="1"/>
  <c r="L548" i="1"/>
  <c r="L540" i="1"/>
  <c r="M541" i="1" s="1"/>
  <c r="N541" i="1" s="1"/>
  <c r="L532" i="1"/>
  <c r="L524" i="1"/>
  <c r="L516" i="1"/>
  <c r="L508" i="1"/>
  <c r="L492" i="1"/>
  <c r="L484" i="1"/>
  <c r="L476" i="1"/>
  <c r="L468" i="1"/>
  <c r="L460" i="1"/>
  <c r="L452" i="1"/>
  <c r="L444" i="1"/>
  <c r="L428" i="1"/>
  <c r="L420" i="1"/>
  <c r="L412" i="1"/>
  <c r="L404" i="1"/>
  <c r="L396" i="1"/>
  <c r="L388" i="1"/>
  <c r="L380" i="1"/>
  <c r="L364" i="1"/>
  <c r="L356" i="1"/>
  <c r="L348" i="1"/>
  <c r="L340" i="1"/>
  <c r="L332" i="1"/>
  <c r="L324" i="1"/>
  <c r="L316" i="1"/>
  <c r="L300" i="1"/>
  <c r="L292" i="1"/>
  <c r="L284" i="1"/>
  <c r="L276" i="1"/>
  <c r="L268" i="1"/>
  <c r="L260" i="1"/>
  <c r="L252" i="1"/>
  <c r="L236" i="1"/>
  <c r="L228" i="1"/>
  <c r="L220" i="1"/>
  <c r="L212" i="1"/>
  <c r="L204" i="1"/>
  <c r="L196" i="1"/>
  <c r="L188" i="1"/>
  <c r="L172" i="1"/>
  <c r="L164" i="1"/>
  <c r="L156" i="1"/>
  <c r="M157" i="1" s="1"/>
  <c r="N157" i="1" s="1"/>
  <c r="L148" i="1"/>
  <c r="L140" i="1"/>
  <c r="L132" i="1"/>
  <c r="M133" i="1" s="1"/>
  <c r="N133" i="1" s="1"/>
  <c r="L124" i="1"/>
  <c r="L108" i="1"/>
  <c r="L100" i="1"/>
  <c r="L92" i="1"/>
  <c r="L84" i="1"/>
  <c r="L76" i="1"/>
  <c r="L68" i="1"/>
  <c r="L372" i="1"/>
  <c r="L117" i="1"/>
  <c r="L116" i="1"/>
  <c r="L308" i="1"/>
  <c r="L730" i="1"/>
  <c r="L714" i="1"/>
  <c r="L698" i="1"/>
  <c r="L682" i="1"/>
  <c r="L666" i="1"/>
  <c r="L650" i="1"/>
  <c r="L634" i="1"/>
  <c r="L618" i="1"/>
  <c r="L602" i="1"/>
  <c r="L586" i="1"/>
  <c r="L570" i="1"/>
  <c r="L244" i="1"/>
  <c r="L722" i="1"/>
  <c r="L706" i="1"/>
  <c r="M707" i="1" s="1"/>
  <c r="N707" i="1" s="1"/>
  <c r="L690" i="1"/>
  <c r="L674" i="1"/>
  <c r="L658" i="1"/>
  <c r="L642" i="1"/>
  <c r="L626" i="1"/>
  <c r="L610" i="1"/>
  <c r="L594" i="1"/>
  <c r="L578" i="1"/>
  <c r="L729" i="1"/>
  <c r="L721" i="1"/>
  <c r="L713" i="1"/>
  <c r="L705" i="1"/>
  <c r="L697" i="1"/>
  <c r="L689" i="1"/>
  <c r="L681" i="1"/>
  <c r="L673" i="1"/>
  <c r="L665" i="1"/>
  <c r="L657" i="1"/>
  <c r="L692" i="1"/>
  <c r="L180" i="1"/>
  <c r="L628" i="1"/>
  <c r="L83" i="1"/>
  <c r="L75" i="1"/>
  <c r="L67" i="1"/>
  <c r="L649" i="1"/>
  <c r="L641" i="1"/>
  <c r="L633" i="1"/>
  <c r="L625" i="1"/>
  <c r="M626" i="1" s="1"/>
  <c r="N626" i="1" s="1"/>
  <c r="L617" i="1"/>
  <c r="L609" i="1"/>
  <c r="L601" i="1"/>
  <c r="M602" i="1" s="1"/>
  <c r="N602" i="1" s="1"/>
  <c r="L593" i="1"/>
  <c r="L585" i="1"/>
  <c r="L577" i="1"/>
  <c r="L569" i="1"/>
  <c r="L561" i="1"/>
  <c r="L553" i="1"/>
  <c r="L545" i="1"/>
  <c r="L537" i="1"/>
  <c r="L529" i="1"/>
  <c r="L521" i="1"/>
  <c r="M522" i="1" s="1"/>
  <c r="N522" i="1" s="1"/>
  <c r="L513" i="1"/>
  <c r="L505" i="1"/>
  <c r="L497" i="1"/>
  <c r="L489" i="1"/>
  <c r="L481" i="1"/>
  <c r="L473" i="1"/>
  <c r="L465" i="1"/>
  <c r="L457" i="1"/>
  <c r="L449" i="1"/>
  <c r="L441" i="1"/>
  <c r="L433" i="1"/>
  <c r="L425" i="1"/>
  <c r="L417" i="1"/>
  <c r="L409" i="1"/>
  <c r="L401" i="1"/>
  <c r="M402" i="1" s="1"/>
  <c r="N402" i="1" s="1"/>
  <c r="L393" i="1"/>
  <c r="L385" i="1"/>
  <c r="L377" i="1"/>
  <c r="L369" i="1"/>
  <c r="L361" i="1"/>
  <c r="L353" i="1"/>
  <c r="L345" i="1"/>
  <c r="L337" i="1"/>
  <c r="L329" i="1"/>
  <c r="L321" i="1"/>
  <c r="L313" i="1"/>
  <c r="L305" i="1"/>
  <c r="L297" i="1"/>
  <c r="L289" i="1"/>
  <c r="L281" i="1"/>
  <c r="M282" i="1" s="1"/>
  <c r="N282" i="1" s="1"/>
  <c r="L273" i="1"/>
  <c r="L265" i="1"/>
  <c r="L257" i="1"/>
  <c r="L249" i="1"/>
  <c r="L241" i="1"/>
  <c r="L233" i="1"/>
  <c r="L225" i="1"/>
  <c r="L217" i="1"/>
  <c r="L209" i="1"/>
  <c r="L201" i="1"/>
  <c r="L193" i="1"/>
  <c r="L185" i="1"/>
  <c r="L177" i="1"/>
  <c r="L169" i="1"/>
  <c r="L161" i="1"/>
  <c r="L153" i="1"/>
  <c r="L145" i="1"/>
  <c r="L137" i="1"/>
  <c r="L129" i="1"/>
  <c r="L121" i="1"/>
  <c r="L113" i="1"/>
  <c r="L105" i="1"/>
  <c r="L97" i="1"/>
  <c r="L89" i="1"/>
  <c r="L654" i="1"/>
  <c r="L646" i="1"/>
  <c r="L638" i="1"/>
  <c r="L630" i="1"/>
  <c r="L622" i="1"/>
  <c r="L614" i="1"/>
  <c r="L606" i="1"/>
  <c r="L598" i="1"/>
  <c r="L590" i="1"/>
  <c r="L582" i="1"/>
  <c r="M583" i="1" s="1"/>
  <c r="N583" i="1" s="1"/>
  <c r="L574" i="1"/>
  <c r="L566" i="1"/>
  <c r="L558" i="1"/>
  <c r="L550" i="1"/>
  <c r="L542" i="1"/>
  <c r="L534" i="1"/>
  <c r="L526" i="1"/>
  <c r="L518" i="1"/>
  <c r="L510" i="1"/>
  <c r="L502" i="1"/>
  <c r="L494" i="1"/>
  <c r="L486" i="1"/>
  <c r="L478" i="1"/>
  <c r="L470" i="1"/>
  <c r="L462" i="1"/>
  <c r="L454" i="1"/>
  <c r="L446" i="1"/>
  <c r="L438" i="1"/>
  <c r="L430" i="1"/>
  <c r="L422" i="1"/>
  <c r="L414" i="1"/>
  <c r="L406" i="1"/>
  <c r="L398" i="1"/>
  <c r="L390" i="1"/>
  <c r="L382" i="1"/>
  <c r="L374" i="1"/>
  <c r="L366" i="1"/>
  <c r="L358" i="1"/>
  <c r="M359" i="1" s="1"/>
  <c r="N359" i="1" s="1"/>
  <c r="L350" i="1"/>
  <c r="L342" i="1"/>
  <c r="L334" i="1"/>
  <c r="L326" i="1"/>
  <c r="L318" i="1"/>
  <c r="L310" i="1"/>
  <c r="L302" i="1"/>
  <c r="L294" i="1"/>
  <c r="L286" i="1"/>
  <c r="L278" i="1"/>
  <c r="L270" i="1"/>
  <c r="L262" i="1"/>
  <c r="L254" i="1"/>
  <c r="L246" i="1"/>
  <c r="L238" i="1"/>
  <c r="L230" i="1"/>
  <c r="L222" i="1"/>
  <c r="L214" i="1"/>
  <c r="L206" i="1"/>
  <c r="L198" i="1"/>
  <c r="L190" i="1"/>
  <c r="L182" i="1"/>
  <c r="L174" i="1"/>
  <c r="L166" i="1"/>
  <c r="L158" i="1"/>
  <c r="L150" i="1"/>
  <c r="L142" i="1"/>
  <c r="L134" i="1"/>
  <c r="L126" i="1"/>
  <c r="L118" i="1"/>
  <c r="L110" i="1"/>
  <c r="L102" i="1"/>
  <c r="L94" i="1"/>
  <c r="L86" i="1"/>
  <c r="L78" i="1"/>
  <c r="L70" i="1"/>
  <c r="L62" i="1"/>
  <c r="P1525" i="1" l="1"/>
  <c r="N1525" i="1"/>
  <c r="P854" i="1"/>
  <c r="N854" i="1"/>
  <c r="P1301" i="1"/>
  <c r="N1301" i="1"/>
  <c r="P755" i="1"/>
  <c r="N755" i="1"/>
  <c r="P957" i="1"/>
  <c r="N957" i="1"/>
  <c r="P1120" i="1"/>
  <c r="N1120" i="1"/>
  <c r="P788" i="1"/>
  <c r="N788" i="1"/>
  <c r="P1587" i="1"/>
  <c r="N1587" i="1"/>
  <c r="P1228" i="1"/>
  <c r="N1228" i="1"/>
  <c r="P874" i="1"/>
  <c r="N874" i="1"/>
  <c r="P1407" i="1"/>
  <c r="N1407" i="1"/>
  <c r="P1424" i="1"/>
  <c r="N1424" i="1"/>
  <c r="P1488" i="1"/>
  <c r="N1488" i="1"/>
  <c r="P769" i="1"/>
  <c r="N769" i="1"/>
  <c r="P1265" i="1"/>
  <c r="N1265" i="1"/>
  <c r="P919" i="1"/>
  <c r="N919" i="1"/>
  <c r="P937" i="1"/>
  <c r="N937" i="1"/>
  <c r="P1208" i="1"/>
  <c r="N1208" i="1"/>
  <c r="P1650" i="1"/>
  <c r="N1650" i="1"/>
  <c r="P1320" i="1"/>
  <c r="N1320" i="1"/>
  <c r="P1076" i="1"/>
  <c r="N1076" i="1"/>
  <c r="P1469" i="1"/>
  <c r="N1469" i="1"/>
  <c r="P1165" i="1"/>
  <c r="N1165" i="1"/>
  <c r="P894" i="1"/>
  <c r="N894" i="1"/>
  <c r="P1001" i="1"/>
  <c r="N1001" i="1"/>
  <c r="P1140" i="1"/>
  <c r="N1140" i="1"/>
  <c r="P1283" i="1"/>
  <c r="N1283" i="1"/>
  <c r="P1543" i="1"/>
  <c r="N1543" i="1"/>
  <c r="P811" i="1"/>
  <c r="N811" i="1"/>
  <c r="P1605" i="1"/>
  <c r="N1605" i="1"/>
  <c r="P1388" i="1"/>
  <c r="N1388" i="1"/>
  <c r="O626" i="1"/>
  <c r="P626" i="1"/>
  <c r="O541" i="1"/>
  <c r="P541" i="1"/>
  <c r="O176" i="1"/>
  <c r="P176" i="1"/>
  <c r="O583" i="1"/>
  <c r="P583" i="1"/>
  <c r="O522" i="1"/>
  <c r="P522" i="1"/>
  <c r="O422" i="1"/>
  <c r="P422" i="1"/>
  <c r="P1567" i="1"/>
  <c r="P830" i="1"/>
  <c r="O402" i="1"/>
  <c r="P402" i="1"/>
  <c r="O264" i="1"/>
  <c r="P264" i="1"/>
  <c r="O377" i="1"/>
  <c r="P377" i="1"/>
  <c r="P1344" i="1"/>
  <c r="P1247" i="1"/>
  <c r="O282" i="1"/>
  <c r="P282" i="1"/>
  <c r="O602" i="1"/>
  <c r="P602" i="1"/>
  <c r="O133" i="1"/>
  <c r="P133" i="1"/>
  <c r="O444" i="1"/>
  <c r="P444" i="1"/>
  <c r="O1301" i="1"/>
  <c r="O707" i="1"/>
  <c r="P707" i="1"/>
  <c r="O646" i="1"/>
  <c r="P646" i="1"/>
  <c r="O315" i="1"/>
  <c r="P315" i="1"/>
  <c r="O508" i="1"/>
  <c r="P508" i="1"/>
  <c r="O113" i="1"/>
  <c r="P113" i="1"/>
  <c r="O687" i="1"/>
  <c r="P687" i="1"/>
  <c r="O94" i="1"/>
  <c r="P94" i="1"/>
  <c r="O359" i="1"/>
  <c r="P359" i="1"/>
  <c r="O195" i="1"/>
  <c r="P195" i="1"/>
  <c r="O484" i="1"/>
  <c r="P484" i="1"/>
  <c r="O1183" i="1"/>
  <c r="O1407" i="1"/>
  <c r="O1424" i="1"/>
  <c r="P1057" i="1"/>
  <c r="P1364" i="1"/>
  <c r="O62" i="1"/>
  <c r="P62" i="1"/>
  <c r="O1265" i="1"/>
  <c r="P982" i="1"/>
  <c r="O240" i="1"/>
  <c r="P240" i="1"/>
  <c r="O464" i="1"/>
  <c r="P464" i="1"/>
  <c r="O70" i="1"/>
  <c r="P70" i="1"/>
  <c r="O670" i="1"/>
  <c r="P670" i="1"/>
  <c r="O339" i="1"/>
  <c r="P339" i="1"/>
  <c r="O564" i="1"/>
  <c r="P564" i="1"/>
  <c r="O297" i="1"/>
  <c r="P297" i="1"/>
  <c r="O220" i="1"/>
  <c r="P220" i="1"/>
  <c r="P1183" i="1"/>
  <c r="P1506" i="1"/>
  <c r="P1020" i="1"/>
  <c r="P1449" i="1"/>
  <c r="P1630" i="1"/>
  <c r="O157" i="1"/>
  <c r="P157" i="1"/>
  <c r="O769" i="1"/>
  <c r="O732" i="1"/>
  <c r="P732" i="1"/>
  <c r="O1525" i="1"/>
  <c r="O1469" i="1"/>
  <c r="O1001" i="1"/>
  <c r="P1039" i="1"/>
  <c r="P1100" i="1"/>
  <c r="O1283" i="1"/>
  <c r="O1320" i="1"/>
  <c r="O854" i="1"/>
  <c r="O937" i="1"/>
  <c r="O1543" i="1"/>
  <c r="O811" i="1"/>
  <c r="O1650" i="1"/>
  <c r="O1076" i="1"/>
  <c r="O1247" i="1"/>
  <c r="O1344" i="1"/>
  <c r="O755" i="1"/>
  <c r="O894" i="1"/>
  <c r="O1120" i="1"/>
  <c r="O788" i="1"/>
  <c r="O1100" i="1"/>
  <c r="O1208" i="1"/>
  <c r="O982" i="1"/>
  <c r="O1165" i="1"/>
  <c r="O1039" i="1"/>
  <c r="O1388" i="1"/>
  <c r="R1119" i="1"/>
  <c r="R1075" i="1"/>
  <c r="R1468" i="1"/>
  <c r="R853" i="1"/>
  <c r="R1343" i="1"/>
  <c r="R1182" i="1"/>
  <c r="R1282" i="1"/>
  <c r="R768" i="1"/>
  <c r="R1649" i="1"/>
  <c r="R754" i="1"/>
  <c r="R1423" i="1"/>
  <c r="R1524" i="1"/>
  <c r="R787" i="1"/>
  <c r="R1000" i="1"/>
  <c r="R1406" i="1"/>
  <c r="R873" i="1"/>
  <c r="R1319" i="1"/>
  <c r="R1246" i="1"/>
  <c r="R829" i="1"/>
  <c r="R1099" i="1"/>
  <c r="R936" i="1"/>
  <c r="R1164" i="1"/>
  <c r="R1542" i="1"/>
  <c r="R1387" i="1"/>
  <c r="R893" i="1"/>
  <c r="R1487" i="1"/>
  <c r="R981" i="1"/>
  <c r="R1586" i="1"/>
  <c r="R956" i="1"/>
  <c r="R1264" i="1"/>
  <c r="R1207" i="1"/>
  <c r="R810" i="1"/>
  <c r="R1300" i="1"/>
  <c r="R1363" i="1"/>
  <c r="O1057" i="1"/>
  <c r="R1056" i="1"/>
  <c r="O1587" i="1"/>
  <c r="O1140" i="1"/>
  <c r="R1139" i="1"/>
  <c r="O1449" i="1"/>
  <c r="R1448" i="1"/>
  <c r="R1038" i="1"/>
  <c r="R1629" i="1"/>
  <c r="R1227" i="1"/>
  <c r="R1604" i="1"/>
  <c r="O919" i="1"/>
  <c r="R918" i="1"/>
  <c r="R1505" i="1"/>
  <c r="O1567" i="1"/>
  <c r="O1605" i="1"/>
  <c r="R1019" i="1"/>
  <c r="R1566" i="1"/>
  <c r="O1630" i="1"/>
  <c r="O1488" i="1"/>
  <c r="O1364" i="1"/>
  <c r="O1020" i="1"/>
  <c r="O874" i="1"/>
  <c r="O1506" i="1"/>
  <c r="O830" i="1"/>
  <c r="O957" i="1"/>
  <c r="O1228" i="1"/>
  <c r="M958" i="1"/>
  <c r="M1229" i="1"/>
  <c r="N1229" i="1" s="1"/>
  <c r="M1141" i="1"/>
  <c r="M1365" i="1"/>
  <c r="M1389" i="1"/>
  <c r="N1389" i="1" s="1"/>
  <c r="M1077" i="1"/>
  <c r="M1450" i="1"/>
  <c r="M1058" i="1"/>
  <c r="N1058" i="1" s="1"/>
  <c r="M983" i="1"/>
  <c r="N983" i="1" s="1"/>
  <c r="M756" i="1"/>
  <c r="M1544" i="1"/>
  <c r="M1040" i="1"/>
  <c r="M1184" i="1"/>
  <c r="N1184" i="1" s="1"/>
  <c r="M1101" i="1"/>
  <c r="M1266" i="1"/>
  <c r="N1266" i="1" s="1"/>
  <c r="M1651" i="1"/>
  <c r="M1021" i="1"/>
  <c r="M1321" i="1"/>
  <c r="M1302" i="1"/>
  <c r="N1302" i="1" s="1"/>
  <c r="M789" i="1"/>
  <c r="M627" i="1"/>
  <c r="N627" i="1" s="1"/>
  <c r="M855" i="1"/>
  <c r="N855" i="1" s="1"/>
  <c r="M895" i="1"/>
  <c r="N895" i="1" s="1"/>
  <c r="M733" i="1"/>
  <c r="M1284" i="1"/>
  <c r="M1121" i="1"/>
  <c r="M938" i="1"/>
  <c r="N938" i="1" s="1"/>
  <c r="M1470" i="1"/>
  <c r="N1470" i="1" s="1"/>
  <c r="M1489" i="1"/>
  <c r="M1209" i="1"/>
  <c r="N1209" i="1" s="1"/>
  <c r="M1507" i="1"/>
  <c r="M1408" i="1"/>
  <c r="M812" i="1"/>
  <c r="N812" i="1" s="1"/>
  <c r="M1425" i="1"/>
  <c r="M1606" i="1"/>
  <c r="M1588" i="1"/>
  <c r="M1631" i="1"/>
  <c r="N1631" i="1" s="1"/>
  <c r="M241" i="1"/>
  <c r="M770" i="1"/>
  <c r="N770" i="1" s="1"/>
  <c r="M1002" i="1"/>
  <c r="M708" i="1"/>
  <c r="M1526" i="1"/>
  <c r="M1568" i="1"/>
  <c r="M875" i="1"/>
  <c r="M1166" i="1"/>
  <c r="N1166" i="1" s="1"/>
  <c r="M1248" i="1"/>
  <c r="N1248" i="1" s="1"/>
  <c r="M1345" i="1"/>
  <c r="N1345" i="1" s="1"/>
  <c r="M920" i="1"/>
  <c r="M831" i="1"/>
  <c r="M340" i="1"/>
  <c r="N340" i="1" s="1"/>
  <c r="M95" i="1"/>
  <c r="M158" i="1"/>
  <c r="M403" i="1"/>
  <c r="M265" i="1"/>
  <c r="M283" i="1"/>
  <c r="M445" i="1"/>
  <c r="M584" i="1"/>
  <c r="N584" i="1" s="1"/>
  <c r="M360" i="1"/>
  <c r="M196" i="1"/>
  <c r="M63" i="1"/>
  <c r="M465" i="1"/>
  <c r="N465" i="1" s="1"/>
  <c r="M71" i="1"/>
  <c r="M671" i="1"/>
  <c r="N671" i="1" s="1"/>
  <c r="M565" i="1"/>
  <c r="M298" i="1"/>
  <c r="M221" i="1"/>
  <c r="N221" i="1" s="1"/>
  <c r="M688" i="1"/>
  <c r="N688" i="1" s="1"/>
  <c r="M378" i="1"/>
  <c r="N378" i="1" s="1"/>
  <c r="M134" i="1"/>
  <c r="N134" i="1" s="1"/>
  <c r="M647" i="1"/>
  <c r="N647" i="1" s="1"/>
  <c r="M316" i="1"/>
  <c r="M509" i="1"/>
  <c r="N509" i="1" s="1"/>
  <c r="M114" i="1"/>
  <c r="M603" i="1"/>
  <c r="M485" i="1"/>
  <c r="N485" i="1" s="1"/>
  <c r="M542" i="1"/>
  <c r="N542" i="1" s="1"/>
  <c r="M177" i="1"/>
  <c r="N177" i="1" s="1"/>
  <c r="M523" i="1"/>
  <c r="N523" i="1" s="1"/>
  <c r="M423" i="1"/>
  <c r="N423" i="1" s="1"/>
  <c r="P1284" i="1" l="1"/>
  <c r="N1284" i="1"/>
  <c r="P565" i="1"/>
  <c r="N565" i="1"/>
  <c r="P920" i="1"/>
  <c r="N920" i="1"/>
  <c r="P1408" i="1"/>
  <c r="N1408" i="1"/>
  <c r="P733" i="1"/>
  <c r="N733" i="1"/>
  <c r="P316" i="1"/>
  <c r="N316" i="1"/>
  <c r="P283" i="1"/>
  <c r="N283" i="1"/>
  <c r="P1507" i="1"/>
  <c r="N1507" i="1"/>
  <c r="P1450" i="1"/>
  <c r="N1450" i="1"/>
  <c r="P71" i="1"/>
  <c r="N71" i="1"/>
  <c r="P265" i="1"/>
  <c r="N265" i="1"/>
  <c r="P241" i="1"/>
  <c r="N241" i="1"/>
  <c r="P1101" i="1"/>
  <c r="N1101" i="1"/>
  <c r="P1077" i="1"/>
  <c r="N1077" i="1"/>
  <c r="P403" i="1"/>
  <c r="N403" i="1"/>
  <c r="P875" i="1"/>
  <c r="N875" i="1"/>
  <c r="P1365" i="1"/>
  <c r="N1365" i="1"/>
  <c r="P1489" i="1"/>
  <c r="N1489" i="1"/>
  <c r="P63" i="1"/>
  <c r="N63" i="1"/>
  <c r="P158" i="1"/>
  <c r="N158" i="1"/>
  <c r="P1588" i="1"/>
  <c r="N1588" i="1"/>
  <c r="P789" i="1"/>
  <c r="N789" i="1"/>
  <c r="P1040" i="1"/>
  <c r="N1040" i="1"/>
  <c r="P196" i="1"/>
  <c r="N196" i="1"/>
  <c r="P95" i="1"/>
  <c r="N95" i="1"/>
  <c r="P1568" i="1"/>
  <c r="N1568" i="1"/>
  <c r="P1606" i="1"/>
  <c r="N1606" i="1"/>
  <c r="P1544" i="1"/>
  <c r="N1544" i="1"/>
  <c r="P1141" i="1"/>
  <c r="N1141" i="1"/>
  <c r="P603" i="1"/>
  <c r="N603" i="1"/>
  <c r="P360" i="1"/>
  <c r="N360" i="1"/>
  <c r="P1526" i="1"/>
  <c r="N1526" i="1"/>
  <c r="P1425" i="1"/>
  <c r="N1425" i="1"/>
  <c r="P1121" i="1"/>
  <c r="N1121" i="1"/>
  <c r="P1321" i="1"/>
  <c r="N1321" i="1"/>
  <c r="P756" i="1"/>
  <c r="N756" i="1"/>
  <c r="P708" i="1"/>
  <c r="N708" i="1"/>
  <c r="P114" i="1"/>
  <c r="N114" i="1"/>
  <c r="P831" i="1"/>
  <c r="N831" i="1"/>
  <c r="P1021" i="1"/>
  <c r="N1021" i="1"/>
  <c r="P445" i="1"/>
  <c r="N445" i="1"/>
  <c r="P1002" i="1"/>
  <c r="N1002" i="1"/>
  <c r="P1651" i="1"/>
  <c r="N1651" i="1"/>
  <c r="P298" i="1"/>
  <c r="N298" i="1"/>
  <c r="P958" i="1"/>
  <c r="N958" i="1"/>
  <c r="O584" i="1"/>
  <c r="O770" i="1"/>
  <c r="O1266" i="1"/>
  <c r="O71" i="1"/>
  <c r="P671" i="1"/>
  <c r="P855" i="1"/>
  <c r="P1345" i="1"/>
  <c r="P812" i="1"/>
  <c r="P523" i="1"/>
  <c r="O542" i="1"/>
  <c r="O378" i="1"/>
  <c r="O63" i="1"/>
  <c r="O1470" i="1"/>
  <c r="P1209" i="1"/>
  <c r="P378" i="1"/>
  <c r="P542" i="1"/>
  <c r="O177" i="1"/>
  <c r="O403" i="1"/>
  <c r="O485" i="1"/>
  <c r="O95" i="1"/>
  <c r="O134" i="1"/>
  <c r="O627" i="1"/>
  <c r="O196" i="1"/>
  <c r="O1302" i="1"/>
  <c r="M959" i="1"/>
  <c r="P938" i="1"/>
  <c r="O360" i="1"/>
  <c r="O1526" i="1"/>
  <c r="O1425" i="1"/>
  <c r="P895" i="1"/>
  <c r="P221" i="1"/>
  <c r="P1184" i="1"/>
  <c r="P688" i="1"/>
  <c r="P647" i="1"/>
  <c r="P134" i="1"/>
  <c r="P584" i="1"/>
  <c r="P1248" i="1"/>
  <c r="O708" i="1"/>
  <c r="P1166" i="1"/>
  <c r="P770" i="1"/>
  <c r="P983" i="1"/>
  <c r="P1631" i="1"/>
  <c r="P423" i="1"/>
  <c r="P627" i="1"/>
  <c r="O509" i="1"/>
  <c r="O1002" i="1"/>
  <c r="O1408" i="1"/>
  <c r="P1470" i="1"/>
  <c r="P340" i="1"/>
  <c r="P465" i="1"/>
  <c r="P1266" i="1"/>
  <c r="P485" i="1"/>
  <c r="P1058" i="1"/>
  <c r="P509" i="1"/>
  <c r="P1302" i="1"/>
  <c r="P1229" i="1"/>
  <c r="P177" i="1"/>
  <c r="O114" i="1"/>
  <c r="O1284" i="1"/>
  <c r="P1389" i="1"/>
  <c r="O445" i="1"/>
  <c r="O1321" i="1"/>
  <c r="O647" i="1"/>
  <c r="O523" i="1"/>
  <c r="O423" i="1"/>
  <c r="O283" i="1"/>
  <c r="O812" i="1"/>
  <c r="O938" i="1"/>
  <c r="O1544" i="1"/>
  <c r="O465" i="1"/>
  <c r="O756" i="1"/>
  <c r="O340" i="1"/>
  <c r="O855" i="1"/>
  <c r="O1077" i="1"/>
  <c r="O1248" i="1"/>
  <c r="O241" i="1"/>
  <c r="O688" i="1"/>
  <c r="O1121" i="1"/>
  <c r="O789" i="1"/>
  <c r="O316" i="1"/>
  <c r="O1184" i="1"/>
  <c r="O1101" i="1"/>
  <c r="O565" i="1"/>
  <c r="O733" i="1"/>
  <c r="O1209" i="1"/>
  <c r="O158" i="1"/>
  <c r="O1166" i="1"/>
  <c r="O1588" i="1"/>
  <c r="O1021" i="1"/>
  <c r="R133" i="1"/>
  <c r="R377" i="1"/>
  <c r="R422" i="1"/>
  <c r="R220" i="1"/>
  <c r="R484" i="1"/>
  <c r="R1301" i="1"/>
  <c r="R1165" i="1"/>
  <c r="R1469" i="1"/>
  <c r="R1543" i="1"/>
  <c r="R602" i="1"/>
  <c r="R264" i="1"/>
  <c r="R522" i="1"/>
  <c r="R464" i="1"/>
  <c r="R195" i="1"/>
  <c r="R1183" i="1"/>
  <c r="R1567" i="1"/>
  <c r="R854" i="1"/>
  <c r="R937" i="1"/>
  <c r="R282" i="1"/>
  <c r="R297" i="1"/>
  <c r="R583" i="1"/>
  <c r="R157" i="1"/>
  <c r="R113" i="1"/>
  <c r="R1001" i="1"/>
  <c r="R1120" i="1"/>
  <c r="R788" i="1"/>
  <c r="R1525" i="1"/>
  <c r="R1208" i="1"/>
  <c r="R94" i="1"/>
  <c r="R670" i="1"/>
  <c r="R564" i="1"/>
  <c r="R732" i="1"/>
  <c r="R626" i="1"/>
  <c r="R508" i="1"/>
  <c r="R894" i="1"/>
  <c r="R1344" i="1"/>
  <c r="R1265" i="1"/>
  <c r="R769" i="1"/>
  <c r="R444" i="1"/>
  <c r="R339" i="1"/>
  <c r="R687" i="1"/>
  <c r="R240" i="1"/>
  <c r="R70" i="1"/>
  <c r="R315" i="1"/>
  <c r="R1100" i="1"/>
  <c r="R982" i="1"/>
  <c r="R1424" i="1"/>
  <c r="R1283" i="1"/>
  <c r="R1140" i="1"/>
  <c r="R1650" i="1"/>
  <c r="R707" i="1"/>
  <c r="R541" i="1"/>
  <c r="R359" i="1"/>
  <c r="R646" i="1"/>
  <c r="R1076" i="1"/>
  <c r="R1407" i="1"/>
  <c r="R402" i="1"/>
  <c r="R62" i="1"/>
  <c r="Q62" i="1"/>
  <c r="U62" i="1" s="1"/>
  <c r="V62" i="1" s="1"/>
  <c r="R176" i="1"/>
  <c r="R811" i="1"/>
  <c r="R1320" i="1"/>
  <c r="R1247" i="1"/>
  <c r="R1039" i="1"/>
  <c r="R755" i="1"/>
  <c r="R1388" i="1"/>
  <c r="R1057" i="1"/>
  <c r="R1587" i="1"/>
  <c r="O1058" i="1"/>
  <c r="O298" i="1"/>
  <c r="O221" i="1"/>
  <c r="O1141" i="1"/>
  <c r="O1040" i="1"/>
  <c r="R957" i="1"/>
  <c r="O1606" i="1"/>
  <c r="R1506" i="1"/>
  <c r="O1450" i="1"/>
  <c r="R1449" i="1"/>
  <c r="O920" i="1"/>
  <c r="O1568" i="1"/>
  <c r="R919" i="1"/>
  <c r="R1630" i="1"/>
  <c r="R1488" i="1"/>
  <c r="O1489" i="1"/>
  <c r="O895" i="1"/>
  <c r="R874" i="1"/>
  <c r="R1605" i="1"/>
  <c r="R830" i="1"/>
  <c r="R1364" i="1"/>
  <c r="R1228" i="1"/>
  <c r="R1020" i="1"/>
  <c r="O1507" i="1"/>
  <c r="O875" i="1"/>
  <c r="O603" i="1"/>
  <c r="O831" i="1"/>
  <c r="O1389" i="1"/>
  <c r="O1631" i="1"/>
  <c r="O983" i="1"/>
  <c r="O1345" i="1"/>
  <c r="M1366" i="1"/>
  <c r="O1365" i="1"/>
  <c r="O1229" i="1"/>
  <c r="O1651" i="1"/>
  <c r="O958" i="1"/>
  <c r="O671" i="1"/>
  <c r="O265" i="1"/>
  <c r="M1230" i="1"/>
  <c r="M1390" i="1"/>
  <c r="N1390" i="1" s="1"/>
  <c r="M1142" i="1"/>
  <c r="N1142" i="1" s="1"/>
  <c r="M341" i="1"/>
  <c r="N341" i="1" s="1"/>
  <c r="M1451" i="1"/>
  <c r="N1451" i="1" s="1"/>
  <c r="M1078" i="1"/>
  <c r="N1078" i="1" s="1"/>
  <c r="M1059" i="1"/>
  <c r="M984" i="1"/>
  <c r="M757" i="1"/>
  <c r="M628" i="1"/>
  <c r="N628" i="1" s="1"/>
  <c r="M242" i="1"/>
  <c r="N242" i="1" s="1"/>
  <c r="M159" i="1"/>
  <c r="M115" i="1"/>
  <c r="M222" i="1"/>
  <c r="M197" i="1"/>
  <c r="N197" i="1" s="1"/>
  <c r="M876" i="1"/>
  <c r="M1589" i="1"/>
  <c r="N1589" i="1" s="1"/>
  <c r="M1607" i="1"/>
  <c r="M1508" i="1"/>
  <c r="N1508" i="1" s="1"/>
  <c r="M939" i="1"/>
  <c r="M921" i="1"/>
  <c r="M771" i="1"/>
  <c r="M510" i="1"/>
  <c r="N510" i="1" s="1"/>
  <c r="M1346" i="1"/>
  <c r="M709" i="1"/>
  <c r="M896" i="1"/>
  <c r="N896" i="1" s="1"/>
  <c r="M96" i="1"/>
  <c r="M1632" i="1"/>
  <c r="N1632" i="1" s="1"/>
  <c r="M1426" i="1"/>
  <c r="N1426" i="1" s="1"/>
  <c r="M1210" i="1"/>
  <c r="M1122" i="1"/>
  <c r="N1122" i="1" s="1"/>
  <c r="M1322" i="1"/>
  <c r="M1185" i="1"/>
  <c r="M317" i="1"/>
  <c r="N317" i="1" s="1"/>
  <c r="M1569" i="1"/>
  <c r="M524" i="1"/>
  <c r="N524" i="1" s="1"/>
  <c r="M648" i="1"/>
  <c r="N648" i="1" s="1"/>
  <c r="M446" i="1"/>
  <c r="M1249" i="1"/>
  <c r="N1249" i="1" s="1"/>
  <c r="M604" i="1"/>
  <c r="M361" i="1"/>
  <c r="M424" i="1"/>
  <c r="M585" i="1"/>
  <c r="N585" i="1" s="1"/>
  <c r="M672" i="1"/>
  <c r="N672" i="1" s="1"/>
  <c r="M813" i="1"/>
  <c r="N813" i="1" s="1"/>
  <c r="M1490" i="1"/>
  <c r="M1285" i="1"/>
  <c r="M790" i="1"/>
  <c r="M1022" i="1"/>
  <c r="M1267" i="1"/>
  <c r="M1041" i="1"/>
  <c r="N1041" i="1" s="1"/>
  <c r="M1545" i="1"/>
  <c r="N1545" i="1" s="1"/>
  <c r="M64" i="1"/>
  <c r="M299" i="1"/>
  <c r="N299" i="1" s="1"/>
  <c r="M566" i="1"/>
  <c r="M1527" i="1"/>
  <c r="M178" i="1"/>
  <c r="N178" i="1" s="1"/>
  <c r="M135" i="1"/>
  <c r="M284" i="1"/>
  <c r="M543" i="1"/>
  <c r="N543" i="1" s="1"/>
  <c r="M379" i="1"/>
  <c r="N379" i="1" s="1"/>
  <c r="M72" i="1"/>
  <c r="M266" i="1"/>
  <c r="M832" i="1"/>
  <c r="M1003" i="1"/>
  <c r="M734" i="1"/>
  <c r="M856" i="1"/>
  <c r="N856" i="1" s="1"/>
  <c r="M486" i="1"/>
  <c r="N486" i="1" s="1"/>
  <c r="M689" i="1"/>
  <c r="N689" i="1" s="1"/>
  <c r="M466" i="1"/>
  <c r="M404" i="1"/>
  <c r="M1167" i="1"/>
  <c r="M1409" i="1"/>
  <c r="N1409" i="1" s="1"/>
  <c r="M1471" i="1"/>
  <c r="M1303" i="1"/>
  <c r="N1303" i="1" s="1"/>
  <c r="M1652" i="1"/>
  <c r="N1652" i="1" s="1"/>
  <c r="M1102" i="1"/>
  <c r="N1102" i="1" s="1"/>
  <c r="P1490" i="1" l="1"/>
  <c r="N1490" i="1"/>
  <c r="P771" i="1"/>
  <c r="N771" i="1"/>
  <c r="P959" i="1"/>
  <c r="N959" i="1"/>
  <c r="P64" i="1"/>
  <c r="N64" i="1"/>
  <c r="P921" i="1"/>
  <c r="N921" i="1"/>
  <c r="P115" i="1"/>
  <c r="N115" i="1"/>
  <c r="P939" i="1"/>
  <c r="N939" i="1"/>
  <c r="P159" i="1"/>
  <c r="N159" i="1"/>
  <c r="P284" i="1"/>
  <c r="N284" i="1"/>
  <c r="P1569" i="1"/>
  <c r="N1569" i="1"/>
  <c r="P96" i="1"/>
  <c r="N96" i="1"/>
  <c r="P1471" i="1"/>
  <c r="N1471" i="1"/>
  <c r="P1267" i="1"/>
  <c r="N1267" i="1"/>
  <c r="P1366" i="1"/>
  <c r="N1366" i="1"/>
  <c r="P1022" i="1"/>
  <c r="N1022" i="1"/>
  <c r="P709" i="1"/>
  <c r="N709" i="1"/>
  <c r="P1230" i="1"/>
  <c r="N1230" i="1"/>
  <c r="P734" i="1"/>
  <c r="N734" i="1"/>
  <c r="P424" i="1"/>
  <c r="N424" i="1"/>
  <c r="P1185" i="1"/>
  <c r="N1185" i="1"/>
  <c r="P790" i="1"/>
  <c r="N790" i="1"/>
  <c r="P135" i="1"/>
  <c r="N135" i="1"/>
  <c r="P1607" i="1"/>
  <c r="N1607" i="1"/>
  <c r="P1003" i="1"/>
  <c r="N1003" i="1"/>
  <c r="P361" i="1"/>
  <c r="N361" i="1"/>
  <c r="P757" i="1"/>
  <c r="N757" i="1"/>
  <c r="P1167" i="1"/>
  <c r="N1167" i="1"/>
  <c r="P832" i="1"/>
  <c r="N832" i="1"/>
  <c r="P1527" i="1"/>
  <c r="N1527" i="1"/>
  <c r="P604" i="1"/>
  <c r="N604" i="1"/>
  <c r="P1322" i="1"/>
  <c r="N1322" i="1"/>
  <c r="P1346" i="1"/>
  <c r="N1346" i="1"/>
  <c r="P876" i="1"/>
  <c r="N876" i="1"/>
  <c r="P984" i="1"/>
  <c r="N984" i="1"/>
  <c r="P404" i="1"/>
  <c r="N404" i="1"/>
  <c r="P266" i="1"/>
  <c r="N266" i="1"/>
  <c r="P566" i="1"/>
  <c r="N566" i="1"/>
  <c r="P1285" i="1"/>
  <c r="N1285" i="1"/>
  <c r="P1059" i="1"/>
  <c r="N1059" i="1"/>
  <c r="P222" i="1"/>
  <c r="N222" i="1"/>
  <c r="P466" i="1"/>
  <c r="N466" i="1"/>
  <c r="P1210" i="1"/>
  <c r="N1210" i="1"/>
  <c r="P72" i="1"/>
  <c r="N72" i="1"/>
  <c r="P446" i="1"/>
  <c r="N446" i="1"/>
  <c r="M960" i="1"/>
  <c r="N960" i="1" s="1"/>
  <c r="O1409" i="1"/>
  <c r="O628" i="1"/>
  <c r="O72" i="1"/>
  <c r="O510" i="1"/>
  <c r="O197" i="1"/>
  <c r="O379" i="1"/>
  <c r="P317" i="1"/>
  <c r="O486" i="1"/>
  <c r="O543" i="1"/>
  <c r="O1426" i="1"/>
  <c r="O115" i="1"/>
  <c r="P1652" i="1"/>
  <c r="P1122" i="1"/>
  <c r="P1390" i="1"/>
  <c r="P1078" i="1"/>
  <c r="O64" i="1"/>
  <c r="O446" i="1"/>
  <c r="O1303" i="1"/>
  <c r="P510" i="1"/>
  <c r="P1426" i="1"/>
  <c r="P197" i="1"/>
  <c r="P1545" i="1"/>
  <c r="P1041" i="1"/>
  <c r="P1102" i="1"/>
  <c r="P648" i="1"/>
  <c r="P672" i="1"/>
  <c r="O771" i="1"/>
  <c r="P1142" i="1"/>
  <c r="O1267" i="1"/>
  <c r="O585" i="1"/>
  <c r="P1409" i="1"/>
  <c r="P178" i="1"/>
  <c r="P379" i="1"/>
  <c r="P1632" i="1"/>
  <c r="P856" i="1"/>
  <c r="P524" i="1"/>
  <c r="P689" i="1"/>
  <c r="O1527" i="1"/>
  <c r="O361" i="1"/>
  <c r="O709" i="1"/>
  <c r="P1451" i="1"/>
  <c r="P960" i="1"/>
  <c r="P628" i="1"/>
  <c r="P543" i="1"/>
  <c r="P242" i="1"/>
  <c r="P585" i="1"/>
  <c r="O1003" i="1"/>
  <c r="P813" i="1"/>
  <c r="O404" i="1"/>
  <c r="O1285" i="1"/>
  <c r="O1322" i="1"/>
  <c r="P1508" i="1"/>
  <c r="P299" i="1"/>
  <c r="P341" i="1"/>
  <c r="P1303" i="1"/>
  <c r="P486" i="1"/>
  <c r="P1589" i="1"/>
  <c r="P1249" i="1"/>
  <c r="P896" i="1"/>
  <c r="O284" i="1"/>
  <c r="O466" i="1"/>
  <c r="O832" i="1"/>
  <c r="O856" i="1"/>
  <c r="O939" i="1"/>
  <c r="O1545" i="1"/>
  <c r="O524" i="1"/>
  <c r="O96" i="1"/>
  <c r="O341" i="1"/>
  <c r="O1249" i="1"/>
  <c r="O242" i="1"/>
  <c r="O178" i="1"/>
  <c r="O757" i="1"/>
  <c r="O790" i="1"/>
  <c r="O1185" i="1"/>
  <c r="O222" i="1"/>
  <c r="O1607" i="1"/>
  <c r="O1078" i="1"/>
  <c r="O1102" i="1"/>
  <c r="O317" i="1"/>
  <c r="O159" i="1"/>
  <c r="O734" i="1"/>
  <c r="O1022" i="1"/>
  <c r="O1167" i="1"/>
  <c r="O1589" i="1"/>
  <c r="O299" i="1"/>
  <c r="R177" i="1"/>
  <c r="R1266" i="1"/>
  <c r="R1526" i="1"/>
  <c r="R1425" i="1"/>
  <c r="R542" i="1"/>
  <c r="R1588" i="1"/>
  <c r="R134" i="1"/>
  <c r="R708" i="1"/>
  <c r="R1209" i="1"/>
  <c r="R1101" i="1"/>
  <c r="R1058" i="1"/>
  <c r="R1184" i="1"/>
  <c r="R855" i="1"/>
  <c r="R114" i="1"/>
  <c r="R1284" i="1"/>
  <c r="R523" i="1"/>
  <c r="R283" i="1"/>
  <c r="R1021" i="1"/>
  <c r="R63" i="1"/>
  <c r="Q63" i="1"/>
  <c r="U63" i="1" s="1"/>
  <c r="V63" i="1" s="1"/>
  <c r="R360" i="1"/>
  <c r="R196" i="1"/>
  <c r="R647" i="1"/>
  <c r="R95" i="1"/>
  <c r="R812" i="1"/>
  <c r="R733" i="1"/>
  <c r="R1544" i="1"/>
  <c r="R688" i="1"/>
  <c r="R340" i="1"/>
  <c r="R71" i="1"/>
  <c r="R445" i="1"/>
  <c r="R1002" i="1"/>
  <c r="R627" i="1"/>
  <c r="R316" i="1"/>
  <c r="R1470" i="1"/>
  <c r="R1248" i="1"/>
  <c r="R1408" i="1"/>
  <c r="R485" i="1"/>
  <c r="R770" i="1"/>
  <c r="R158" i="1"/>
  <c r="R403" i="1"/>
  <c r="R938" i="1"/>
  <c r="R789" i="1"/>
  <c r="R241" i="1"/>
  <c r="R756" i="1"/>
  <c r="R378" i="1"/>
  <c r="R1077" i="1"/>
  <c r="R509" i="1"/>
  <c r="R423" i="1"/>
  <c r="R465" i="1"/>
  <c r="R1606" i="1"/>
  <c r="R1166" i="1"/>
  <c r="R565" i="1"/>
  <c r="R584" i="1"/>
  <c r="R1321" i="1"/>
  <c r="R1302" i="1"/>
  <c r="R1121" i="1"/>
  <c r="R1141" i="1"/>
  <c r="O1652" i="1"/>
  <c r="O876" i="1"/>
  <c r="O959" i="1"/>
  <c r="R959" i="1" s="1"/>
  <c r="O1059" i="1"/>
  <c r="R298" i="1"/>
  <c r="M1143" i="1"/>
  <c r="N1143" i="1" s="1"/>
  <c r="O984" i="1"/>
  <c r="R221" i="1"/>
  <c r="O1041" i="1"/>
  <c r="O1122" i="1"/>
  <c r="R1040" i="1"/>
  <c r="O424" i="1"/>
  <c r="R920" i="1"/>
  <c r="M1391" i="1"/>
  <c r="O1569" i="1"/>
  <c r="O1451" i="1"/>
  <c r="R1450" i="1"/>
  <c r="O921" i="1"/>
  <c r="R1568" i="1"/>
  <c r="O1490" i="1"/>
  <c r="R603" i="1"/>
  <c r="O1632" i="1"/>
  <c r="R1631" i="1"/>
  <c r="R1651" i="1"/>
  <c r="R1489" i="1"/>
  <c r="R1345" i="1"/>
  <c r="R875" i="1"/>
  <c r="O1508" i="1"/>
  <c r="O896" i="1"/>
  <c r="R895" i="1"/>
  <c r="R831" i="1"/>
  <c r="R1229" i="1"/>
  <c r="R983" i="1"/>
  <c r="R958" i="1"/>
  <c r="R1389" i="1"/>
  <c r="R1365" i="1"/>
  <c r="R265" i="1"/>
  <c r="R671" i="1"/>
  <c r="R1507" i="1"/>
  <c r="O604" i="1"/>
  <c r="O648" i="1"/>
  <c r="O689" i="1"/>
  <c r="O1346" i="1"/>
  <c r="O1230" i="1"/>
  <c r="O813" i="1"/>
  <c r="O672" i="1"/>
  <c r="M1367" i="1"/>
  <c r="N1367" i="1" s="1"/>
  <c r="O1471" i="1"/>
  <c r="M1231" i="1"/>
  <c r="N1231" i="1" s="1"/>
  <c r="O266" i="1"/>
  <c r="O566" i="1"/>
  <c r="O1210" i="1"/>
  <c r="O1142" i="1"/>
  <c r="O1390" i="1"/>
  <c r="O135" i="1"/>
  <c r="O1366" i="1"/>
  <c r="M1452" i="1"/>
  <c r="M342" i="1"/>
  <c r="N342" i="1" s="1"/>
  <c r="M629" i="1"/>
  <c r="N629" i="1" s="1"/>
  <c r="M1060" i="1"/>
  <c r="M1079" i="1"/>
  <c r="M985" i="1"/>
  <c r="N985" i="1" s="1"/>
  <c r="M758" i="1"/>
  <c r="N758" i="1" s="1"/>
  <c r="M243" i="1"/>
  <c r="N243" i="1" s="1"/>
  <c r="M567" i="1"/>
  <c r="N567" i="1" s="1"/>
  <c r="M605" i="1"/>
  <c r="N605" i="1" s="1"/>
  <c r="M300" i="1"/>
  <c r="N300" i="1" s="1"/>
  <c r="M1211" i="1"/>
  <c r="M1608" i="1"/>
  <c r="M380" i="1"/>
  <c r="M179" i="1"/>
  <c r="N179" i="1" s="1"/>
  <c r="M65" i="1"/>
  <c r="N65" i="1" s="1"/>
  <c r="M1023" i="1"/>
  <c r="N1023" i="1" s="1"/>
  <c r="M814" i="1"/>
  <c r="N814" i="1" s="1"/>
  <c r="M425" i="1"/>
  <c r="N425" i="1" s="1"/>
  <c r="M318" i="1"/>
  <c r="M1168" i="1"/>
  <c r="M285" i="1"/>
  <c r="M673" i="1"/>
  <c r="M1410" i="1"/>
  <c r="N1410" i="1" s="1"/>
  <c r="M136" i="1"/>
  <c r="N136" i="1" s="1"/>
  <c r="M586" i="1"/>
  <c r="N586" i="1" s="1"/>
  <c r="M1186" i="1"/>
  <c r="N1186" i="1" s="1"/>
  <c r="M97" i="1"/>
  <c r="M857" i="1"/>
  <c r="M1427" i="1"/>
  <c r="N1427" i="1" s="1"/>
  <c r="M897" i="1"/>
  <c r="M772" i="1"/>
  <c r="M1590" i="1"/>
  <c r="N1590" i="1" s="1"/>
  <c r="M223" i="1"/>
  <c r="M267" i="1"/>
  <c r="N267" i="1" s="1"/>
  <c r="M1286" i="1"/>
  <c r="M525" i="1"/>
  <c r="M1491" i="1"/>
  <c r="N1491" i="1" s="1"/>
  <c r="M447" i="1"/>
  <c r="M405" i="1"/>
  <c r="M198" i="1"/>
  <c r="N198" i="1" s="1"/>
  <c r="M467" i="1"/>
  <c r="M833" i="1"/>
  <c r="N833" i="1" s="1"/>
  <c r="M544" i="1"/>
  <c r="M1528" i="1"/>
  <c r="M1546" i="1"/>
  <c r="M791" i="1"/>
  <c r="N791" i="1" s="1"/>
  <c r="M362" i="1"/>
  <c r="N362" i="1" s="1"/>
  <c r="M649" i="1"/>
  <c r="M1323" i="1"/>
  <c r="N1323" i="1" s="1"/>
  <c r="M1472" i="1"/>
  <c r="M1042" i="1"/>
  <c r="M73" i="1"/>
  <c r="N73" i="1" s="1"/>
  <c r="M1268" i="1"/>
  <c r="M1570" i="1"/>
  <c r="N1570" i="1" s="1"/>
  <c r="M1304" i="1"/>
  <c r="N1304" i="1" s="1"/>
  <c r="M1004" i="1"/>
  <c r="N1004" i="1" s="1"/>
  <c r="M511" i="1"/>
  <c r="N511" i="1" s="1"/>
  <c r="M1103" i="1"/>
  <c r="M690" i="1"/>
  <c r="M735" i="1"/>
  <c r="M1250" i="1"/>
  <c r="N1250" i="1" s="1"/>
  <c r="M710" i="1"/>
  <c r="N710" i="1" s="1"/>
  <c r="M922" i="1"/>
  <c r="N922" i="1" s="1"/>
  <c r="M940" i="1"/>
  <c r="N940" i="1" s="1"/>
  <c r="M116" i="1"/>
  <c r="N116" i="1" s="1"/>
  <c r="M1653" i="1"/>
  <c r="M487" i="1"/>
  <c r="N487" i="1" s="1"/>
  <c r="M1123" i="1"/>
  <c r="M1633" i="1"/>
  <c r="M1347" i="1"/>
  <c r="M1509" i="1"/>
  <c r="N1509" i="1" s="1"/>
  <c r="M877" i="1"/>
  <c r="N877" i="1" s="1"/>
  <c r="M160" i="1"/>
  <c r="N160" i="1" s="1"/>
  <c r="P1452" i="1" l="1"/>
  <c r="N1452" i="1"/>
  <c r="P1347" i="1"/>
  <c r="N1347" i="1"/>
  <c r="M961" i="1"/>
  <c r="M962" i="1" s="1"/>
  <c r="P405" i="1"/>
  <c r="N405" i="1"/>
  <c r="P772" i="1"/>
  <c r="N772" i="1"/>
  <c r="P1633" i="1"/>
  <c r="N1633" i="1"/>
  <c r="P1268" i="1"/>
  <c r="N1268" i="1"/>
  <c r="P447" i="1"/>
  <c r="N447" i="1"/>
  <c r="P673" i="1"/>
  <c r="N673" i="1"/>
  <c r="P1123" i="1"/>
  <c r="N1123" i="1"/>
  <c r="P735" i="1"/>
  <c r="N735" i="1"/>
  <c r="P1546" i="1"/>
  <c r="N1546" i="1"/>
  <c r="P285" i="1"/>
  <c r="N285" i="1"/>
  <c r="P380" i="1"/>
  <c r="N380" i="1"/>
  <c r="P1391" i="1"/>
  <c r="N1391" i="1"/>
  <c r="P897" i="1"/>
  <c r="N897" i="1"/>
  <c r="P690" i="1"/>
  <c r="N690" i="1"/>
  <c r="P1042" i="1"/>
  <c r="N1042" i="1"/>
  <c r="P1528" i="1"/>
  <c r="N1528" i="1"/>
  <c r="P525" i="1"/>
  <c r="N525" i="1"/>
  <c r="P857" i="1"/>
  <c r="N857" i="1"/>
  <c r="P1168" i="1"/>
  <c r="N1168" i="1"/>
  <c r="P1608" i="1"/>
  <c r="N1608" i="1"/>
  <c r="P1079" i="1"/>
  <c r="N1079" i="1"/>
  <c r="P1653" i="1"/>
  <c r="N1653" i="1"/>
  <c r="P1103" i="1"/>
  <c r="N1103" i="1"/>
  <c r="P1472" i="1"/>
  <c r="N1472" i="1"/>
  <c r="P544" i="1"/>
  <c r="N544" i="1"/>
  <c r="P1286" i="1"/>
  <c r="N1286" i="1"/>
  <c r="P97" i="1"/>
  <c r="N97" i="1"/>
  <c r="P318" i="1"/>
  <c r="N318" i="1"/>
  <c r="P1211" i="1"/>
  <c r="N1211" i="1"/>
  <c r="P1060" i="1"/>
  <c r="N1060" i="1"/>
  <c r="R1230" i="1"/>
  <c r="P649" i="1"/>
  <c r="N649" i="1"/>
  <c r="P467" i="1"/>
  <c r="N467" i="1"/>
  <c r="P223" i="1"/>
  <c r="N223" i="1"/>
  <c r="R1142" i="1"/>
  <c r="O116" i="1"/>
  <c r="O1323" i="1"/>
  <c r="O629" i="1"/>
  <c r="O1004" i="1"/>
  <c r="P1323" i="1"/>
  <c r="P1186" i="1"/>
  <c r="P511" i="1"/>
  <c r="O1304" i="1"/>
  <c r="O362" i="1"/>
  <c r="O198" i="1"/>
  <c r="P362" i="1"/>
  <c r="P1367" i="1"/>
  <c r="P814" i="1"/>
  <c r="P629" i="1"/>
  <c r="O710" i="1"/>
  <c r="O405" i="1"/>
  <c r="O772" i="1"/>
  <c r="O65" i="1"/>
  <c r="P605" i="1"/>
  <c r="P1023" i="1"/>
  <c r="P243" i="1"/>
  <c r="P136" i="1"/>
  <c r="P65" i="1"/>
  <c r="O1268" i="1"/>
  <c r="O447" i="1"/>
  <c r="P425" i="1"/>
  <c r="P791" i="1"/>
  <c r="P1509" i="1"/>
  <c r="P1231" i="1"/>
  <c r="P116" i="1"/>
  <c r="P1250" i="1"/>
  <c r="O73" i="1"/>
  <c r="O1427" i="1"/>
  <c r="P1004" i="1"/>
  <c r="P758" i="1"/>
  <c r="P342" i="1"/>
  <c r="P1491" i="1"/>
  <c r="P179" i="1"/>
  <c r="P985" i="1"/>
  <c r="P567" i="1"/>
  <c r="P1590" i="1"/>
  <c r="P1570" i="1"/>
  <c r="P160" i="1"/>
  <c r="P1304" i="1"/>
  <c r="P922" i="1"/>
  <c r="P487" i="1"/>
  <c r="P300" i="1"/>
  <c r="P1410" i="1"/>
  <c r="O544" i="1"/>
  <c r="P877" i="1"/>
  <c r="P267" i="1"/>
  <c r="P710" i="1"/>
  <c r="P833" i="1"/>
  <c r="P586" i="1"/>
  <c r="P1143" i="1"/>
  <c r="P940" i="1"/>
  <c r="P1427" i="1"/>
  <c r="P198" i="1"/>
  <c r="P73" i="1"/>
  <c r="O380" i="1"/>
  <c r="O1186" i="1"/>
  <c r="O285" i="1"/>
  <c r="O857" i="1"/>
  <c r="O525" i="1"/>
  <c r="O758" i="1"/>
  <c r="O97" i="1"/>
  <c r="O1250" i="1"/>
  <c r="O243" i="1"/>
  <c r="O179" i="1"/>
  <c r="O791" i="1"/>
  <c r="O833" i="1"/>
  <c r="O1079" i="1"/>
  <c r="O1608" i="1"/>
  <c r="O1103" i="1"/>
  <c r="O1367" i="1"/>
  <c r="O1123" i="1"/>
  <c r="O1633" i="1"/>
  <c r="O1168" i="1"/>
  <c r="O877" i="1"/>
  <c r="O1590" i="1"/>
  <c r="O300" i="1"/>
  <c r="O960" i="1"/>
  <c r="O961" i="1" s="1"/>
  <c r="R939" i="1"/>
  <c r="O1060" i="1"/>
  <c r="R404" i="1"/>
  <c r="R856" i="1"/>
  <c r="R1102" i="1"/>
  <c r="R361" i="1"/>
  <c r="R96" i="1"/>
  <c r="R64" i="1"/>
  <c r="Q64" i="1"/>
  <c r="U64" i="1" s="1"/>
  <c r="V64" i="1" s="1"/>
  <c r="R341" i="1"/>
  <c r="R284" i="1"/>
  <c r="R876" i="1"/>
  <c r="R1652" i="1"/>
  <c r="R1078" i="1"/>
  <c r="R790" i="1"/>
  <c r="R510" i="1"/>
  <c r="R1185" i="1"/>
  <c r="R72" i="1"/>
  <c r="R524" i="1"/>
  <c r="R197" i="1"/>
  <c r="R1303" i="1"/>
  <c r="R317" i="1"/>
  <c r="R466" i="1"/>
  <c r="R1527" i="1"/>
  <c r="R1022" i="1"/>
  <c r="R115" i="1"/>
  <c r="R543" i="1"/>
  <c r="R771" i="1"/>
  <c r="R757" i="1"/>
  <c r="R734" i="1"/>
  <c r="R832" i="1"/>
  <c r="R178" i="1"/>
  <c r="R1267" i="1"/>
  <c r="R709" i="1"/>
  <c r="R446" i="1"/>
  <c r="R1409" i="1"/>
  <c r="R628" i="1"/>
  <c r="R1426" i="1"/>
  <c r="R1589" i="1"/>
  <c r="R379" i="1"/>
  <c r="R242" i="1"/>
  <c r="R984" i="1"/>
  <c r="R486" i="1"/>
  <c r="R1249" i="1"/>
  <c r="R1322" i="1"/>
  <c r="R299" i="1"/>
  <c r="R1167" i="1"/>
  <c r="R1003" i="1"/>
  <c r="R585" i="1"/>
  <c r="R1285" i="1"/>
  <c r="R1545" i="1"/>
  <c r="R1607" i="1"/>
  <c r="R159" i="1"/>
  <c r="R222" i="1"/>
  <c r="R1041" i="1"/>
  <c r="M1144" i="1"/>
  <c r="N1144" i="1" s="1"/>
  <c r="R1059" i="1"/>
  <c r="O985" i="1"/>
  <c r="O425" i="1"/>
  <c r="R424" i="1"/>
  <c r="O1042" i="1"/>
  <c r="R1122" i="1"/>
  <c r="O1023" i="1"/>
  <c r="O160" i="1"/>
  <c r="O735" i="1"/>
  <c r="O1653" i="1"/>
  <c r="R1471" i="1"/>
  <c r="O690" i="1"/>
  <c r="M1392" i="1"/>
  <c r="N1392" i="1" s="1"/>
  <c r="R1569" i="1"/>
  <c r="R266" i="1"/>
  <c r="O1570" i="1"/>
  <c r="R1451" i="1"/>
  <c r="O1391" i="1"/>
  <c r="O922" i="1"/>
  <c r="R896" i="1"/>
  <c r="R813" i="1"/>
  <c r="R921" i="1"/>
  <c r="O1509" i="1"/>
  <c r="R1490" i="1"/>
  <c r="O1491" i="1"/>
  <c r="R1632" i="1"/>
  <c r="R1508" i="1"/>
  <c r="O605" i="1"/>
  <c r="O897" i="1"/>
  <c r="R604" i="1"/>
  <c r="R1210" i="1"/>
  <c r="R689" i="1"/>
  <c r="R135" i="1"/>
  <c r="R566" i="1"/>
  <c r="R648" i="1"/>
  <c r="R1366" i="1"/>
  <c r="R1390" i="1"/>
  <c r="R672" i="1"/>
  <c r="R1346" i="1"/>
  <c r="M1368" i="1"/>
  <c r="O673" i="1"/>
  <c r="O1347" i="1"/>
  <c r="O649" i="1"/>
  <c r="O223" i="1"/>
  <c r="O586" i="1"/>
  <c r="O1143" i="1"/>
  <c r="O467" i="1"/>
  <c r="O487" i="1"/>
  <c r="O136" i="1"/>
  <c r="O814" i="1"/>
  <c r="O1410" i="1"/>
  <c r="O1286" i="1"/>
  <c r="O511" i="1"/>
  <c r="O267" i="1"/>
  <c r="O1231" i="1"/>
  <c r="O1472" i="1"/>
  <c r="O940" i="1"/>
  <c r="O1528" i="1"/>
  <c r="O1452" i="1"/>
  <c r="M1232" i="1"/>
  <c r="O318" i="1"/>
  <c r="O1211" i="1"/>
  <c r="O1546" i="1"/>
  <c r="O567" i="1"/>
  <c r="O342" i="1"/>
  <c r="M1453" i="1"/>
  <c r="N1453" i="1" s="1"/>
  <c r="M343" i="1"/>
  <c r="M630" i="1"/>
  <c r="M986" i="1"/>
  <c r="M1080" i="1"/>
  <c r="N1080" i="1" s="1"/>
  <c r="M1061" i="1"/>
  <c r="M759" i="1"/>
  <c r="N759" i="1" s="1"/>
  <c r="M244" i="1"/>
  <c r="M1634" i="1"/>
  <c r="N1634" i="1" s="1"/>
  <c r="M736" i="1"/>
  <c r="N736" i="1" s="1"/>
  <c r="M1571" i="1"/>
  <c r="N1571" i="1" s="1"/>
  <c r="M1473" i="1"/>
  <c r="N1473" i="1" s="1"/>
  <c r="M363" i="1"/>
  <c r="M1529" i="1"/>
  <c r="N1529" i="1" s="1"/>
  <c r="M468" i="1"/>
  <c r="M1492" i="1"/>
  <c r="M224" i="1"/>
  <c r="N224" i="1" s="1"/>
  <c r="M898" i="1"/>
  <c r="N898" i="1" s="1"/>
  <c r="M98" i="1"/>
  <c r="M1411" i="1"/>
  <c r="M1169" i="1"/>
  <c r="M426" i="1"/>
  <c r="M180" i="1"/>
  <c r="N180" i="1" s="1"/>
  <c r="M878" i="1"/>
  <c r="N878" i="1" s="1"/>
  <c r="M1251" i="1"/>
  <c r="M1510" i="1"/>
  <c r="M711" i="1"/>
  <c r="M1428" i="1"/>
  <c r="M815" i="1"/>
  <c r="N815" i="1" s="1"/>
  <c r="M512" i="1"/>
  <c r="N512" i="1" s="1"/>
  <c r="M1324" i="1"/>
  <c r="M199" i="1"/>
  <c r="N199" i="1" s="1"/>
  <c r="M1591" i="1"/>
  <c r="M1187" i="1"/>
  <c r="N1187" i="1" s="1"/>
  <c r="M381" i="1"/>
  <c r="N381" i="1" s="1"/>
  <c r="M488" i="1"/>
  <c r="N488" i="1" s="1"/>
  <c r="M1005" i="1"/>
  <c r="M74" i="1"/>
  <c r="N74" i="1" s="1"/>
  <c r="M792" i="1"/>
  <c r="M834" i="1"/>
  <c r="N834" i="1" s="1"/>
  <c r="M406" i="1"/>
  <c r="M1287" i="1"/>
  <c r="N1287" i="1" s="1"/>
  <c r="M858" i="1"/>
  <c r="M587" i="1"/>
  <c r="M674" i="1"/>
  <c r="M319" i="1"/>
  <c r="M1024" i="1"/>
  <c r="M1609" i="1"/>
  <c r="M606" i="1"/>
  <c r="M923" i="1"/>
  <c r="N923" i="1" s="1"/>
  <c r="M117" i="1"/>
  <c r="N117" i="1" s="1"/>
  <c r="M691" i="1"/>
  <c r="N691" i="1" s="1"/>
  <c r="M1269" i="1"/>
  <c r="N1269" i="1" s="1"/>
  <c r="M545" i="1"/>
  <c r="N545" i="1" s="1"/>
  <c r="M526" i="1"/>
  <c r="M301" i="1"/>
  <c r="N301" i="1" s="1"/>
  <c r="M161" i="1"/>
  <c r="N161" i="1" s="1"/>
  <c r="M1348" i="1"/>
  <c r="M941" i="1"/>
  <c r="N941" i="1" s="1"/>
  <c r="M1654" i="1"/>
  <c r="M1124" i="1"/>
  <c r="N1124" i="1" s="1"/>
  <c r="M1104" i="1"/>
  <c r="N1104" i="1" s="1"/>
  <c r="M1305" i="1"/>
  <c r="M1043" i="1"/>
  <c r="N1043" i="1" s="1"/>
  <c r="M650" i="1"/>
  <c r="M1547" i="1"/>
  <c r="M448" i="1"/>
  <c r="M268" i="1"/>
  <c r="M773" i="1"/>
  <c r="M137" i="1"/>
  <c r="N137" i="1" s="1"/>
  <c r="M286" i="1"/>
  <c r="M66" i="1"/>
  <c r="N66" i="1" s="1"/>
  <c r="M1212" i="1"/>
  <c r="M568" i="1"/>
  <c r="P962" i="1" l="1"/>
  <c r="N962" i="1"/>
  <c r="P268" i="1"/>
  <c r="N268" i="1"/>
  <c r="P1654" i="1"/>
  <c r="N1654" i="1"/>
  <c r="P587" i="1"/>
  <c r="N587" i="1"/>
  <c r="P1428" i="1"/>
  <c r="N1428" i="1"/>
  <c r="P1169" i="1"/>
  <c r="N1169" i="1"/>
  <c r="P363" i="1"/>
  <c r="N363" i="1"/>
  <c r="P448" i="1"/>
  <c r="N448" i="1"/>
  <c r="P858" i="1"/>
  <c r="N858" i="1"/>
  <c r="P1411" i="1"/>
  <c r="N1411" i="1"/>
  <c r="P986" i="1"/>
  <c r="N986" i="1"/>
  <c r="P568" i="1"/>
  <c r="N568" i="1"/>
  <c r="P1348" i="1"/>
  <c r="N1348" i="1"/>
  <c r="P98" i="1"/>
  <c r="N98" i="1"/>
  <c r="P1547" i="1"/>
  <c r="N1547" i="1"/>
  <c r="P711" i="1"/>
  <c r="N711" i="1"/>
  <c r="P630" i="1"/>
  <c r="N630" i="1"/>
  <c r="P1232" i="1"/>
  <c r="N1232" i="1"/>
  <c r="P1212" i="1"/>
  <c r="N1212" i="1"/>
  <c r="P650" i="1"/>
  <c r="N650" i="1"/>
  <c r="P606" i="1"/>
  <c r="N606" i="1"/>
  <c r="P406" i="1"/>
  <c r="N406" i="1"/>
  <c r="P1591" i="1"/>
  <c r="N1591" i="1"/>
  <c r="P1510" i="1"/>
  <c r="N1510" i="1"/>
  <c r="P343" i="1"/>
  <c r="N343" i="1"/>
  <c r="P1609" i="1"/>
  <c r="N1609" i="1"/>
  <c r="P1251" i="1"/>
  <c r="N1251" i="1"/>
  <c r="P961" i="1"/>
  <c r="N961" i="1"/>
  <c r="P286" i="1"/>
  <c r="N286" i="1"/>
  <c r="P1305" i="1"/>
  <c r="N1305" i="1"/>
  <c r="P526" i="1"/>
  <c r="N526" i="1"/>
  <c r="P1024" i="1"/>
  <c r="N1024" i="1"/>
  <c r="P792" i="1"/>
  <c r="N792" i="1"/>
  <c r="P1324" i="1"/>
  <c r="N1324" i="1"/>
  <c r="P1492" i="1"/>
  <c r="N1492" i="1"/>
  <c r="P244" i="1"/>
  <c r="N244" i="1"/>
  <c r="P319" i="1"/>
  <c r="N319" i="1"/>
  <c r="P468" i="1"/>
  <c r="N468" i="1"/>
  <c r="P1368" i="1"/>
  <c r="N1368" i="1"/>
  <c r="P773" i="1"/>
  <c r="N773" i="1"/>
  <c r="P674" i="1"/>
  <c r="N674" i="1"/>
  <c r="P1005" i="1"/>
  <c r="N1005" i="1"/>
  <c r="P426" i="1"/>
  <c r="N426" i="1"/>
  <c r="P1061" i="1"/>
  <c r="N1061" i="1"/>
  <c r="O199" i="1"/>
  <c r="M1145" i="1"/>
  <c r="P1634" i="1"/>
  <c r="O545" i="1"/>
  <c r="O74" i="1"/>
  <c r="P1104" i="1"/>
  <c r="O773" i="1"/>
  <c r="O1269" i="1"/>
  <c r="O1005" i="1"/>
  <c r="P834" i="1"/>
  <c r="P691" i="1"/>
  <c r="O448" i="1"/>
  <c r="O858" i="1"/>
  <c r="O381" i="1"/>
  <c r="P1269" i="1"/>
  <c r="O363" i="1"/>
  <c r="O1187" i="1"/>
  <c r="O630" i="1"/>
  <c r="P1287" i="1"/>
  <c r="P1124" i="1"/>
  <c r="P1529" i="1"/>
  <c r="P74" i="1"/>
  <c r="P759" i="1"/>
  <c r="P1144" i="1"/>
  <c r="P512" i="1"/>
  <c r="O1428" i="1"/>
  <c r="O406" i="1"/>
  <c r="P545" i="1"/>
  <c r="P1043" i="1"/>
  <c r="P1453" i="1"/>
  <c r="P180" i="1"/>
  <c r="P1392" i="1"/>
  <c r="P941" i="1"/>
  <c r="P137" i="1"/>
  <c r="P923" i="1"/>
  <c r="P815" i="1"/>
  <c r="P301" i="1"/>
  <c r="P117" i="1"/>
  <c r="O66" i="1"/>
  <c r="P488" i="1"/>
  <c r="O1305" i="1"/>
  <c r="O1324" i="1"/>
  <c r="P1473" i="1"/>
  <c r="P1080" i="1"/>
  <c r="P736" i="1"/>
  <c r="P381" i="1"/>
  <c r="P898" i="1"/>
  <c r="P66" i="1"/>
  <c r="P1571" i="1"/>
  <c r="P199" i="1"/>
  <c r="P878" i="1"/>
  <c r="P224" i="1"/>
  <c r="P1187" i="1"/>
  <c r="P161" i="1"/>
  <c r="O286" i="1"/>
  <c r="O526" i="1"/>
  <c r="O759" i="1"/>
  <c r="O98" i="1"/>
  <c r="O244" i="1"/>
  <c r="O1251" i="1"/>
  <c r="O1287" i="1"/>
  <c r="O792" i="1"/>
  <c r="O180" i="1"/>
  <c r="O343" i="1"/>
  <c r="O1080" i="1"/>
  <c r="O834" i="1"/>
  <c r="O1473" i="1"/>
  <c r="O1609" i="1"/>
  <c r="O1124" i="1"/>
  <c r="O1104" i="1"/>
  <c r="O1368" i="1"/>
  <c r="O1634" i="1"/>
  <c r="O1392" i="1"/>
  <c r="O161" i="1"/>
  <c r="O1591" i="1"/>
  <c r="O1453" i="1"/>
  <c r="O878" i="1"/>
  <c r="O1169" i="1"/>
  <c r="O1571" i="1"/>
  <c r="O301" i="1"/>
  <c r="R960" i="1"/>
  <c r="O1061" i="1"/>
  <c r="R1168" i="1"/>
  <c r="R857" i="1"/>
  <c r="R65" i="1"/>
  <c r="Q65" i="1"/>
  <c r="U65" i="1" s="1"/>
  <c r="V65" i="1" s="1"/>
  <c r="R1079" i="1"/>
  <c r="R544" i="1"/>
  <c r="R1268" i="1"/>
  <c r="R1186" i="1"/>
  <c r="R97" i="1"/>
  <c r="R342" i="1"/>
  <c r="R1367" i="1"/>
  <c r="R710" i="1"/>
  <c r="R1427" i="1"/>
  <c r="R447" i="1"/>
  <c r="R833" i="1"/>
  <c r="R1060" i="1"/>
  <c r="R380" i="1"/>
  <c r="R300" i="1"/>
  <c r="R405" i="1"/>
  <c r="R362" i="1"/>
  <c r="R1123" i="1"/>
  <c r="R1633" i="1"/>
  <c r="R1004" i="1"/>
  <c r="R791" i="1"/>
  <c r="R285" i="1"/>
  <c r="R1570" i="1"/>
  <c r="R629" i="1"/>
  <c r="R877" i="1"/>
  <c r="R243" i="1"/>
  <c r="R1304" i="1"/>
  <c r="R73" i="1"/>
  <c r="R1590" i="1"/>
  <c r="R758" i="1"/>
  <c r="R1250" i="1"/>
  <c r="R179" i="1"/>
  <c r="R1323" i="1"/>
  <c r="R1103" i="1"/>
  <c r="R772" i="1"/>
  <c r="R525" i="1"/>
  <c r="R116" i="1"/>
  <c r="R198" i="1"/>
  <c r="R1608" i="1"/>
  <c r="R160" i="1"/>
  <c r="O1144" i="1"/>
  <c r="O1043" i="1"/>
  <c r="R985" i="1"/>
  <c r="O986" i="1"/>
  <c r="R1509" i="1"/>
  <c r="O736" i="1"/>
  <c r="R735" i="1"/>
  <c r="O1654" i="1"/>
  <c r="R1042" i="1"/>
  <c r="R425" i="1"/>
  <c r="O426" i="1"/>
  <c r="R1023" i="1"/>
  <c r="O1024" i="1"/>
  <c r="R1653" i="1"/>
  <c r="R1391" i="1"/>
  <c r="R1491" i="1"/>
  <c r="O1510" i="1"/>
  <c r="R1410" i="1"/>
  <c r="M1393" i="1"/>
  <c r="O674" i="1"/>
  <c r="O691" i="1"/>
  <c r="R690" i="1"/>
  <c r="R922" i="1"/>
  <c r="O923" i="1"/>
  <c r="O606" i="1"/>
  <c r="R605" i="1"/>
  <c r="R267" i="1"/>
  <c r="O1492" i="1"/>
  <c r="O137" i="1"/>
  <c r="M1454" i="1"/>
  <c r="N1454" i="1" s="1"/>
  <c r="R897" i="1"/>
  <c r="R814" i="1"/>
  <c r="R1211" i="1"/>
  <c r="O898" i="1"/>
  <c r="R567" i="1"/>
  <c r="R1472" i="1"/>
  <c r="R586" i="1"/>
  <c r="O1348" i="1"/>
  <c r="R673" i="1"/>
  <c r="O224" i="1"/>
  <c r="R136" i="1"/>
  <c r="R467" i="1"/>
  <c r="R649" i="1"/>
  <c r="R1347" i="1"/>
  <c r="O650" i="1"/>
  <c r="R1143" i="1"/>
  <c r="R487" i="1"/>
  <c r="R961" i="1"/>
  <c r="O587" i="1"/>
  <c r="R1231" i="1"/>
  <c r="O1232" i="1"/>
  <c r="R511" i="1"/>
  <c r="R318" i="1"/>
  <c r="R1452" i="1"/>
  <c r="M1369" i="1"/>
  <c r="N1369" i="1" s="1"/>
  <c r="R940" i="1"/>
  <c r="R223" i="1"/>
  <c r="R1528" i="1"/>
  <c r="R1286" i="1"/>
  <c r="R1546" i="1"/>
  <c r="O1529" i="1"/>
  <c r="O568" i="1"/>
  <c r="M1233" i="1"/>
  <c r="N1233" i="1" s="1"/>
  <c r="O962" i="1"/>
  <c r="O1411" i="1"/>
  <c r="O941" i="1"/>
  <c r="O512" i="1"/>
  <c r="O268" i="1"/>
  <c r="O117" i="1"/>
  <c r="O488" i="1"/>
  <c r="O815" i="1"/>
  <c r="O468" i="1"/>
  <c r="O319" i="1"/>
  <c r="O1212" i="1"/>
  <c r="O1547" i="1"/>
  <c r="O711" i="1"/>
  <c r="M344" i="1"/>
  <c r="N344" i="1" s="1"/>
  <c r="M760" i="1"/>
  <c r="N760" i="1" s="1"/>
  <c r="M631" i="1"/>
  <c r="M1081" i="1"/>
  <c r="N1081" i="1" s="1"/>
  <c r="M1062" i="1"/>
  <c r="N1062" i="1" s="1"/>
  <c r="M987" i="1"/>
  <c r="N987" i="1" s="1"/>
  <c r="M245" i="1"/>
  <c r="M1044" i="1"/>
  <c r="N1044" i="1" s="1"/>
  <c r="M692" i="1"/>
  <c r="N692" i="1" s="1"/>
  <c r="M816" i="1"/>
  <c r="N816" i="1" s="1"/>
  <c r="M1572" i="1"/>
  <c r="M118" i="1"/>
  <c r="M859" i="1"/>
  <c r="M835" i="1"/>
  <c r="M1006" i="1"/>
  <c r="M382" i="1"/>
  <c r="M200" i="1"/>
  <c r="N200" i="1" s="1"/>
  <c r="M1429" i="1"/>
  <c r="M1252" i="1"/>
  <c r="M427" i="1"/>
  <c r="N427" i="1" s="1"/>
  <c r="M899" i="1"/>
  <c r="N899" i="1" s="1"/>
  <c r="M1530" i="1"/>
  <c r="N1530" i="1" s="1"/>
  <c r="M449" i="1"/>
  <c r="N449" i="1" s="1"/>
  <c r="M1610" i="1"/>
  <c r="N1610" i="1" s="1"/>
  <c r="M99" i="1"/>
  <c r="N99" i="1" s="1"/>
  <c r="M67" i="1"/>
  <c r="M162" i="1"/>
  <c r="M527" i="1"/>
  <c r="N527" i="1" s="1"/>
  <c r="M1025" i="1"/>
  <c r="N1025" i="1" s="1"/>
  <c r="M774" i="1"/>
  <c r="N774" i="1" s="1"/>
  <c r="M1548" i="1"/>
  <c r="N1548" i="1" s="1"/>
  <c r="M1105" i="1"/>
  <c r="M1213" i="1"/>
  <c r="N1213" i="1" s="1"/>
  <c r="M1349" i="1"/>
  <c r="M75" i="1"/>
  <c r="M1511" i="1"/>
  <c r="N1511" i="1" s="1"/>
  <c r="M546" i="1"/>
  <c r="N546" i="1" s="1"/>
  <c r="M924" i="1"/>
  <c r="N924" i="1" s="1"/>
  <c r="M320" i="1"/>
  <c r="N320" i="1" s="1"/>
  <c r="M793" i="1"/>
  <c r="N793" i="1" s="1"/>
  <c r="M489" i="1"/>
  <c r="N489" i="1" s="1"/>
  <c r="M1325" i="1"/>
  <c r="M963" i="1"/>
  <c r="N963" i="1" s="1"/>
  <c r="M879" i="1"/>
  <c r="M1170" i="1"/>
  <c r="M225" i="1"/>
  <c r="M364" i="1"/>
  <c r="N364" i="1" s="1"/>
  <c r="M737" i="1"/>
  <c r="N737" i="1" s="1"/>
  <c r="M407" i="1"/>
  <c r="N407" i="1" s="1"/>
  <c r="M469" i="1"/>
  <c r="M1306" i="1"/>
  <c r="M1125" i="1"/>
  <c r="N1125" i="1" s="1"/>
  <c r="M1655" i="1"/>
  <c r="M569" i="1"/>
  <c r="N569" i="1" s="1"/>
  <c r="M287" i="1"/>
  <c r="M269" i="1"/>
  <c r="N269" i="1" s="1"/>
  <c r="M651" i="1"/>
  <c r="N651" i="1" s="1"/>
  <c r="M138" i="1"/>
  <c r="M588" i="1"/>
  <c r="M1592" i="1"/>
  <c r="M181" i="1"/>
  <c r="M1146" i="1"/>
  <c r="N1146" i="1" s="1"/>
  <c r="M942" i="1"/>
  <c r="N942" i="1" s="1"/>
  <c r="M302" i="1"/>
  <c r="N302" i="1" s="1"/>
  <c r="M1270" i="1"/>
  <c r="N1270" i="1" s="1"/>
  <c r="M607" i="1"/>
  <c r="M675" i="1"/>
  <c r="N675" i="1" s="1"/>
  <c r="M1288" i="1"/>
  <c r="M1188" i="1"/>
  <c r="M513" i="1"/>
  <c r="M712" i="1"/>
  <c r="N712" i="1" s="1"/>
  <c r="M1412" i="1"/>
  <c r="N1412" i="1" s="1"/>
  <c r="M1493" i="1"/>
  <c r="N1493" i="1" s="1"/>
  <c r="M1474" i="1"/>
  <c r="M1635" i="1"/>
  <c r="P607" i="1" l="1"/>
  <c r="N607" i="1"/>
  <c r="P1349" i="1"/>
  <c r="N1349" i="1"/>
  <c r="P1429" i="1"/>
  <c r="N1429" i="1"/>
  <c r="P287" i="1"/>
  <c r="N287" i="1"/>
  <c r="P1006" i="1"/>
  <c r="N1006" i="1"/>
  <c r="P245" i="1"/>
  <c r="N245" i="1"/>
  <c r="P1393" i="1"/>
  <c r="N1393" i="1"/>
  <c r="P513" i="1"/>
  <c r="N513" i="1"/>
  <c r="P225" i="1"/>
  <c r="N225" i="1"/>
  <c r="P835" i="1"/>
  <c r="N835" i="1"/>
  <c r="P1188" i="1"/>
  <c r="N1188" i="1"/>
  <c r="P181" i="1"/>
  <c r="N181" i="1"/>
  <c r="P1655" i="1"/>
  <c r="N1655" i="1"/>
  <c r="P1170" i="1"/>
  <c r="N1170" i="1"/>
  <c r="P859" i="1"/>
  <c r="N859" i="1"/>
  <c r="P1592" i="1"/>
  <c r="N1592" i="1"/>
  <c r="P118" i="1"/>
  <c r="N118" i="1"/>
  <c r="P1288" i="1"/>
  <c r="N1288" i="1"/>
  <c r="P879" i="1"/>
  <c r="N879" i="1"/>
  <c r="P1635" i="1"/>
  <c r="N1635" i="1"/>
  <c r="P588" i="1"/>
  <c r="N588" i="1"/>
  <c r="P1306" i="1"/>
  <c r="N1306" i="1"/>
  <c r="P75" i="1"/>
  <c r="N75" i="1"/>
  <c r="P162" i="1"/>
  <c r="N162" i="1"/>
  <c r="P1252" i="1"/>
  <c r="N1252" i="1"/>
  <c r="P1572" i="1"/>
  <c r="N1572" i="1"/>
  <c r="P631" i="1"/>
  <c r="N631" i="1"/>
  <c r="P138" i="1"/>
  <c r="N138" i="1"/>
  <c r="P469" i="1"/>
  <c r="N469" i="1"/>
  <c r="P67" i="1"/>
  <c r="N67" i="1"/>
  <c r="P1145" i="1"/>
  <c r="N1145" i="1"/>
  <c r="P1474" i="1"/>
  <c r="N1474" i="1"/>
  <c r="P1325" i="1"/>
  <c r="N1325" i="1"/>
  <c r="P1105" i="1"/>
  <c r="N1105" i="1"/>
  <c r="P382" i="1"/>
  <c r="N382" i="1"/>
  <c r="O407" i="1"/>
  <c r="O200" i="1"/>
  <c r="O1610" i="1"/>
  <c r="P1493" i="1"/>
  <c r="P407" i="1"/>
  <c r="P489" i="1"/>
  <c r="P692" i="1"/>
  <c r="P675" i="1"/>
  <c r="O364" i="1"/>
  <c r="O449" i="1"/>
  <c r="O1006" i="1"/>
  <c r="P1369" i="1"/>
  <c r="P269" i="1"/>
  <c r="P924" i="1"/>
  <c r="P1270" i="1"/>
  <c r="P1044" i="1"/>
  <c r="P1146" i="1"/>
  <c r="O546" i="1"/>
  <c r="P344" i="1"/>
  <c r="P987" i="1"/>
  <c r="P1062" i="1"/>
  <c r="O527" i="1"/>
  <c r="P793" i="1"/>
  <c r="P1610" i="1"/>
  <c r="P737" i="1"/>
  <c r="P651" i="1"/>
  <c r="P1548" i="1"/>
  <c r="P942" i="1"/>
  <c r="P1530" i="1"/>
  <c r="P1125" i="1"/>
  <c r="P320" i="1"/>
  <c r="P200" i="1"/>
  <c r="O75" i="1"/>
  <c r="O631" i="1"/>
  <c r="P1025" i="1"/>
  <c r="P899" i="1"/>
  <c r="P1213" i="1"/>
  <c r="P99" i="1"/>
  <c r="P569" i="1"/>
  <c r="P1412" i="1"/>
  <c r="P449" i="1"/>
  <c r="P427" i="1"/>
  <c r="P774" i="1"/>
  <c r="P1454" i="1"/>
  <c r="P546" i="1"/>
  <c r="O1325" i="1"/>
  <c r="O67" i="1"/>
  <c r="O1429" i="1"/>
  <c r="P1233" i="1"/>
  <c r="P527" i="1"/>
  <c r="P1511" i="1"/>
  <c r="P1081" i="1"/>
  <c r="P712" i="1"/>
  <c r="P364" i="1"/>
  <c r="P963" i="1"/>
  <c r="P816" i="1"/>
  <c r="P760" i="1"/>
  <c r="P302" i="1"/>
  <c r="O287" i="1"/>
  <c r="O1288" i="1"/>
  <c r="O99" i="1"/>
  <c r="O1252" i="1"/>
  <c r="O760" i="1"/>
  <c r="O427" i="1"/>
  <c r="O181" i="1"/>
  <c r="O793" i="1"/>
  <c r="O1188" i="1"/>
  <c r="O1081" i="1"/>
  <c r="O942" i="1"/>
  <c r="O835" i="1"/>
  <c r="O1592" i="1"/>
  <c r="O1125" i="1"/>
  <c r="O1474" i="1"/>
  <c r="O1369" i="1"/>
  <c r="O1105" i="1"/>
  <c r="O382" i="1"/>
  <c r="O1349" i="1"/>
  <c r="O859" i="1"/>
  <c r="O344" i="1"/>
  <c r="O1393" i="1"/>
  <c r="O1635" i="1"/>
  <c r="O162" i="1"/>
  <c r="O879" i="1"/>
  <c r="O1170" i="1"/>
  <c r="O1572" i="1"/>
  <c r="R1144" i="1"/>
  <c r="O1145" i="1"/>
  <c r="O1146" i="1" s="1"/>
  <c r="O987" i="1"/>
  <c r="O302" i="1"/>
  <c r="O1511" i="1"/>
  <c r="O1025" i="1"/>
  <c r="O1044" i="1"/>
  <c r="R406" i="1"/>
  <c r="R1634" i="1"/>
  <c r="R1251" i="1"/>
  <c r="R1591" i="1"/>
  <c r="R1473" i="1"/>
  <c r="R526" i="1"/>
  <c r="R986" i="1"/>
  <c r="R1453" i="1"/>
  <c r="R1609" i="1"/>
  <c r="R1287" i="1"/>
  <c r="R199" i="1"/>
  <c r="R674" i="1"/>
  <c r="R1368" i="1"/>
  <c r="R381" i="1"/>
  <c r="R343" i="1"/>
  <c r="R301" i="1"/>
  <c r="R161" i="1"/>
  <c r="R878" i="1"/>
  <c r="R773" i="1"/>
  <c r="R74" i="1"/>
  <c r="R1269" i="1"/>
  <c r="R1324" i="1"/>
  <c r="R1043" i="1"/>
  <c r="R66" i="1"/>
  <c r="Q66" i="1"/>
  <c r="U66" i="1" s="1"/>
  <c r="V66" i="1" s="1"/>
  <c r="R1104" i="1"/>
  <c r="R1005" i="1"/>
  <c r="R363" i="1"/>
  <c r="R1305" i="1"/>
  <c r="R792" i="1"/>
  <c r="R1061" i="1"/>
  <c r="R1124" i="1"/>
  <c r="R1187" i="1"/>
  <c r="R448" i="1"/>
  <c r="R426" i="1"/>
  <c r="R630" i="1"/>
  <c r="R244" i="1"/>
  <c r="R286" i="1"/>
  <c r="R858" i="1"/>
  <c r="R1571" i="1"/>
  <c r="R1080" i="1"/>
  <c r="R180" i="1"/>
  <c r="R1428" i="1"/>
  <c r="R759" i="1"/>
  <c r="R1169" i="1"/>
  <c r="R98" i="1"/>
  <c r="R834" i="1"/>
  <c r="R545" i="1"/>
  <c r="R1392" i="1"/>
  <c r="O737" i="1"/>
  <c r="R736" i="1"/>
  <c r="R1024" i="1"/>
  <c r="O1454" i="1"/>
  <c r="O1655" i="1"/>
  <c r="R1654" i="1"/>
  <c r="O1062" i="1"/>
  <c r="O675" i="1"/>
  <c r="R1510" i="1"/>
  <c r="R691" i="1"/>
  <c r="O692" i="1"/>
  <c r="M1394" i="1"/>
  <c r="R923" i="1"/>
  <c r="O924" i="1"/>
  <c r="O138" i="1"/>
  <c r="O712" i="1"/>
  <c r="O607" i="1"/>
  <c r="O469" i="1"/>
  <c r="R606" i="1"/>
  <c r="O899" i="1"/>
  <c r="O1493" i="1"/>
  <c r="R319" i="1"/>
  <c r="R650" i="1"/>
  <c r="R1348" i="1"/>
  <c r="R1492" i="1"/>
  <c r="R898" i="1"/>
  <c r="O588" i="1"/>
  <c r="O651" i="1"/>
  <c r="R137" i="1"/>
  <c r="M1455" i="1"/>
  <c r="N1455" i="1" s="1"/>
  <c r="R268" i="1"/>
  <c r="R224" i="1"/>
  <c r="O225" i="1"/>
  <c r="R1232" i="1"/>
  <c r="R468" i="1"/>
  <c r="R512" i="1"/>
  <c r="O1233" i="1"/>
  <c r="R488" i="1"/>
  <c r="M1370" i="1"/>
  <c r="R1547" i="1"/>
  <c r="R1212" i="1"/>
  <c r="R587" i="1"/>
  <c r="R815" i="1"/>
  <c r="M1234" i="1"/>
  <c r="O269" i="1"/>
  <c r="R962" i="1"/>
  <c r="R1529" i="1"/>
  <c r="R568" i="1"/>
  <c r="R1411" i="1"/>
  <c r="O320" i="1"/>
  <c r="R941" i="1"/>
  <c r="R711" i="1"/>
  <c r="R117" i="1"/>
  <c r="O569" i="1"/>
  <c r="O963" i="1"/>
  <c r="O1530" i="1"/>
  <c r="O489" i="1"/>
  <c r="O1412" i="1"/>
  <c r="O1548" i="1"/>
  <c r="O816" i="1"/>
  <c r="O513" i="1"/>
  <c r="O118" i="1"/>
  <c r="O245" i="1"/>
  <c r="O774" i="1"/>
  <c r="O1306" i="1"/>
  <c r="O1213" i="1"/>
  <c r="O1270" i="1"/>
  <c r="M345" i="1"/>
  <c r="N345" i="1" s="1"/>
  <c r="M761" i="1"/>
  <c r="N761" i="1" s="1"/>
  <c r="M632" i="1"/>
  <c r="M1063" i="1"/>
  <c r="N1063" i="1" s="1"/>
  <c r="M1082" i="1"/>
  <c r="N1082" i="1" s="1"/>
  <c r="M988" i="1"/>
  <c r="M246" i="1"/>
  <c r="N246" i="1" s="1"/>
  <c r="M1126" i="1"/>
  <c r="N1126" i="1" s="1"/>
  <c r="M1026" i="1"/>
  <c r="N1026" i="1" s="1"/>
  <c r="M100" i="1"/>
  <c r="N100" i="1" s="1"/>
  <c r="M1253" i="1"/>
  <c r="M1007" i="1"/>
  <c r="M1573" i="1"/>
  <c r="N1573" i="1" s="1"/>
  <c r="M713" i="1"/>
  <c r="M1475" i="1"/>
  <c r="N1475" i="1" s="1"/>
  <c r="M270" i="1"/>
  <c r="M1171" i="1"/>
  <c r="N1171" i="1" s="1"/>
  <c r="M1147" i="1"/>
  <c r="N1147" i="1" s="1"/>
  <c r="M1307" i="1"/>
  <c r="M738" i="1"/>
  <c r="N738" i="1" s="1"/>
  <c r="M880" i="1"/>
  <c r="M490" i="1"/>
  <c r="M925" i="1"/>
  <c r="N925" i="1" s="1"/>
  <c r="M76" i="1"/>
  <c r="M1549" i="1"/>
  <c r="N1549" i="1" s="1"/>
  <c r="M528" i="1"/>
  <c r="N528" i="1" s="1"/>
  <c r="M1531" i="1"/>
  <c r="M1430" i="1"/>
  <c r="M836" i="1"/>
  <c r="M817" i="1"/>
  <c r="M303" i="1"/>
  <c r="M321" i="1"/>
  <c r="M1494" i="1"/>
  <c r="N1494" i="1" s="1"/>
  <c r="M589" i="1"/>
  <c r="N589" i="1" s="1"/>
  <c r="M676" i="1"/>
  <c r="N676" i="1" s="1"/>
  <c r="M139" i="1"/>
  <c r="M470" i="1"/>
  <c r="M964" i="1"/>
  <c r="N964" i="1" s="1"/>
  <c r="M794" i="1"/>
  <c r="N794" i="1" s="1"/>
  <c r="M547" i="1"/>
  <c r="N547" i="1" s="1"/>
  <c r="M1350" i="1"/>
  <c r="M775" i="1"/>
  <c r="N775" i="1" s="1"/>
  <c r="M163" i="1"/>
  <c r="M1611" i="1"/>
  <c r="M900" i="1"/>
  <c r="M201" i="1"/>
  <c r="N201" i="1" s="1"/>
  <c r="M860" i="1"/>
  <c r="N860" i="1" s="1"/>
  <c r="M693" i="1"/>
  <c r="N693" i="1" s="1"/>
  <c r="M1593" i="1"/>
  <c r="N1593" i="1" s="1"/>
  <c r="M1106" i="1"/>
  <c r="N1106" i="1" s="1"/>
  <c r="M1289" i="1"/>
  <c r="N1289" i="1" s="1"/>
  <c r="M288" i="1"/>
  <c r="N288" i="1" s="1"/>
  <c r="M1413" i="1"/>
  <c r="M1189" i="1"/>
  <c r="N1189" i="1" s="1"/>
  <c r="M943" i="1"/>
  <c r="M570" i="1"/>
  <c r="N570" i="1" s="1"/>
  <c r="M365" i="1"/>
  <c r="N365" i="1" s="1"/>
  <c r="M1271" i="1"/>
  <c r="N1271" i="1" s="1"/>
  <c r="M1512" i="1"/>
  <c r="M514" i="1"/>
  <c r="N514" i="1" s="1"/>
  <c r="M1636" i="1"/>
  <c r="M608" i="1"/>
  <c r="N608" i="1" s="1"/>
  <c r="M182" i="1"/>
  <c r="N182" i="1" s="1"/>
  <c r="M652" i="1"/>
  <c r="N652" i="1" s="1"/>
  <c r="M1656" i="1"/>
  <c r="N1656" i="1" s="1"/>
  <c r="M408" i="1"/>
  <c r="N408" i="1" s="1"/>
  <c r="M226" i="1"/>
  <c r="M1326" i="1"/>
  <c r="M1214" i="1"/>
  <c r="N1214" i="1" s="1"/>
  <c r="M68" i="1"/>
  <c r="N68" i="1" s="1"/>
  <c r="M450" i="1"/>
  <c r="N450" i="1" s="1"/>
  <c r="M428" i="1"/>
  <c r="M383" i="1"/>
  <c r="N383" i="1" s="1"/>
  <c r="M119" i="1"/>
  <c r="N119" i="1" s="1"/>
  <c r="M1045" i="1"/>
  <c r="P1307" i="1" l="1"/>
  <c r="N1307" i="1"/>
  <c r="P1512" i="1"/>
  <c r="N1512" i="1"/>
  <c r="P163" i="1"/>
  <c r="N163" i="1"/>
  <c r="P632" i="1"/>
  <c r="N632" i="1"/>
  <c r="P1350" i="1"/>
  <c r="N1350" i="1"/>
  <c r="P1234" i="1"/>
  <c r="N1234" i="1"/>
  <c r="P1394" i="1"/>
  <c r="N1394" i="1"/>
  <c r="P226" i="1"/>
  <c r="N226" i="1"/>
  <c r="P1253" i="1"/>
  <c r="N1253" i="1"/>
  <c r="P428" i="1"/>
  <c r="N428" i="1"/>
  <c r="P321" i="1"/>
  <c r="N321" i="1"/>
  <c r="P76" i="1"/>
  <c r="N76" i="1"/>
  <c r="P270" i="1"/>
  <c r="N270" i="1"/>
  <c r="P817" i="1"/>
  <c r="N817" i="1"/>
  <c r="P490" i="1"/>
  <c r="N490" i="1"/>
  <c r="P713" i="1"/>
  <c r="N713" i="1"/>
  <c r="P988" i="1"/>
  <c r="N988" i="1"/>
  <c r="P943" i="1"/>
  <c r="N943" i="1"/>
  <c r="P303" i="1"/>
  <c r="N303" i="1"/>
  <c r="P1413" i="1"/>
  <c r="N1413" i="1"/>
  <c r="P470" i="1"/>
  <c r="N470" i="1"/>
  <c r="P836" i="1"/>
  <c r="N836" i="1"/>
  <c r="P880" i="1"/>
  <c r="N880" i="1"/>
  <c r="P1636" i="1"/>
  <c r="N1636" i="1"/>
  <c r="P900" i="1"/>
  <c r="N900" i="1"/>
  <c r="P1326" i="1"/>
  <c r="N1326" i="1"/>
  <c r="P1611" i="1"/>
  <c r="N1611" i="1"/>
  <c r="P139" i="1"/>
  <c r="N139" i="1"/>
  <c r="P1430" i="1"/>
  <c r="N1430" i="1"/>
  <c r="P1007" i="1"/>
  <c r="N1007" i="1"/>
  <c r="P1370" i="1"/>
  <c r="N1370" i="1"/>
  <c r="P1045" i="1"/>
  <c r="N1045" i="1"/>
  <c r="P1531" i="1"/>
  <c r="N1531" i="1"/>
  <c r="O408" i="1"/>
  <c r="O528" i="1"/>
  <c r="O761" i="1"/>
  <c r="P514" i="1"/>
  <c r="P528" i="1"/>
  <c r="P1026" i="1"/>
  <c r="P408" i="1"/>
  <c r="O76" i="1"/>
  <c r="P761" i="1"/>
  <c r="P547" i="1"/>
  <c r="P383" i="1"/>
  <c r="O450" i="1"/>
  <c r="P589" i="1"/>
  <c r="P775" i="1"/>
  <c r="P450" i="1"/>
  <c r="P693" i="1"/>
  <c r="P652" i="1"/>
  <c r="O68" i="1"/>
  <c r="P69" i="1"/>
  <c r="O201" i="1"/>
  <c r="P1455" i="1"/>
  <c r="P1171" i="1"/>
  <c r="P925" i="1"/>
  <c r="P246" i="1"/>
  <c r="P201" i="1"/>
  <c r="P1271" i="1"/>
  <c r="O836" i="1"/>
  <c r="P608" i="1"/>
  <c r="P1126" i="1"/>
  <c r="P345" i="1"/>
  <c r="P1656" i="1"/>
  <c r="P365" i="1"/>
  <c r="P1549" i="1"/>
  <c r="P1106" i="1"/>
  <c r="P1494" i="1"/>
  <c r="O1326" i="1"/>
  <c r="M1235" i="1"/>
  <c r="P68" i="1"/>
  <c r="P1475" i="1"/>
  <c r="P1082" i="1"/>
  <c r="P1593" i="1"/>
  <c r="P1063" i="1"/>
  <c r="P182" i="1"/>
  <c r="P570" i="1"/>
  <c r="P794" i="1"/>
  <c r="P100" i="1"/>
  <c r="P964" i="1"/>
  <c r="O1611" i="1"/>
  <c r="O1430" i="1"/>
  <c r="P1573" i="1"/>
  <c r="P119" i="1"/>
  <c r="P1289" i="1"/>
  <c r="P860" i="1"/>
  <c r="P1189" i="1"/>
  <c r="P1147" i="1"/>
  <c r="P288" i="1"/>
  <c r="P738" i="1"/>
  <c r="P1214" i="1"/>
  <c r="P676" i="1"/>
  <c r="O288" i="1"/>
  <c r="O547" i="1"/>
  <c r="O1593" i="1"/>
  <c r="O880" i="1"/>
  <c r="O383" i="1"/>
  <c r="O100" i="1"/>
  <c r="O182" i="1"/>
  <c r="O1189" i="1"/>
  <c r="O1126" i="1"/>
  <c r="O1082" i="1"/>
  <c r="O1475" i="1"/>
  <c r="O943" i="1"/>
  <c r="O1106" i="1"/>
  <c r="O1289" i="1"/>
  <c r="O860" i="1"/>
  <c r="O1350" i="1"/>
  <c r="O1394" i="1"/>
  <c r="O163" i="1"/>
  <c r="O1171" i="1"/>
  <c r="O1455" i="1"/>
  <c r="O988" i="1"/>
  <c r="O693" i="1"/>
  <c r="O1573" i="1"/>
  <c r="O1512" i="1"/>
  <c r="R1145" i="1"/>
  <c r="O303" i="1"/>
  <c r="O1045" i="1"/>
  <c r="O738" i="1"/>
  <c r="R987" i="1"/>
  <c r="R181" i="1"/>
  <c r="R879" i="1"/>
  <c r="R793" i="1"/>
  <c r="R1081" i="1"/>
  <c r="R1025" i="1"/>
  <c r="R835" i="1"/>
  <c r="R302" i="1"/>
  <c r="R760" i="1"/>
  <c r="R1429" i="1"/>
  <c r="R364" i="1"/>
  <c r="R1511" i="1"/>
  <c r="R546" i="1"/>
  <c r="R631" i="1"/>
  <c r="R1393" i="1"/>
  <c r="R1610" i="1"/>
  <c r="R200" i="1"/>
  <c r="R287" i="1"/>
  <c r="R427" i="1"/>
  <c r="R1635" i="1"/>
  <c r="R407" i="1"/>
  <c r="R1325" i="1"/>
  <c r="R344" i="1"/>
  <c r="R1454" i="1"/>
  <c r="R1349" i="1"/>
  <c r="R99" i="1"/>
  <c r="R527" i="1"/>
  <c r="R382" i="1"/>
  <c r="R449" i="1"/>
  <c r="R1369" i="1"/>
  <c r="R67" i="1"/>
  <c r="Q67" i="1"/>
  <c r="U67" i="1" s="1"/>
  <c r="V67" i="1" s="1"/>
  <c r="R75" i="1"/>
  <c r="R588" i="1"/>
  <c r="R1125" i="1"/>
  <c r="R1105" i="1"/>
  <c r="R1572" i="1"/>
  <c r="R1592" i="1"/>
  <c r="R1252" i="1"/>
  <c r="R1288" i="1"/>
  <c r="R942" i="1"/>
  <c r="R1474" i="1"/>
  <c r="R1170" i="1"/>
  <c r="R162" i="1"/>
  <c r="R1044" i="1"/>
  <c r="R737" i="1"/>
  <c r="R859" i="1"/>
  <c r="R1006" i="1"/>
  <c r="R1188" i="1"/>
  <c r="O964" i="1"/>
  <c r="R1062" i="1"/>
  <c r="R1655" i="1"/>
  <c r="O1656" i="1"/>
  <c r="O1636" i="1"/>
  <c r="O1370" i="1"/>
  <c r="O1549" i="1"/>
  <c r="O1063" i="1"/>
  <c r="O1253" i="1"/>
  <c r="O1026" i="1"/>
  <c r="R692" i="1"/>
  <c r="R675" i="1"/>
  <c r="O676" i="1"/>
  <c r="R1493" i="1"/>
  <c r="R225" i="1"/>
  <c r="M1395" i="1"/>
  <c r="N1395" i="1" s="1"/>
  <c r="O1413" i="1"/>
  <c r="O139" i="1"/>
  <c r="R469" i="1"/>
  <c r="O713" i="1"/>
  <c r="O925" i="1"/>
  <c r="R924" i="1"/>
  <c r="R899" i="1"/>
  <c r="R712" i="1"/>
  <c r="R138" i="1"/>
  <c r="R607" i="1"/>
  <c r="O608" i="1"/>
  <c r="O900" i="1"/>
  <c r="O470" i="1"/>
  <c r="O1494" i="1"/>
  <c r="O589" i="1"/>
  <c r="M1456" i="1"/>
  <c r="N1456" i="1" s="1"/>
  <c r="R963" i="1"/>
  <c r="O632" i="1"/>
  <c r="O652" i="1"/>
  <c r="R651" i="1"/>
  <c r="R269" i="1"/>
  <c r="R1548" i="1"/>
  <c r="O119" i="1"/>
  <c r="O514" i="1"/>
  <c r="R1270" i="1"/>
  <c r="R569" i="1"/>
  <c r="O226" i="1"/>
  <c r="O428" i="1"/>
  <c r="O1271" i="1"/>
  <c r="O1147" i="1"/>
  <c r="R774" i="1"/>
  <c r="R1233" i="1"/>
  <c r="R1146" i="1"/>
  <c r="O270" i="1"/>
  <c r="O794" i="1"/>
  <c r="O246" i="1"/>
  <c r="R320" i="1"/>
  <c r="R1213" i="1"/>
  <c r="O490" i="1"/>
  <c r="R1412" i="1"/>
  <c r="R1306" i="1"/>
  <c r="O1234" i="1"/>
  <c r="M1371" i="1"/>
  <c r="N1371" i="1" s="1"/>
  <c r="R1530" i="1"/>
  <c r="O321" i="1"/>
  <c r="R816" i="1"/>
  <c r="R118" i="1"/>
  <c r="R489" i="1"/>
  <c r="R513" i="1"/>
  <c r="R245" i="1"/>
  <c r="O570" i="1"/>
  <c r="O817" i="1"/>
  <c r="O1531" i="1"/>
  <c r="O1214" i="1"/>
  <c r="O1307" i="1"/>
  <c r="O775" i="1"/>
  <c r="O365" i="1"/>
  <c r="O1007" i="1"/>
  <c r="O345" i="1"/>
  <c r="M346" i="1"/>
  <c r="N346" i="1" s="1"/>
  <c r="M762" i="1"/>
  <c r="N762" i="1" s="1"/>
  <c r="M633" i="1"/>
  <c r="M1064" i="1"/>
  <c r="N1064" i="1" s="1"/>
  <c r="M989" i="1"/>
  <c r="N989" i="1" s="1"/>
  <c r="M1083" i="1"/>
  <c r="N1083" i="1" s="1"/>
  <c r="M247" i="1"/>
  <c r="N247" i="1" s="1"/>
  <c r="M429" i="1"/>
  <c r="N429" i="1" s="1"/>
  <c r="M1215" i="1"/>
  <c r="M227" i="1"/>
  <c r="M183" i="1"/>
  <c r="N183" i="1" s="1"/>
  <c r="M1637" i="1"/>
  <c r="M366" i="1"/>
  <c r="N366" i="1" s="1"/>
  <c r="M1414" i="1"/>
  <c r="M1594" i="1"/>
  <c r="N1594" i="1" s="1"/>
  <c r="M901" i="1"/>
  <c r="N901" i="1" s="1"/>
  <c r="M1351" i="1"/>
  <c r="M471" i="1"/>
  <c r="M590" i="1"/>
  <c r="M1431" i="1"/>
  <c r="N1431" i="1" s="1"/>
  <c r="M1550" i="1"/>
  <c r="M881" i="1"/>
  <c r="N881" i="1" s="1"/>
  <c r="M1172" i="1"/>
  <c r="N1172" i="1" s="1"/>
  <c r="M1574" i="1"/>
  <c r="N1574" i="1" s="1"/>
  <c r="M101" i="1"/>
  <c r="M1046" i="1"/>
  <c r="M409" i="1"/>
  <c r="M609" i="1"/>
  <c r="N609" i="1" s="1"/>
  <c r="M571" i="1"/>
  <c r="M694" i="1"/>
  <c r="N694" i="1" s="1"/>
  <c r="M1612" i="1"/>
  <c r="N1612" i="1" s="1"/>
  <c r="M548" i="1"/>
  <c r="N548" i="1" s="1"/>
  <c r="M140" i="1"/>
  <c r="M1495" i="1"/>
  <c r="N1495" i="1" s="1"/>
  <c r="M1532" i="1"/>
  <c r="N1532" i="1" s="1"/>
  <c r="M77" i="1"/>
  <c r="M739" i="1"/>
  <c r="N739" i="1" s="1"/>
  <c r="M271" i="1"/>
  <c r="M1008" i="1"/>
  <c r="N1008" i="1" s="1"/>
  <c r="M1027" i="1"/>
  <c r="N1027" i="1" s="1"/>
  <c r="M515" i="1"/>
  <c r="N515" i="1" s="1"/>
  <c r="M289" i="1"/>
  <c r="M1513" i="1"/>
  <c r="M944" i="1"/>
  <c r="N944" i="1" s="1"/>
  <c r="M1290" i="1"/>
  <c r="M861" i="1"/>
  <c r="N861" i="1" s="1"/>
  <c r="M164" i="1"/>
  <c r="N164" i="1" s="1"/>
  <c r="M795" i="1"/>
  <c r="M322" i="1"/>
  <c r="M818" i="1"/>
  <c r="M926" i="1"/>
  <c r="M1308" i="1"/>
  <c r="N1308" i="1" s="1"/>
  <c r="M1476" i="1"/>
  <c r="M1254" i="1"/>
  <c r="N1254" i="1" s="1"/>
  <c r="M451" i="1"/>
  <c r="N451" i="1" s="1"/>
  <c r="M120" i="1"/>
  <c r="M1657" i="1"/>
  <c r="N1657" i="1" s="1"/>
  <c r="M384" i="1"/>
  <c r="M1327" i="1"/>
  <c r="M653" i="1"/>
  <c r="N653" i="1" s="1"/>
  <c r="M1272" i="1"/>
  <c r="M1190" i="1"/>
  <c r="N1190" i="1" s="1"/>
  <c r="M1107" i="1"/>
  <c r="N1107" i="1" s="1"/>
  <c r="M202" i="1"/>
  <c r="M776" i="1"/>
  <c r="N776" i="1" s="1"/>
  <c r="M965" i="1"/>
  <c r="M677" i="1"/>
  <c r="N677" i="1" s="1"/>
  <c r="M304" i="1"/>
  <c r="M837" i="1"/>
  <c r="N837" i="1" s="1"/>
  <c r="M529" i="1"/>
  <c r="N529" i="1" s="1"/>
  <c r="M491" i="1"/>
  <c r="N491" i="1" s="1"/>
  <c r="M1148" i="1"/>
  <c r="M714" i="1"/>
  <c r="M1127" i="1"/>
  <c r="P1327" i="1" l="1"/>
  <c r="N1327" i="1"/>
  <c r="P926" i="1"/>
  <c r="N926" i="1"/>
  <c r="P1513" i="1"/>
  <c r="N1513" i="1"/>
  <c r="P77" i="1"/>
  <c r="N77" i="1"/>
  <c r="P1127" i="1"/>
  <c r="N1127" i="1"/>
  <c r="P965" i="1"/>
  <c r="N965" i="1"/>
  <c r="P384" i="1"/>
  <c r="N384" i="1"/>
  <c r="P818" i="1"/>
  <c r="N818" i="1"/>
  <c r="P289" i="1"/>
  <c r="N289" i="1"/>
  <c r="P409" i="1"/>
  <c r="N409" i="1"/>
  <c r="P590" i="1"/>
  <c r="N590" i="1"/>
  <c r="P633" i="1"/>
  <c r="N633" i="1"/>
  <c r="P1046" i="1"/>
  <c r="N1046" i="1"/>
  <c r="P322" i="1"/>
  <c r="N322" i="1"/>
  <c r="P471" i="1"/>
  <c r="N471" i="1"/>
  <c r="P227" i="1"/>
  <c r="N227" i="1"/>
  <c r="P1235" i="1"/>
  <c r="N1235" i="1"/>
  <c r="P1148" i="1"/>
  <c r="N1148" i="1"/>
  <c r="P202" i="1"/>
  <c r="N202" i="1"/>
  <c r="P120" i="1"/>
  <c r="N120" i="1"/>
  <c r="P795" i="1"/>
  <c r="N795" i="1"/>
  <c r="M1236" i="1"/>
  <c r="N1236" i="1" s="1"/>
  <c r="P140" i="1"/>
  <c r="N140" i="1"/>
  <c r="P101" i="1"/>
  <c r="N101" i="1"/>
  <c r="P1351" i="1"/>
  <c r="N1351" i="1"/>
  <c r="P1215" i="1"/>
  <c r="N1215" i="1"/>
  <c r="P714" i="1"/>
  <c r="N714" i="1"/>
  <c r="P1272" i="1"/>
  <c r="N1272" i="1"/>
  <c r="P1476" i="1"/>
  <c r="N1476" i="1"/>
  <c r="P1290" i="1"/>
  <c r="N1290" i="1"/>
  <c r="P271" i="1"/>
  <c r="N271" i="1"/>
  <c r="P1414" i="1"/>
  <c r="N1414" i="1"/>
  <c r="P304" i="1"/>
  <c r="N304" i="1"/>
  <c r="P571" i="1"/>
  <c r="N571" i="1"/>
  <c r="P1550" i="1"/>
  <c r="N1550" i="1"/>
  <c r="P1637" i="1"/>
  <c r="N1637" i="1"/>
  <c r="O762" i="1"/>
  <c r="P1027" i="1"/>
  <c r="O529" i="1"/>
  <c r="O1612" i="1"/>
  <c r="P1395" i="1"/>
  <c r="P901" i="1"/>
  <c r="P1172" i="1"/>
  <c r="P776" i="1"/>
  <c r="P762" i="1"/>
  <c r="P1107" i="1"/>
  <c r="P1254" i="1"/>
  <c r="P1083" i="1"/>
  <c r="P1456" i="1"/>
  <c r="P694" i="1"/>
  <c r="P548" i="1"/>
  <c r="P1495" i="1"/>
  <c r="O1327" i="1"/>
  <c r="O1431" i="1"/>
  <c r="P1308" i="1"/>
  <c r="P1008" i="1"/>
  <c r="P1574" i="1"/>
  <c r="P346" i="1"/>
  <c r="P1190" i="1"/>
  <c r="P861" i="1"/>
  <c r="P653" i="1"/>
  <c r="P429" i="1"/>
  <c r="O837" i="1"/>
  <c r="O289" i="1"/>
  <c r="O409" i="1"/>
  <c r="P1532" i="1"/>
  <c r="P1431" i="1"/>
  <c r="P1236" i="1"/>
  <c r="P881" i="1"/>
  <c r="P989" i="1"/>
  <c r="P609" i="1"/>
  <c r="P944" i="1"/>
  <c r="P1594" i="1"/>
  <c r="P677" i="1"/>
  <c r="P1064" i="1"/>
  <c r="P837" i="1"/>
  <c r="P1371" i="1"/>
  <c r="P183" i="1"/>
  <c r="P366" i="1"/>
  <c r="P529" i="1"/>
  <c r="P164" i="1"/>
  <c r="P1612" i="1"/>
  <c r="P739" i="1"/>
  <c r="P491" i="1"/>
  <c r="P247" i="1"/>
  <c r="P451" i="1"/>
  <c r="P1657" i="1"/>
  <c r="P515" i="1"/>
  <c r="O1235" i="1"/>
  <c r="O694" i="1"/>
  <c r="O1190" i="1"/>
  <c r="O384" i="1"/>
  <c r="O101" i="1"/>
  <c r="O1476" i="1"/>
  <c r="O1574" i="1"/>
  <c r="O1594" i="1"/>
  <c r="O1550" i="1"/>
  <c r="O989" i="1"/>
  <c r="O1290" i="1"/>
  <c r="O1127" i="1"/>
  <c r="O1172" i="1"/>
  <c r="O1351" i="1"/>
  <c r="O944" i="1"/>
  <c r="O926" i="1"/>
  <c r="O861" i="1"/>
  <c r="O548" i="1"/>
  <c r="O1254" i="1"/>
  <c r="O965" i="1"/>
  <c r="O1395" i="1"/>
  <c r="O1456" i="1"/>
  <c r="O164" i="1"/>
  <c r="O322" i="1"/>
  <c r="O1513" i="1"/>
  <c r="O304" i="1"/>
  <c r="O739" i="1"/>
  <c r="O1657" i="1"/>
  <c r="O1046" i="1"/>
  <c r="O1414" i="1"/>
  <c r="R1656" i="1"/>
  <c r="R288" i="1"/>
  <c r="R303" i="1"/>
  <c r="R408" i="1"/>
  <c r="R1253" i="1"/>
  <c r="R383" i="1"/>
  <c r="R68" i="1"/>
  <c r="Q68" i="1"/>
  <c r="R1573" i="1"/>
  <c r="R69" i="1"/>
  <c r="R100" i="1"/>
  <c r="R1611" i="1"/>
  <c r="R761" i="1"/>
  <c r="R1512" i="1"/>
  <c r="R1549" i="1"/>
  <c r="R880" i="1"/>
  <c r="R76" i="1"/>
  <c r="R860" i="1"/>
  <c r="R1045" i="1"/>
  <c r="R1082" i="1"/>
  <c r="R1430" i="1"/>
  <c r="R450" i="1"/>
  <c r="R1636" i="1"/>
  <c r="R964" i="1"/>
  <c r="R943" i="1"/>
  <c r="R528" i="1"/>
  <c r="R738" i="1"/>
  <c r="R1350" i="1"/>
  <c r="R836" i="1"/>
  <c r="R676" i="1"/>
  <c r="R1126" i="1"/>
  <c r="R201" i="1"/>
  <c r="R1593" i="1"/>
  <c r="R1455" i="1"/>
  <c r="R988" i="1"/>
  <c r="R163" i="1"/>
  <c r="R1475" i="1"/>
  <c r="R1189" i="1"/>
  <c r="R547" i="1"/>
  <c r="R139" i="1"/>
  <c r="R1289" i="1"/>
  <c r="R1326" i="1"/>
  <c r="R1171" i="1"/>
  <c r="R1106" i="1"/>
  <c r="R693" i="1"/>
  <c r="R182" i="1"/>
  <c r="R1394" i="1"/>
  <c r="R1063" i="1"/>
  <c r="R1370" i="1"/>
  <c r="O1637" i="1"/>
  <c r="O183" i="1"/>
  <c r="R1413" i="1"/>
  <c r="O1083" i="1"/>
  <c r="R713" i="1"/>
  <c r="M1396" i="1"/>
  <c r="N1396" i="1" s="1"/>
  <c r="R1026" i="1"/>
  <c r="O677" i="1"/>
  <c r="O140" i="1"/>
  <c r="O901" i="1"/>
  <c r="R900" i="1"/>
  <c r="O714" i="1"/>
  <c r="R925" i="1"/>
  <c r="O1148" i="1"/>
  <c r="O590" i="1"/>
  <c r="M1457" i="1"/>
  <c r="R470" i="1"/>
  <c r="O609" i="1"/>
  <c r="R608" i="1"/>
  <c r="O471" i="1"/>
  <c r="R1494" i="1"/>
  <c r="R589" i="1"/>
  <c r="O1495" i="1"/>
  <c r="R226" i="1"/>
  <c r="R652" i="1"/>
  <c r="O633" i="1"/>
  <c r="R632" i="1"/>
  <c r="R119" i="1"/>
  <c r="O653" i="1"/>
  <c r="O1008" i="1"/>
  <c r="O247" i="1"/>
  <c r="R1271" i="1"/>
  <c r="O271" i="1"/>
  <c r="O1272" i="1"/>
  <c r="R1147" i="1"/>
  <c r="R514" i="1"/>
  <c r="O120" i="1"/>
  <c r="O515" i="1"/>
  <c r="O227" i="1"/>
  <c r="R428" i="1"/>
  <c r="O429" i="1"/>
  <c r="O776" i="1"/>
  <c r="R1307" i="1"/>
  <c r="O491" i="1"/>
  <c r="R490" i="1"/>
  <c r="O1371" i="1"/>
  <c r="O795" i="1"/>
  <c r="R270" i="1"/>
  <c r="R246" i="1"/>
  <c r="R570" i="1"/>
  <c r="M1372" i="1"/>
  <c r="N1372" i="1" s="1"/>
  <c r="R794" i="1"/>
  <c r="R1234" i="1"/>
  <c r="O1308" i="1"/>
  <c r="R1531" i="1"/>
  <c r="O881" i="1"/>
  <c r="R817" i="1"/>
  <c r="R1214" i="1"/>
  <c r="R321" i="1"/>
  <c r="O818" i="1"/>
  <c r="O1027" i="1"/>
  <c r="R345" i="1"/>
  <c r="R365" i="1"/>
  <c r="O366" i="1"/>
  <c r="R1007" i="1"/>
  <c r="O202" i="1"/>
  <c r="R775" i="1"/>
  <c r="O571" i="1"/>
  <c r="O1107" i="1"/>
  <c r="O1532" i="1"/>
  <c r="O1215" i="1"/>
  <c r="M347" i="1"/>
  <c r="N347" i="1" s="1"/>
  <c r="O77" i="1"/>
  <c r="O451" i="1"/>
  <c r="O346" i="1"/>
  <c r="R346" i="1" s="1"/>
  <c r="M763" i="1"/>
  <c r="M1065" i="1"/>
  <c r="O1064" i="1"/>
  <c r="M634" i="1"/>
  <c r="N634" i="1" s="1"/>
  <c r="M990" i="1"/>
  <c r="N990" i="1" s="1"/>
  <c r="M1084" i="1"/>
  <c r="N1084" i="1" s="1"/>
  <c r="M248" i="1"/>
  <c r="M530" i="1"/>
  <c r="N530" i="1" s="1"/>
  <c r="M121" i="1"/>
  <c r="N121" i="1" s="1"/>
  <c r="M838" i="1"/>
  <c r="M1273" i="1"/>
  <c r="N1273" i="1" s="1"/>
  <c r="M452" i="1"/>
  <c r="N452" i="1" s="1"/>
  <c r="M1309" i="1"/>
  <c r="N1309" i="1" s="1"/>
  <c r="M323" i="1"/>
  <c r="N323" i="1" s="1"/>
  <c r="M862" i="1"/>
  <c r="M203" i="1"/>
  <c r="N203" i="1" s="1"/>
  <c r="M966" i="1"/>
  <c r="N966" i="1" s="1"/>
  <c r="M1477" i="1"/>
  <c r="N1477" i="1" s="1"/>
  <c r="M165" i="1"/>
  <c r="M715" i="1"/>
  <c r="N715" i="1" s="1"/>
  <c r="M777" i="1"/>
  <c r="N777" i="1" s="1"/>
  <c r="M1237" i="1"/>
  <c r="N1237" i="1" s="1"/>
  <c r="M740" i="1"/>
  <c r="M1496" i="1"/>
  <c r="N1496" i="1" s="1"/>
  <c r="M695" i="1"/>
  <c r="M1047" i="1"/>
  <c r="M882" i="1"/>
  <c r="N882" i="1" s="1"/>
  <c r="M591" i="1"/>
  <c r="N591" i="1" s="1"/>
  <c r="M1595" i="1"/>
  <c r="N1595" i="1" s="1"/>
  <c r="M184" i="1"/>
  <c r="N184" i="1" s="1"/>
  <c r="M305" i="1"/>
  <c r="M927" i="1"/>
  <c r="M78" i="1"/>
  <c r="N78" i="1" s="1"/>
  <c r="M572" i="1"/>
  <c r="M1551" i="1"/>
  <c r="M472" i="1"/>
  <c r="N472" i="1" s="1"/>
  <c r="M228" i="1"/>
  <c r="M1128" i="1"/>
  <c r="N1128" i="1" s="1"/>
  <c r="M492" i="1"/>
  <c r="M678" i="1"/>
  <c r="M1108" i="1"/>
  <c r="M654" i="1"/>
  <c r="N654" i="1" s="1"/>
  <c r="M1658" i="1"/>
  <c r="M1255" i="1"/>
  <c r="N1255" i="1" s="1"/>
  <c r="M796" i="1"/>
  <c r="N796" i="1" s="1"/>
  <c r="M945" i="1"/>
  <c r="N945" i="1" s="1"/>
  <c r="M1149" i="1"/>
  <c r="N1149" i="1" s="1"/>
  <c r="M385" i="1"/>
  <c r="M1291" i="1"/>
  <c r="M1028" i="1"/>
  <c r="M141" i="1"/>
  <c r="M102" i="1"/>
  <c r="M1415" i="1"/>
  <c r="N1415" i="1" s="1"/>
  <c r="M290" i="1"/>
  <c r="N290" i="1" s="1"/>
  <c r="M1009" i="1"/>
  <c r="M1533" i="1"/>
  <c r="M549" i="1"/>
  <c r="M610" i="1"/>
  <c r="N610" i="1" s="1"/>
  <c r="M1575" i="1"/>
  <c r="N1575" i="1" s="1"/>
  <c r="M1432" i="1"/>
  <c r="N1432" i="1" s="1"/>
  <c r="M1352" i="1"/>
  <c r="M367" i="1"/>
  <c r="N367" i="1" s="1"/>
  <c r="M1216" i="1"/>
  <c r="N1216" i="1" s="1"/>
  <c r="M1328" i="1"/>
  <c r="M1191" i="1"/>
  <c r="N1191" i="1" s="1"/>
  <c r="M819" i="1"/>
  <c r="N819" i="1" s="1"/>
  <c r="M1514" i="1"/>
  <c r="M516" i="1"/>
  <c r="N516" i="1" s="1"/>
  <c r="M272" i="1"/>
  <c r="N272" i="1" s="1"/>
  <c r="M1613" i="1"/>
  <c r="M410" i="1"/>
  <c r="N410" i="1" s="1"/>
  <c r="M1173" i="1"/>
  <c r="N1173" i="1" s="1"/>
  <c r="M902" i="1"/>
  <c r="M1638" i="1"/>
  <c r="M430" i="1"/>
  <c r="N430" i="1" s="1"/>
  <c r="P102" i="1" l="1"/>
  <c r="N102" i="1"/>
  <c r="P1514" i="1"/>
  <c r="N1514" i="1"/>
  <c r="P141" i="1"/>
  <c r="N141" i="1"/>
  <c r="P1658" i="1"/>
  <c r="N1658" i="1"/>
  <c r="P1551" i="1"/>
  <c r="N1551" i="1"/>
  <c r="P165" i="1"/>
  <c r="N165" i="1"/>
  <c r="P572" i="1"/>
  <c r="N572" i="1"/>
  <c r="P1638" i="1"/>
  <c r="N1638" i="1"/>
  <c r="P1028" i="1"/>
  <c r="N1028" i="1"/>
  <c r="P1047" i="1"/>
  <c r="N1047" i="1"/>
  <c r="P838" i="1"/>
  <c r="N838" i="1"/>
  <c r="P1065" i="1"/>
  <c r="N1065" i="1"/>
  <c r="P902" i="1"/>
  <c r="N902" i="1"/>
  <c r="P549" i="1"/>
  <c r="N549" i="1"/>
  <c r="P1291" i="1"/>
  <c r="N1291" i="1"/>
  <c r="P1108" i="1"/>
  <c r="N1108" i="1"/>
  <c r="P695" i="1"/>
  <c r="N695" i="1"/>
  <c r="P763" i="1"/>
  <c r="N763" i="1"/>
  <c r="P1328" i="1"/>
  <c r="N1328" i="1"/>
  <c r="P1533" i="1"/>
  <c r="N1533" i="1"/>
  <c r="P385" i="1"/>
  <c r="N385" i="1"/>
  <c r="P678" i="1"/>
  <c r="N678" i="1"/>
  <c r="P927" i="1"/>
  <c r="N927" i="1"/>
  <c r="P1009" i="1"/>
  <c r="N1009" i="1"/>
  <c r="P492" i="1"/>
  <c r="N492" i="1"/>
  <c r="P305" i="1"/>
  <c r="N305" i="1"/>
  <c r="P740" i="1"/>
  <c r="N740" i="1"/>
  <c r="P862" i="1"/>
  <c r="N862" i="1"/>
  <c r="P248" i="1"/>
  <c r="N248" i="1"/>
  <c r="O1236" i="1"/>
  <c r="O1237" i="1" s="1"/>
  <c r="P1613" i="1"/>
  <c r="N1613" i="1"/>
  <c r="P1352" i="1"/>
  <c r="N1352" i="1"/>
  <c r="P228" i="1"/>
  <c r="N228" i="1"/>
  <c r="P1457" i="1"/>
  <c r="N1457" i="1"/>
  <c r="M1373" i="1"/>
  <c r="P323" i="1"/>
  <c r="P290" i="1"/>
  <c r="O1432" i="1"/>
  <c r="P1237" i="1"/>
  <c r="P715" i="1"/>
  <c r="P472" i="1"/>
  <c r="P945" i="1"/>
  <c r="P1396" i="1"/>
  <c r="P452" i="1"/>
  <c r="O1613" i="1"/>
  <c r="O838" i="1"/>
  <c r="P796" i="1"/>
  <c r="P516" i="1"/>
  <c r="P819" i="1"/>
  <c r="P1432" i="1"/>
  <c r="P1309" i="1"/>
  <c r="P1084" i="1"/>
  <c r="P347" i="1"/>
  <c r="P1255" i="1"/>
  <c r="P121" i="1"/>
  <c r="P184" i="1"/>
  <c r="P272" i="1"/>
  <c r="P1372" i="1"/>
  <c r="P654" i="1"/>
  <c r="P882" i="1"/>
  <c r="P1191" i="1"/>
  <c r="P430" i="1"/>
  <c r="O1328" i="1"/>
  <c r="O530" i="1"/>
  <c r="P634" i="1"/>
  <c r="P203" i="1"/>
  <c r="P591" i="1"/>
  <c r="P966" i="1"/>
  <c r="P610" i="1"/>
  <c r="P1273" i="1"/>
  <c r="P990" i="1"/>
  <c r="P1477" i="1"/>
  <c r="P1595" i="1"/>
  <c r="P530" i="1"/>
  <c r="P1496" i="1"/>
  <c r="O549" i="1"/>
  <c r="O410" i="1"/>
  <c r="O763" i="1"/>
  <c r="P764" i="1"/>
  <c r="P1216" i="1"/>
  <c r="P1149" i="1"/>
  <c r="P410" i="1"/>
  <c r="P1128" i="1"/>
  <c r="P78" i="1"/>
  <c r="P367" i="1"/>
  <c r="P1415" i="1"/>
  <c r="P1173" i="1"/>
  <c r="P1575" i="1"/>
  <c r="P777" i="1"/>
  <c r="R1235" i="1"/>
  <c r="O184" i="1"/>
  <c r="O385" i="1"/>
  <c r="O102" i="1"/>
  <c r="O1575" i="1"/>
  <c r="O1595" i="1"/>
  <c r="O945" i="1"/>
  <c r="O1352" i="1"/>
  <c r="O990" i="1"/>
  <c r="O695" i="1"/>
  <c r="O1291" i="1"/>
  <c r="O1477" i="1"/>
  <c r="O1173" i="1"/>
  <c r="O1128" i="1"/>
  <c r="O862" i="1"/>
  <c r="O927" i="1"/>
  <c r="O966" i="1"/>
  <c r="O1551" i="1"/>
  <c r="O1255" i="1"/>
  <c r="O472" i="1"/>
  <c r="O1415" i="1"/>
  <c r="O634" i="1"/>
  <c r="O1457" i="1"/>
  <c r="O1396" i="1"/>
  <c r="O165" i="1"/>
  <c r="O323" i="1"/>
  <c r="O1514" i="1"/>
  <c r="O305" i="1"/>
  <c r="O1047" i="1"/>
  <c r="O1658" i="1"/>
  <c r="Q69" i="1"/>
  <c r="U68" i="1"/>
  <c r="V68" i="1" s="1"/>
  <c r="R1476" i="1"/>
  <c r="R1172" i="1"/>
  <c r="R1612" i="1"/>
  <c r="R1574" i="1"/>
  <c r="R1431" i="1"/>
  <c r="R409" i="1"/>
  <c r="R965" i="1"/>
  <c r="R548" i="1"/>
  <c r="R1254" i="1"/>
  <c r="R944" i="1"/>
  <c r="R1550" i="1"/>
  <c r="R529" i="1"/>
  <c r="R926" i="1"/>
  <c r="R1290" i="1"/>
  <c r="R861" i="1"/>
  <c r="R304" i="1"/>
  <c r="R1190" i="1"/>
  <c r="R1513" i="1"/>
  <c r="R384" i="1"/>
  <c r="R289" i="1"/>
  <c r="R1327" i="1"/>
  <c r="R762" i="1"/>
  <c r="R322" i="1"/>
  <c r="R694" i="1"/>
  <c r="R1657" i="1"/>
  <c r="R1637" i="1"/>
  <c r="R1127" i="1"/>
  <c r="R1046" i="1"/>
  <c r="R989" i="1"/>
  <c r="R739" i="1"/>
  <c r="R1351" i="1"/>
  <c r="R1414" i="1"/>
  <c r="R1456" i="1"/>
  <c r="R1395" i="1"/>
  <c r="R837" i="1"/>
  <c r="R164" i="1"/>
  <c r="R1594" i="1"/>
  <c r="R101" i="1"/>
  <c r="R1027" i="1"/>
  <c r="O902" i="1"/>
  <c r="O678" i="1"/>
  <c r="R677" i="1"/>
  <c r="R140" i="1"/>
  <c r="M1397" i="1"/>
  <c r="O1108" i="1"/>
  <c r="R1083" i="1"/>
  <c r="R183" i="1"/>
  <c r="O1496" i="1"/>
  <c r="O1065" i="1"/>
  <c r="O141" i="1"/>
  <c r="O715" i="1"/>
  <c r="R901" i="1"/>
  <c r="R714" i="1"/>
  <c r="R471" i="1"/>
  <c r="R795" i="1"/>
  <c r="O591" i="1"/>
  <c r="R1148" i="1"/>
  <c r="R590" i="1"/>
  <c r="O1149" i="1"/>
  <c r="R818" i="1"/>
  <c r="M1458" i="1"/>
  <c r="O1028" i="1"/>
  <c r="R609" i="1"/>
  <c r="O610" i="1"/>
  <c r="R1495" i="1"/>
  <c r="O272" i="1"/>
  <c r="O777" i="1"/>
  <c r="O1309" i="1"/>
  <c r="O430" i="1"/>
  <c r="R633" i="1"/>
  <c r="O654" i="1"/>
  <c r="O882" i="1"/>
  <c r="O516" i="1"/>
  <c r="O1273" i="1"/>
  <c r="R653" i="1"/>
  <c r="R1272" i="1"/>
  <c r="R776" i="1"/>
  <c r="O1216" i="1"/>
  <c r="R271" i="1"/>
  <c r="O819" i="1"/>
  <c r="R120" i="1"/>
  <c r="R247" i="1"/>
  <c r="O1009" i="1"/>
  <c r="M1066" i="1"/>
  <c r="R1008" i="1"/>
  <c r="R515" i="1"/>
  <c r="O228" i="1"/>
  <c r="O367" i="1"/>
  <c r="R1371" i="1"/>
  <c r="R451" i="1"/>
  <c r="O1372" i="1"/>
  <c r="O1533" i="1"/>
  <c r="O796" i="1"/>
  <c r="O121" i="1"/>
  <c r="R429" i="1"/>
  <c r="R491" i="1"/>
  <c r="R227" i="1"/>
  <c r="R202" i="1"/>
  <c r="O492" i="1"/>
  <c r="O203" i="1"/>
  <c r="R571" i="1"/>
  <c r="R881" i="1"/>
  <c r="R77" i="1"/>
  <c r="R1236" i="1"/>
  <c r="R1308" i="1"/>
  <c r="R1532" i="1"/>
  <c r="R1107" i="1"/>
  <c r="R1215" i="1"/>
  <c r="R366" i="1"/>
  <c r="R1064" i="1"/>
  <c r="O740" i="1"/>
  <c r="O572" i="1"/>
  <c r="O347" i="1"/>
  <c r="O290" i="1"/>
  <c r="O1191" i="1"/>
  <c r="O78" i="1"/>
  <c r="M348" i="1"/>
  <c r="N348" i="1" s="1"/>
  <c r="O1638" i="1"/>
  <c r="O452" i="1"/>
  <c r="O1084" i="1"/>
  <c r="M249" i="1"/>
  <c r="O248" i="1"/>
  <c r="M635" i="1"/>
  <c r="N635" i="1" s="1"/>
  <c r="M991" i="1"/>
  <c r="N991" i="1" s="1"/>
  <c r="M1085" i="1"/>
  <c r="N1085" i="1" s="1"/>
  <c r="M517" i="1"/>
  <c r="M229" i="1"/>
  <c r="M1048" i="1"/>
  <c r="N1048" i="1" s="1"/>
  <c r="M166" i="1"/>
  <c r="M204" i="1"/>
  <c r="N204" i="1" s="1"/>
  <c r="M453" i="1"/>
  <c r="N453" i="1" s="1"/>
  <c r="M122" i="1"/>
  <c r="N122" i="1" s="1"/>
  <c r="M103" i="1"/>
  <c r="N103" i="1" s="1"/>
  <c r="M79" i="1"/>
  <c r="M1614" i="1"/>
  <c r="N1614" i="1" s="1"/>
  <c r="M1329" i="1"/>
  <c r="M142" i="1"/>
  <c r="N142" i="1" s="1"/>
  <c r="M1256" i="1"/>
  <c r="N1256" i="1" s="1"/>
  <c r="M473" i="1"/>
  <c r="N473" i="1" s="1"/>
  <c r="M1596" i="1"/>
  <c r="N1596" i="1" s="1"/>
  <c r="M696" i="1"/>
  <c r="N696" i="1" s="1"/>
  <c r="M1478" i="1"/>
  <c r="M863" i="1"/>
  <c r="M531" i="1"/>
  <c r="M1353" i="1"/>
  <c r="N1353" i="1" s="1"/>
  <c r="M1534" i="1"/>
  <c r="M946" i="1"/>
  <c r="N946" i="1" s="1"/>
  <c r="M411" i="1"/>
  <c r="M550" i="1"/>
  <c r="N550" i="1" s="1"/>
  <c r="M1109" i="1"/>
  <c r="M185" i="1"/>
  <c r="M1433" i="1"/>
  <c r="M1150" i="1"/>
  <c r="N1150" i="1" s="1"/>
  <c r="M1217" i="1"/>
  <c r="N1217" i="1" s="1"/>
  <c r="M1576" i="1"/>
  <c r="N1576" i="1" s="1"/>
  <c r="M1029" i="1"/>
  <c r="N1029" i="1" s="1"/>
  <c r="M493" i="1"/>
  <c r="N493" i="1" s="1"/>
  <c r="M928" i="1"/>
  <c r="M778" i="1"/>
  <c r="M967" i="1"/>
  <c r="N967" i="1" s="1"/>
  <c r="M324" i="1"/>
  <c r="M1274" i="1"/>
  <c r="N1274" i="1" s="1"/>
  <c r="M1639" i="1"/>
  <c r="N1639" i="1" s="1"/>
  <c r="M386" i="1"/>
  <c r="N386" i="1" s="1"/>
  <c r="M1238" i="1"/>
  <c r="N1238" i="1" s="1"/>
  <c r="M903" i="1"/>
  <c r="M1515" i="1"/>
  <c r="N1515" i="1" s="1"/>
  <c r="M679" i="1"/>
  <c r="M820" i="1"/>
  <c r="N820" i="1" s="1"/>
  <c r="M1010" i="1"/>
  <c r="N1010" i="1" s="1"/>
  <c r="M1659" i="1"/>
  <c r="N1659" i="1" s="1"/>
  <c r="M1552" i="1"/>
  <c r="M1497" i="1"/>
  <c r="N1497" i="1" s="1"/>
  <c r="M273" i="1"/>
  <c r="M611" i="1"/>
  <c r="M1292" i="1"/>
  <c r="M1129" i="1"/>
  <c r="N1129" i="1" s="1"/>
  <c r="M741" i="1"/>
  <c r="M592" i="1"/>
  <c r="M431" i="1"/>
  <c r="N431" i="1" s="1"/>
  <c r="M1174" i="1"/>
  <c r="N1174" i="1" s="1"/>
  <c r="M1192" i="1"/>
  <c r="M368" i="1"/>
  <c r="N368" i="1" s="1"/>
  <c r="M291" i="1"/>
  <c r="M1416" i="1"/>
  <c r="N1416" i="1" s="1"/>
  <c r="M797" i="1"/>
  <c r="M655" i="1"/>
  <c r="M573" i="1"/>
  <c r="M306" i="1"/>
  <c r="N306" i="1" s="1"/>
  <c r="M883" i="1"/>
  <c r="M716" i="1"/>
  <c r="M1310" i="1"/>
  <c r="M839" i="1"/>
  <c r="N839" i="1" s="1"/>
  <c r="M1374" i="1"/>
  <c r="N1374" i="1" s="1"/>
  <c r="P1310" i="1" l="1"/>
  <c r="N1310" i="1"/>
  <c r="P679" i="1"/>
  <c r="N679" i="1"/>
  <c r="P531" i="1"/>
  <c r="N531" i="1"/>
  <c r="P1329" i="1"/>
  <c r="N1329" i="1"/>
  <c r="P1552" i="1"/>
  <c r="N1552" i="1"/>
  <c r="P411" i="1"/>
  <c r="N411" i="1"/>
  <c r="P1458" i="1"/>
  <c r="N1458" i="1"/>
  <c r="P655" i="1"/>
  <c r="N655" i="1"/>
  <c r="P592" i="1"/>
  <c r="N592" i="1"/>
  <c r="P1066" i="1"/>
  <c r="N1066" i="1"/>
  <c r="P1397" i="1"/>
  <c r="N1397" i="1"/>
  <c r="P573" i="1"/>
  <c r="N573" i="1"/>
  <c r="P797" i="1"/>
  <c r="N797" i="1"/>
  <c r="P741" i="1"/>
  <c r="N741" i="1"/>
  <c r="P1534" i="1"/>
  <c r="N1534" i="1"/>
  <c r="P324" i="1"/>
  <c r="N324" i="1"/>
  <c r="P166" i="1"/>
  <c r="N166" i="1"/>
  <c r="P249" i="1"/>
  <c r="N249" i="1"/>
  <c r="P1373" i="1"/>
  <c r="N1373" i="1"/>
  <c r="P1292" i="1"/>
  <c r="N1292" i="1"/>
  <c r="P1433" i="1"/>
  <c r="N1433" i="1"/>
  <c r="P611" i="1"/>
  <c r="N611" i="1"/>
  <c r="P778" i="1"/>
  <c r="N778" i="1"/>
  <c r="P185" i="1"/>
  <c r="N185" i="1"/>
  <c r="P863" i="1"/>
  <c r="N863" i="1"/>
  <c r="P229" i="1"/>
  <c r="N229" i="1"/>
  <c r="P291" i="1"/>
  <c r="N291" i="1"/>
  <c r="P716" i="1"/>
  <c r="N716" i="1"/>
  <c r="P883" i="1"/>
  <c r="N883" i="1"/>
  <c r="P1192" i="1"/>
  <c r="N1192" i="1"/>
  <c r="P273" i="1"/>
  <c r="N273" i="1"/>
  <c r="P903" i="1"/>
  <c r="N903" i="1"/>
  <c r="P928" i="1"/>
  <c r="N928" i="1"/>
  <c r="P1109" i="1"/>
  <c r="N1109" i="1"/>
  <c r="P1478" i="1"/>
  <c r="N1478" i="1"/>
  <c r="P79" i="1"/>
  <c r="N79" i="1"/>
  <c r="P517" i="1"/>
  <c r="N517" i="1"/>
  <c r="R347" i="1"/>
  <c r="M1086" i="1"/>
  <c r="P696" i="1"/>
  <c r="P1085" i="1"/>
  <c r="M636" i="1"/>
  <c r="M349" i="1"/>
  <c r="P386" i="1"/>
  <c r="P1029" i="1"/>
  <c r="P473" i="1"/>
  <c r="P1596" i="1"/>
  <c r="P1238" i="1"/>
  <c r="P306" i="1"/>
  <c r="P1174" i="1"/>
  <c r="P1659" i="1"/>
  <c r="P1256" i="1"/>
  <c r="O839" i="1"/>
  <c r="P493" i="1"/>
  <c r="P550" i="1"/>
  <c r="P839" i="1"/>
  <c r="P820" i="1"/>
  <c r="P142" i="1"/>
  <c r="P103" i="1"/>
  <c r="P1416" i="1"/>
  <c r="P1129" i="1"/>
  <c r="O1433" i="1"/>
  <c r="O531" i="1"/>
  <c r="O1329" i="1"/>
  <c r="P1150" i="1"/>
  <c r="P1639" i="1"/>
  <c r="P1576" i="1"/>
  <c r="P946" i="1"/>
  <c r="O1614" i="1"/>
  <c r="P1010" i="1"/>
  <c r="P204" i="1"/>
  <c r="P122" i="1"/>
  <c r="P1614" i="1"/>
  <c r="P348" i="1"/>
  <c r="P1515" i="1"/>
  <c r="P635" i="1"/>
  <c r="P1353" i="1"/>
  <c r="M1398" i="1"/>
  <c r="P1217" i="1"/>
  <c r="P1497" i="1"/>
  <c r="P967" i="1"/>
  <c r="P1048" i="1"/>
  <c r="P1274" i="1"/>
  <c r="P431" i="1"/>
  <c r="P453" i="1"/>
  <c r="P991" i="1"/>
  <c r="P1374" i="1"/>
  <c r="P368" i="1"/>
  <c r="O185" i="1"/>
  <c r="O386" i="1"/>
  <c r="O967" i="1"/>
  <c r="O1596" i="1"/>
  <c r="O103" i="1"/>
  <c r="O1576" i="1"/>
  <c r="O946" i="1"/>
  <c r="O991" i="1"/>
  <c r="O696" i="1"/>
  <c r="O1292" i="1"/>
  <c r="O1174" i="1"/>
  <c r="O1129" i="1"/>
  <c r="O1256" i="1"/>
  <c r="O1353" i="1"/>
  <c r="O473" i="1"/>
  <c r="O928" i="1"/>
  <c r="O324" i="1"/>
  <c r="O1416" i="1"/>
  <c r="O1458" i="1"/>
  <c r="O1109" i="1"/>
  <c r="O903" i="1"/>
  <c r="O122" i="1"/>
  <c r="O306" i="1"/>
  <c r="O1397" i="1"/>
  <c r="O166" i="1"/>
  <c r="O1515" i="1"/>
  <c r="O863" i="1"/>
  <c r="O1497" i="1"/>
  <c r="O1659" i="1"/>
  <c r="Q70" i="1"/>
  <c r="U69" i="1"/>
  <c r="V69" i="1" s="1"/>
  <c r="R678" i="1"/>
  <c r="R1575" i="1"/>
  <c r="R1432" i="1"/>
  <c r="R323" i="1"/>
  <c r="R1457" i="1"/>
  <c r="R1396" i="1"/>
  <c r="R410" i="1"/>
  <c r="R1514" i="1"/>
  <c r="R927" i="1"/>
  <c r="R634" i="1"/>
  <c r="R902" i="1"/>
  <c r="R1551" i="1"/>
  <c r="R530" i="1"/>
  <c r="R549" i="1"/>
  <c r="R1128" i="1"/>
  <c r="R1658" i="1"/>
  <c r="R862" i="1"/>
  <c r="R966" i="1"/>
  <c r="R1496" i="1"/>
  <c r="R764" i="1"/>
  <c r="R695" i="1"/>
  <c r="R102" i="1"/>
  <c r="R1173" i="1"/>
  <c r="R1328" i="1"/>
  <c r="R1595" i="1"/>
  <c r="R1415" i="1"/>
  <c r="R838" i="1"/>
  <c r="R763" i="1"/>
  <c r="R385" i="1"/>
  <c r="R1047" i="1"/>
  <c r="R184" i="1"/>
  <c r="R1477" i="1"/>
  <c r="R472" i="1"/>
  <c r="R990" i="1"/>
  <c r="R305" i="1"/>
  <c r="R1291" i="1"/>
  <c r="R1352" i="1"/>
  <c r="R165" i="1"/>
  <c r="R945" i="1"/>
  <c r="R1255" i="1"/>
  <c r="R1613" i="1"/>
  <c r="R1108" i="1"/>
  <c r="O655" i="1"/>
  <c r="O679" i="1"/>
  <c r="O1217" i="1"/>
  <c r="R1065" i="1"/>
  <c r="O1373" i="1"/>
  <c r="O1374" i="1" s="1"/>
  <c r="O1066" i="1"/>
  <c r="O1552" i="1"/>
  <c r="O142" i="1"/>
  <c r="O716" i="1"/>
  <c r="R1028" i="1"/>
  <c r="O1150" i="1"/>
  <c r="R715" i="1"/>
  <c r="R141" i="1"/>
  <c r="O229" i="1"/>
  <c r="R591" i="1"/>
  <c r="R819" i="1"/>
  <c r="R367" i="1"/>
  <c r="O273" i="1"/>
  <c r="O592" i="1"/>
  <c r="R1273" i="1"/>
  <c r="R1533" i="1"/>
  <c r="R1149" i="1"/>
  <c r="O431" i="1"/>
  <c r="R430" i="1"/>
  <c r="R1638" i="1"/>
  <c r="R492" i="1"/>
  <c r="O1029" i="1"/>
  <c r="M1459" i="1"/>
  <c r="N1459" i="1" s="1"/>
  <c r="O1310" i="1"/>
  <c r="O611" i="1"/>
  <c r="R610" i="1"/>
  <c r="R1309" i="1"/>
  <c r="R272" i="1"/>
  <c r="R1009" i="1"/>
  <c r="O778" i="1"/>
  <c r="R777" i="1"/>
  <c r="O517" i="1"/>
  <c r="O883" i="1"/>
  <c r="R121" i="1"/>
  <c r="R654" i="1"/>
  <c r="R1216" i="1"/>
  <c r="R228" i="1"/>
  <c r="R516" i="1"/>
  <c r="O820" i="1"/>
  <c r="O1274" i="1"/>
  <c r="R882" i="1"/>
  <c r="R1372" i="1"/>
  <c r="O204" i="1"/>
  <c r="O797" i="1"/>
  <c r="O1010" i="1"/>
  <c r="O1534" i="1"/>
  <c r="M1067" i="1"/>
  <c r="R796" i="1"/>
  <c r="O368" i="1"/>
  <c r="R572" i="1"/>
  <c r="R78" i="1"/>
  <c r="O493" i="1"/>
  <c r="R203" i="1"/>
  <c r="R1237" i="1"/>
  <c r="O1238" i="1"/>
  <c r="R290" i="1"/>
  <c r="R1084" i="1"/>
  <c r="R248" i="1"/>
  <c r="R452" i="1"/>
  <c r="R740" i="1"/>
  <c r="R1191" i="1"/>
  <c r="O79" i="1"/>
  <c r="O741" i="1"/>
  <c r="O573" i="1"/>
  <c r="O1478" i="1"/>
  <c r="O411" i="1"/>
  <c r="O291" i="1"/>
  <c r="O1639" i="1"/>
  <c r="O348" i="1"/>
  <c r="O1192" i="1"/>
  <c r="M250" i="1"/>
  <c r="O1085" i="1"/>
  <c r="O453" i="1"/>
  <c r="O550" i="1"/>
  <c r="O1048" i="1"/>
  <c r="O635" i="1"/>
  <c r="O249" i="1"/>
  <c r="M992" i="1"/>
  <c r="N992" i="1" s="1"/>
  <c r="M369" i="1"/>
  <c r="M612" i="1"/>
  <c r="M1660" i="1"/>
  <c r="N1660" i="1" s="1"/>
  <c r="M387" i="1"/>
  <c r="M1218" i="1"/>
  <c r="N1218" i="1" s="1"/>
  <c r="M1375" i="1"/>
  <c r="M717" i="1"/>
  <c r="N717" i="1" s="1"/>
  <c r="M884" i="1"/>
  <c r="N884" i="1" s="1"/>
  <c r="M798" i="1"/>
  <c r="M1193" i="1"/>
  <c r="M742" i="1"/>
  <c r="N742" i="1" s="1"/>
  <c r="M274" i="1"/>
  <c r="M1011" i="1"/>
  <c r="N1011" i="1" s="1"/>
  <c r="M1516" i="1"/>
  <c r="N1516" i="1" s="1"/>
  <c r="M325" i="1"/>
  <c r="N325" i="1" s="1"/>
  <c r="M494" i="1"/>
  <c r="M1110" i="1"/>
  <c r="M1535" i="1"/>
  <c r="M350" i="1"/>
  <c r="N350" i="1" s="1"/>
  <c r="M1597" i="1"/>
  <c r="N1597" i="1" s="1"/>
  <c r="M143" i="1"/>
  <c r="N143" i="1" s="1"/>
  <c r="M104" i="1"/>
  <c r="M167" i="1"/>
  <c r="N167" i="1" s="1"/>
  <c r="M1030" i="1"/>
  <c r="M1151" i="1"/>
  <c r="N1151" i="1" s="1"/>
  <c r="M551" i="1"/>
  <c r="M864" i="1"/>
  <c r="N864" i="1" s="1"/>
  <c r="M1330" i="1"/>
  <c r="M123" i="1"/>
  <c r="N123" i="1" s="1"/>
  <c r="M1049" i="1"/>
  <c r="N1049" i="1" s="1"/>
  <c r="M1175" i="1"/>
  <c r="N1175" i="1" s="1"/>
  <c r="M1498" i="1"/>
  <c r="M904" i="1"/>
  <c r="M1640" i="1"/>
  <c r="M968" i="1"/>
  <c r="M1311" i="1"/>
  <c r="M840" i="1"/>
  <c r="N840" i="1" s="1"/>
  <c r="M1417" i="1"/>
  <c r="M821" i="1"/>
  <c r="N821" i="1" s="1"/>
  <c r="M574" i="1"/>
  <c r="M292" i="1"/>
  <c r="N292" i="1" s="1"/>
  <c r="M1293" i="1"/>
  <c r="M1553" i="1"/>
  <c r="M637" i="1"/>
  <c r="N637" i="1" s="1"/>
  <c r="M1239" i="1"/>
  <c r="N1239" i="1" s="1"/>
  <c r="M779" i="1"/>
  <c r="N779" i="1" s="1"/>
  <c r="M1577" i="1"/>
  <c r="N1577" i="1" s="1"/>
  <c r="M1434" i="1"/>
  <c r="M412" i="1"/>
  <c r="M1354" i="1"/>
  <c r="N1354" i="1" s="1"/>
  <c r="M1479" i="1"/>
  <c r="N1479" i="1" s="1"/>
  <c r="M474" i="1"/>
  <c r="M1615" i="1"/>
  <c r="N1615" i="1" s="1"/>
  <c r="M454" i="1"/>
  <c r="M230" i="1"/>
  <c r="N230" i="1" s="1"/>
  <c r="M307" i="1"/>
  <c r="N307" i="1" s="1"/>
  <c r="M1130" i="1"/>
  <c r="M432" i="1"/>
  <c r="M1087" i="1"/>
  <c r="N1087" i="1" s="1"/>
  <c r="M656" i="1"/>
  <c r="N656" i="1" s="1"/>
  <c r="M593" i="1"/>
  <c r="N593" i="1" s="1"/>
  <c r="M680" i="1"/>
  <c r="M1275" i="1"/>
  <c r="N1275" i="1" s="1"/>
  <c r="M929" i="1"/>
  <c r="M186" i="1"/>
  <c r="M947" i="1"/>
  <c r="M532" i="1"/>
  <c r="N532" i="1" s="1"/>
  <c r="M697" i="1"/>
  <c r="M1257" i="1"/>
  <c r="N1257" i="1" s="1"/>
  <c r="M80" i="1"/>
  <c r="N80" i="1" s="1"/>
  <c r="M205" i="1"/>
  <c r="M518" i="1"/>
  <c r="P432" i="1" l="1"/>
  <c r="N432" i="1"/>
  <c r="P551" i="1"/>
  <c r="N551" i="1"/>
  <c r="P205" i="1"/>
  <c r="N205" i="1"/>
  <c r="P349" i="1"/>
  <c r="N349" i="1"/>
  <c r="P636" i="1"/>
  <c r="N636" i="1"/>
  <c r="P680" i="1"/>
  <c r="N680" i="1"/>
  <c r="P1417" i="1"/>
  <c r="N1417" i="1"/>
  <c r="P1375" i="1"/>
  <c r="N1375" i="1"/>
  <c r="P104" i="1"/>
  <c r="N104" i="1"/>
  <c r="P697" i="1"/>
  <c r="N697" i="1"/>
  <c r="P474" i="1"/>
  <c r="N474" i="1"/>
  <c r="P1311" i="1"/>
  <c r="N1311" i="1"/>
  <c r="P1330" i="1"/>
  <c r="N1330" i="1"/>
  <c r="P274" i="1"/>
  <c r="N274" i="1"/>
  <c r="P387" i="1"/>
  <c r="N387" i="1"/>
  <c r="P454" i="1"/>
  <c r="N454" i="1"/>
  <c r="P1553" i="1"/>
  <c r="N1553" i="1"/>
  <c r="P968" i="1"/>
  <c r="N968" i="1"/>
  <c r="P1086" i="1"/>
  <c r="N1086" i="1"/>
  <c r="P1193" i="1"/>
  <c r="N1193" i="1"/>
  <c r="P1398" i="1"/>
  <c r="N1398" i="1"/>
  <c r="P1640" i="1"/>
  <c r="N1640" i="1"/>
  <c r="P612" i="1"/>
  <c r="N612" i="1"/>
  <c r="P186" i="1"/>
  <c r="N186" i="1"/>
  <c r="P1130" i="1"/>
  <c r="N1130" i="1"/>
  <c r="P904" i="1"/>
  <c r="N904" i="1"/>
  <c r="P1110" i="1"/>
  <c r="N1110" i="1"/>
  <c r="P798" i="1"/>
  <c r="N798" i="1"/>
  <c r="P369" i="1"/>
  <c r="N369" i="1"/>
  <c r="P250" i="1"/>
  <c r="N250" i="1"/>
  <c r="P1067" i="1"/>
  <c r="N1067" i="1"/>
  <c r="P947" i="1"/>
  <c r="N947" i="1"/>
  <c r="P1293" i="1"/>
  <c r="N1293" i="1"/>
  <c r="P1535" i="1"/>
  <c r="N1535" i="1"/>
  <c r="P412" i="1"/>
  <c r="N412" i="1"/>
  <c r="P518" i="1"/>
  <c r="N518" i="1"/>
  <c r="P929" i="1"/>
  <c r="N929" i="1"/>
  <c r="P1434" i="1"/>
  <c r="N1434" i="1"/>
  <c r="P574" i="1"/>
  <c r="N574" i="1"/>
  <c r="P1498" i="1"/>
  <c r="N1498" i="1"/>
  <c r="P1030" i="1"/>
  <c r="N1030" i="1"/>
  <c r="P494" i="1"/>
  <c r="N494" i="1"/>
  <c r="M1399" i="1"/>
  <c r="P821" i="1"/>
  <c r="M1460" i="1"/>
  <c r="P230" i="1"/>
  <c r="P1049" i="1"/>
  <c r="O1615" i="1"/>
  <c r="O840" i="1"/>
  <c r="P1615" i="1"/>
  <c r="P1257" i="1"/>
  <c r="P350" i="1"/>
  <c r="P167" i="1"/>
  <c r="P840" i="1"/>
  <c r="P1577" i="1"/>
  <c r="O532" i="1"/>
  <c r="P864" i="1"/>
  <c r="P532" i="1"/>
  <c r="P143" i="1"/>
  <c r="P1218" i="1"/>
  <c r="P637" i="1"/>
  <c r="P1239" i="1"/>
  <c r="P884" i="1"/>
  <c r="P1354" i="1"/>
  <c r="P1275" i="1"/>
  <c r="P1660" i="1"/>
  <c r="P992" i="1"/>
  <c r="P80" i="1"/>
  <c r="P717" i="1"/>
  <c r="P779" i="1"/>
  <c r="P1151" i="1"/>
  <c r="P1011" i="1"/>
  <c r="P593" i="1"/>
  <c r="P123" i="1"/>
  <c r="P1175" i="1"/>
  <c r="O1434" i="1"/>
  <c r="P1479" i="1"/>
  <c r="P292" i="1"/>
  <c r="P1516" i="1"/>
  <c r="P1459" i="1"/>
  <c r="P325" i="1"/>
  <c r="P742" i="1"/>
  <c r="P656" i="1"/>
  <c r="P1597" i="1"/>
  <c r="P1087" i="1"/>
  <c r="P307" i="1"/>
  <c r="O186" i="1"/>
  <c r="O387" i="1"/>
  <c r="O123" i="1"/>
  <c r="O1577" i="1"/>
  <c r="O104" i="1"/>
  <c r="O947" i="1"/>
  <c r="O1597" i="1"/>
  <c r="O1398" i="1"/>
  <c r="O1399" i="1" s="1"/>
  <c r="O697" i="1"/>
  <c r="O992" i="1"/>
  <c r="O1175" i="1"/>
  <c r="O1293" i="1"/>
  <c r="O680" i="1"/>
  <c r="O1417" i="1"/>
  <c r="O1130" i="1"/>
  <c r="R1373" i="1"/>
  <c r="O1257" i="1"/>
  <c r="O325" i="1"/>
  <c r="O929" i="1"/>
  <c r="O1086" i="1"/>
  <c r="R1086" i="1" s="1"/>
  <c r="O904" i="1"/>
  <c r="O636" i="1"/>
  <c r="O637" i="1" s="1"/>
  <c r="O1660" i="1"/>
  <c r="O1516" i="1"/>
  <c r="O307" i="1"/>
  <c r="O1049" i="1"/>
  <c r="R1397" i="1"/>
  <c r="O167" i="1"/>
  <c r="O864" i="1"/>
  <c r="O1218" i="1"/>
  <c r="O1498" i="1"/>
  <c r="O1239" i="1"/>
  <c r="O656" i="1"/>
  <c r="Q71" i="1"/>
  <c r="U70" i="1"/>
  <c r="V70" i="1" s="1"/>
  <c r="R1497" i="1"/>
  <c r="R1596" i="1"/>
  <c r="R696" i="1"/>
  <c r="R1292" i="1"/>
  <c r="R1256" i="1"/>
  <c r="R103" i="1"/>
  <c r="R1174" i="1"/>
  <c r="R679" i="1"/>
  <c r="R531" i="1"/>
  <c r="R122" i="1"/>
  <c r="R635" i="1"/>
  <c r="R1458" i="1"/>
  <c r="R1329" i="1"/>
  <c r="R185" i="1"/>
  <c r="R473" i="1"/>
  <c r="R903" i="1"/>
  <c r="R306" i="1"/>
  <c r="R1614" i="1"/>
  <c r="R166" i="1"/>
  <c r="R1515" i="1"/>
  <c r="R967" i="1"/>
  <c r="R1129" i="1"/>
  <c r="R142" i="1"/>
  <c r="R928" i="1"/>
  <c r="R1353" i="1"/>
  <c r="R946" i="1"/>
  <c r="R1659" i="1"/>
  <c r="R863" i="1"/>
  <c r="R1416" i="1"/>
  <c r="R991" i="1"/>
  <c r="R1433" i="1"/>
  <c r="R324" i="1"/>
  <c r="R386" i="1"/>
  <c r="R1576" i="1"/>
  <c r="R839" i="1"/>
  <c r="R1109" i="1"/>
  <c r="O1067" i="1"/>
  <c r="R1066" i="1"/>
  <c r="O884" i="1"/>
  <c r="R655" i="1"/>
  <c r="O474" i="1"/>
  <c r="R1217" i="1"/>
  <c r="O274" i="1"/>
  <c r="R1150" i="1"/>
  <c r="R1552" i="1"/>
  <c r="O1553" i="1"/>
  <c r="R716" i="1"/>
  <c r="O717" i="1"/>
  <c r="O349" i="1"/>
  <c r="O350" i="1" s="1"/>
  <c r="O230" i="1"/>
  <c r="O968" i="1"/>
  <c r="O593" i="1"/>
  <c r="O1151" i="1"/>
  <c r="R229" i="1"/>
  <c r="R273" i="1"/>
  <c r="O1030" i="1"/>
  <c r="R592" i="1"/>
  <c r="R1029" i="1"/>
  <c r="O1311" i="1"/>
  <c r="O432" i="1"/>
  <c r="R431" i="1"/>
  <c r="R883" i="1"/>
  <c r="R368" i="1"/>
  <c r="O1459" i="1"/>
  <c r="O779" i="1"/>
  <c r="M1068" i="1"/>
  <c r="N1068" i="1" s="1"/>
  <c r="R1310" i="1"/>
  <c r="R820" i="1"/>
  <c r="O821" i="1"/>
  <c r="O612" i="1"/>
  <c r="R611" i="1"/>
  <c r="O518" i="1"/>
  <c r="R797" i="1"/>
  <c r="R778" i="1"/>
  <c r="R204" i="1"/>
  <c r="R517" i="1"/>
  <c r="R411" i="1"/>
  <c r="O798" i="1"/>
  <c r="O205" i="1"/>
  <c r="O1275" i="1"/>
  <c r="R573" i="1"/>
  <c r="O1011" i="1"/>
  <c r="R1010" i="1"/>
  <c r="R1274" i="1"/>
  <c r="O1375" i="1"/>
  <c r="R1534" i="1"/>
  <c r="O1535" i="1"/>
  <c r="O494" i="1"/>
  <c r="R291" i="1"/>
  <c r="O369" i="1"/>
  <c r="R493" i="1"/>
  <c r="O80" i="1"/>
  <c r="R1238" i="1"/>
  <c r="R1478" i="1"/>
  <c r="R453" i="1"/>
  <c r="R348" i="1"/>
  <c r="R79" i="1"/>
  <c r="R1085" i="1"/>
  <c r="R1048" i="1"/>
  <c r="O742" i="1"/>
  <c r="R741" i="1"/>
  <c r="R550" i="1"/>
  <c r="R1639" i="1"/>
  <c r="R249" i="1"/>
  <c r="O1640" i="1"/>
  <c r="R1192" i="1"/>
  <c r="R1374" i="1"/>
  <c r="O574" i="1"/>
  <c r="O1354" i="1"/>
  <c r="O412" i="1"/>
  <c r="O292" i="1"/>
  <c r="O1479" i="1"/>
  <c r="M251" i="1"/>
  <c r="N251" i="1" s="1"/>
  <c r="O1193" i="1"/>
  <c r="O551" i="1"/>
  <c r="O454" i="1"/>
  <c r="O250" i="1"/>
  <c r="O1330" i="1"/>
  <c r="O143" i="1"/>
  <c r="O1110" i="1"/>
  <c r="M993" i="1"/>
  <c r="N993" i="1" s="1"/>
  <c r="M433" i="1"/>
  <c r="M533" i="1"/>
  <c r="M780" i="1"/>
  <c r="N780" i="1" s="1"/>
  <c r="M1152" i="1"/>
  <c r="N1152" i="1" s="1"/>
  <c r="M718" i="1"/>
  <c r="M681" i="1"/>
  <c r="N681" i="1" s="1"/>
  <c r="M1088" i="1"/>
  <c r="M1276" i="1"/>
  <c r="N1276" i="1" s="1"/>
  <c r="M519" i="1"/>
  <c r="M698" i="1"/>
  <c r="M930" i="1"/>
  <c r="M657" i="1"/>
  <c r="N657" i="1" s="1"/>
  <c r="M231" i="1"/>
  <c r="N231" i="1" s="1"/>
  <c r="M1480" i="1"/>
  <c r="N1480" i="1" s="1"/>
  <c r="M1578" i="1"/>
  <c r="M638" i="1"/>
  <c r="M575" i="1"/>
  <c r="N575" i="1" s="1"/>
  <c r="M1312" i="1"/>
  <c r="N1312" i="1" s="1"/>
  <c r="M1499" i="1"/>
  <c r="N1499" i="1" s="1"/>
  <c r="M1331" i="1"/>
  <c r="N1331" i="1" s="1"/>
  <c r="M552" i="1"/>
  <c r="N552" i="1" s="1"/>
  <c r="M105" i="1"/>
  <c r="N105" i="1" s="1"/>
  <c r="M1536" i="1"/>
  <c r="M326" i="1"/>
  <c r="M275" i="1"/>
  <c r="M885" i="1"/>
  <c r="M388" i="1"/>
  <c r="N388" i="1" s="1"/>
  <c r="M455" i="1"/>
  <c r="M969" i="1"/>
  <c r="N969" i="1" s="1"/>
  <c r="M1111" i="1"/>
  <c r="N1111" i="1" s="1"/>
  <c r="M1554" i="1"/>
  <c r="M1176" i="1"/>
  <c r="M743" i="1"/>
  <c r="N743" i="1" s="1"/>
  <c r="M413" i="1"/>
  <c r="N413" i="1" s="1"/>
  <c r="M1294" i="1"/>
  <c r="N1294" i="1" s="1"/>
  <c r="M1418" i="1"/>
  <c r="N1418" i="1" s="1"/>
  <c r="M1641" i="1"/>
  <c r="N1641" i="1" s="1"/>
  <c r="M1050" i="1"/>
  <c r="N1050" i="1" s="1"/>
  <c r="M865" i="1"/>
  <c r="M1031" i="1"/>
  <c r="M1598" i="1"/>
  <c r="M1517" i="1"/>
  <c r="M1194" i="1"/>
  <c r="M1376" i="1"/>
  <c r="M613" i="1"/>
  <c r="M822" i="1"/>
  <c r="N822" i="1" s="1"/>
  <c r="M144" i="1"/>
  <c r="M1400" i="1"/>
  <c r="M1131" i="1"/>
  <c r="N1131" i="1" s="1"/>
  <c r="M948" i="1"/>
  <c r="N948" i="1" s="1"/>
  <c r="M308" i="1"/>
  <c r="M206" i="1"/>
  <c r="N206" i="1" s="1"/>
  <c r="M1355" i="1"/>
  <c r="N1355" i="1" s="1"/>
  <c r="M1661" i="1"/>
  <c r="M81" i="1"/>
  <c r="M1616" i="1"/>
  <c r="M1258" i="1"/>
  <c r="M187" i="1"/>
  <c r="N187" i="1" s="1"/>
  <c r="M594" i="1"/>
  <c r="M475" i="1"/>
  <c r="N475" i="1" s="1"/>
  <c r="M1435" i="1"/>
  <c r="N1435" i="1" s="1"/>
  <c r="M1240" i="1"/>
  <c r="M293" i="1"/>
  <c r="M841" i="1"/>
  <c r="M905" i="1"/>
  <c r="N905" i="1" s="1"/>
  <c r="M124" i="1"/>
  <c r="N124" i="1" s="1"/>
  <c r="M168" i="1"/>
  <c r="M351" i="1"/>
  <c r="N351" i="1" s="1"/>
  <c r="M495" i="1"/>
  <c r="N495" i="1" s="1"/>
  <c r="M1012" i="1"/>
  <c r="M799" i="1"/>
  <c r="M1219" i="1"/>
  <c r="M370" i="1"/>
  <c r="N370" i="1" s="1"/>
  <c r="P799" i="1" l="1"/>
  <c r="N799" i="1"/>
  <c r="P144" i="1"/>
  <c r="N144" i="1"/>
  <c r="P1554" i="1"/>
  <c r="N1554" i="1"/>
  <c r="P1376" i="1"/>
  <c r="N1376" i="1"/>
  <c r="P455" i="1"/>
  <c r="N455" i="1"/>
  <c r="P1194" i="1"/>
  <c r="N1194" i="1"/>
  <c r="P1517" i="1"/>
  <c r="N1517" i="1"/>
  <c r="P885" i="1"/>
  <c r="N885" i="1"/>
  <c r="P698" i="1"/>
  <c r="N698" i="1"/>
  <c r="P533" i="1"/>
  <c r="N533" i="1"/>
  <c r="P168" i="1"/>
  <c r="N168" i="1"/>
  <c r="P308" i="1"/>
  <c r="N308" i="1"/>
  <c r="P1258" i="1"/>
  <c r="N1258" i="1"/>
  <c r="P1598" i="1"/>
  <c r="N1598" i="1"/>
  <c r="P275" i="1"/>
  <c r="N275" i="1"/>
  <c r="P519" i="1"/>
  <c r="N519" i="1"/>
  <c r="P433" i="1"/>
  <c r="N433" i="1"/>
  <c r="P1399" i="1"/>
  <c r="R1399" i="1" s="1"/>
  <c r="N1399" i="1"/>
  <c r="P594" i="1"/>
  <c r="N594" i="1"/>
  <c r="P930" i="1"/>
  <c r="N930" i="1"/>
  <c r="P1460" i="1"/>
  <c r="N1460" i="1"/>
  <c r="P1219" i="1"/>
  <c r="N1219" i="1"/>
  <c r="P841" i="1"/>
  <c r="N841" i="1"/>
  <c r="P1616" i="1"/>
  <c r="N1616" i="1"/>
  <c r="P1400" i="1"/>
  <c r="N1400" i="1"/>
  <c r="P1031" i="1"/>
  <c r="N1031" i="1"/>
  <c r="P1176" i="1"/>
  <c r="N1176" i="1"/>
  <c r="P326" i="1"/>
  <c r="N326" i="1"/>
  <c r="P638" i="1"/>
  <c r="N638" i="1"/>
  <c r="P1536" i="1"/>
  <c r="N1536" i="1"/>
  <c r="P293" i="1"/>
  <c r="N293" i="1"/>
  <c r="P865" i="1"/>
  <c r="N865" i="1"/>
  <c r="P1088" i="1"/>
  <c r="N1088" i="1"/>
  <c r="P1012" i="1"/>
  <c r="N1012" i="1"/>
  <c r="P1240" i="1"/>
  <c r="N1240" i="1"/>
  <c r="P1662" i="1"/>
  <c r="N1661" i="1"/>
  <c r="P81" i="1"/>
  <c r="N81" i="1"/>
  <c r="P1578" i="1"/>
  <c r="N1578" i="1"/>
  <c r="P613" i="1"/>
  <c r="N613" i="1"/>
  <c r="P718" i="1"/>
  <c r="N718" i="1"/>
  <c r="M1461" i="1"/>
  <c r="N1461" i="1" s="1"/>
  <c r="O1435" i="1"/>
  <c r="P251" i="1"/>
  <c r="P370" i="1"/>
  <c r="P552" i="1"/>
  <c r="P1480" i="1"/>
  <c r="O1418" i="1"/>
  <c r="P1419" i="1"/>
  <c r="P1641" i="1"/>
  <c r="P206" i="1"/>
  <c r="P105" i="1"/>
  <c r="O124" i="1"/>
  <c r="O187" i="1"/>
  <c r="O388" i="1"/>
  <c r="P495" i="1"/>
  <c r="P1111" i="1"/>
  <c r="P1355" i="1"/>
  <c r="P388" i="1"/>
  <c r="P1331" i="1"/>
  <c r="P1418" i="1"/>
  <c r="P124" i="1"/>
  <c r="P1050" i="1"/>
  <c r="O533" i="1"/>
  <c r="P1152" i="1"/>
  <c r="P1312" i="1"/>
  <c r="P681" i="1"/>
  <c r="P780" i="1"/>
  <c r="P822" i="1"/>
  <c r="P1499" i="1"/>
  <c r="P1131" i="1"/>
  <c r="P905" i="1"/>
  <c r="P351" i="1"/>
  <c r="O841" i="1"/>
  <c r="P575" i="1"/>
  <c r="P1294" i="1"/>
  <c r="P413" i="1"/>
  <c r="P1661" i="1"/>
  <c r="P475" i="1"/>
  <c r="P1461" i="1"/>
  <c r="P231" i="1"/>
  <c r="O1616" i="1"/>
  <c r="P1435" i="1"/>
  <c r="P948" i="1"/>
  <c r="P187" i="1"/>
  <c r="P743" i="1"/>
  <c r="P969" i="1"/>
  <c r="P657" i="1"/>
  <c r="P1068" i="1"/>
  <c r="P993" i="1"/>
  <c r="P1276" i="1"/>
  <c r="O1598" i="1"/>
  <c r="O948" i="1"/>
  <c r="O1294" i="1"/>
  <c r="O105" i="1"/>
  <c r="O1578" i="1"/>
  <c r="R636" i="1"/>
  <c r="O681" i="1"/>
  <c r="R1398" i="1"/>
  <c r="O1176" i="1"/>
  <c r="O993" i="1"/>
  <c r="O1355" i="1"/>
  <c r="O930" i="1"/>
  <c r="O1258" i="1"/>
  <c r="R349" i="1"/>
  <c r="O1087" i="1"/>
  <c r="O1088" i="1" s="1"/>
  <c r="O326" i="1"/>
  <c r="O905" i="1"/>
  <c r="O638" i="1"/>
  <c r="O1276" i="1"/>
  <c r="O1554" i="1"/>
  <c r="O1400" i="1"/>
  <c r="O1050" i="1"/>
  <c r="O1661" i="1"/>
  <c r="O455" i="1"/>
  <c r="O308" i="1"/>
  <c r="O475" i="1"/>
  <c r="O1517" i="1"/>
  <c r="O1068" i="1"/>
  <c r="O168" i="1"/>
  <c r="O698" i="1"/>
  <c r="O1219" i="1"/>
  <c r="O370" i="1"/>
  <c r="O657" i="1"/>
  <c r="Q72" i="1"/>
  <c r="U71" i="1"/>
  <c r="V71" i="1" s="1"/>
  <c r="R1459" i="1"/>
  <c r="R1516" i="1"/>
  <c r="R1130" i="1"/>
  <c r="R123" i="1"/>
  <c r="R1049" i="1"/>
  <c r="R307" i="1"/>
  <c r="R1498" i="1"/>
  <c r="R1218" i="1"/>
  <c r="R167" i="1"/>
  <c r="R656" i="1"/>
  <c r="R840" i="1"/>
  <c r="R186" i="1"/>
  <c r="R1417" i="1"/>
  <c r="R1660" i="1"/>
  <c r="R1434" i="1"/>
  <c r="R1067" i="1"/>
  <c r="R697" i="1"/>
  <c r="R1257" i="1"/>
  <c r="R1239" i="1"/>
  <c r="R1577" i="1"/>
  <c r="R864" i="1"/>
  <c r="R637" i="1"/>
  <c r="R1597" i="1"/>
  <c r="R532" i="1"/>
  <c r="R325" i="1"/>
  <c r="R680" i="1"/>
  <c r="R1293" i="1"/>
  <c r="R387" i="1"/>
  <c r="R904" i="1"/>
  <c r="R104" i="1"/>
  <c r="R1175" i="1"/>
  <c r="R947" i="1"/>
  <c r="R929" i="1"/>
  <c r="R1553" i="1"/>
  <c r="R1615" i="1"/>
  <c r="R992" i="1"/>
  <c r="R274" i="1"/>
  <c r="O275" i="1"/>
  <c r="R1311" i="1"/>
  <c r="R884" i="1"/>
  <c r="O594" i="1"/>
  <c r="R474" i="1"/>
  <c r="R1151" i="1"/>
  <c r="O1499" i="1"/>
  <c r="O1152" i="1"/>
  <c r="O1240" i="1"/>
  <c r="R350" i="1"/>
  <c r="R717" i="1"/>
  <c r="O351" i="1"/>
  <c r="O231" i="1"/>
  <c r="R230" i="1"/>
  <c r="O718" i="1"/>
  <c r="O1111" i="1"/>
  <c r="O969" i="1"/>
  <c r="R968" i="1"/>
  <c r="R593" i="1"/>
  <c r="R292" i="1"/>
  <c r="O1460" i="1"/>
  <c r="R1460" i="1" s="1"/>
  <c r="R1030" i="1"/>
  <c r="O433" i="1"/>
  <c r="O1312" i="1"/>
  <c r="O780" i="1"/>
  <c r="R1535" i="1"/>
  <c r="O1031" i="1"/>
  <c r="R432" i="1"/>
  <c r="R454" i="1"/>
  <c r="O822" i="1"/>
  <c r="R518" i="1"/>
  <c r="R612" i="1"/>
  <c r="M1069" i="1"/>
  <c r="N1069" i="1" s="1"/>
  <c r="O613" i="1"/>
  <c r="R494" i="1"/>
  <c r="R779" i="1"/>
  <c r="R1193" i="1"/>
  <c r="R821" i="1"/>
  <c r="O519" i="1"/>
  <c r="R1011" i="1"/>
  <c r="O1012" i="1"/>
  <c r="O799" i="1"/>
  <c r="R798" i="1"/>
  <c r="R205" i="1"/>
  <c r="O1480" i="1"/>
  <c r="O206" i="1"/>
  <c r="O1376" i="1"/>
  <c r="R1275" i="1"/>
  <c r="R1375" i="1"/>
  <c r="R369" i="1"/>
  <c r="O1536" i="1"/>
  <c r="O743" i="1"/>
  <c r="O495" i="1"/>
  <c r="M252" i="1"/>
  <c r="N252" i="1" s="1"/>
  <c r="O81" i="1"/>
  <c r="O1641" i="1"/>
  <c r="R742" i="1"/>
  <c r="R1640" i="1"/>
  <c r="R80" i="1"/>
  <c r="R1110" i="1"/>
  <c r="R1330" i="1"/>
  <c r="R1354" i="1"/>
  <c r="R412" i="1"/>
  <c r="R1479" i="1"/>
  <c r="R551" i="1"/>
  <c r="R143" i="1"/>
  <c r="O251" i="1"/>
  <c r="R250" i="1"/>
  <c r="R574" i="1"/>
  <c r="O1331" i="1"/>
  <c r="O575" i="1"/>
  <c r="O293" i="1"/>
  <c r="O1131" i="1"/>
  <c r="O413" i="1"/>
  <c r="O552" i="1"/>
  <c r="O1194" i="1"/>
  <c r="O885" i="1"/>
  <c r="O144" i="1"/>
  <c r="O865" i="1"/>
  <c r="M994" i="1"/>
  <c r="N994" i="1" s="1"/>
  <c r="M1617" i="1"/>
  <c r="N1617" i="1" s="1"/>
  <c r="M1051" i="1"/>
  <c r="M1462" i="1"/>
  <c r="N1462" i="1" s="1"/>
  <c r="M823" i="1"/>
  <c r="N823" i="1" s="1"/>
  <c r="M866" i="1"/>
  <c r="N866" i="1" s="1"/>
  <c r="M1295" i="1"/>
  <c r="M1177" i="1"/>
  <c r="M456" i="1"/>
  <c r="M327" i="1"/>
  <c r="M1332" i="1"/>
  <c r="M639" i="1"/>
  <c r="M1132" i="1"/>
  <c r="N1132" i="1" s="1"/>
  <c r="M1579" i="1"/>
  <c r="N1579" i="1" s="1"/>
  <c r="M1013" i="1"/>
  <c r="N1013" i="1" s="1"/>
  <c r="M1259" i="1"/>
  <c r="M949" i="1"/>
  <c r="M1518" i="1"/>
  <c r="M800" i="1"/>
  <c r="N800" i="1" s="1"/>
  <c r="M169" i="1"/>
  <c r="M842" i="1"/>
  <c r="M476" i="1"/>
  <c r="N476" i="1" s="1"/>
  <c r="M658" i="1"/>
  <c r="N658" i="1" s="1"/>
  <c r="M1277" i="1"/>
  <c r="M1153" i="1"/>
  <c r="N1153" i="1" s="1"/>
  <c r="M1537" i="1"/>
  <c r="M294" i="1"/>
  <c r="N294" i="1" s="1"/>
  <c r="M931" i="1"/>
  <c r="M82" i="1"/>
  <c r="N82" i="1" s="1"/>
  <c r="M207" i="1"/>
  <c r="N207" i="1" s="1"/>
  <c r="M1377" i="1"/>
  <c r="N1377" i="1" s="1"/>
  <c r="M1599" i="1"/>
  <c r="M1642" i="1"/>
  <c r="M414" i="1"/>
  <c r="N414" i="1" s="1"/>
  <c r="M1112" i="1"/>
  <c r="M886" i="1"/>
  <c r="N886" i="1" s="1"/>
  <c r="M106" i="1"/>
  <c r="M1313" i="1"/>
  <c r="N1313" i="1" s="1"/>
  <c r="M1481" i="1"/>
  <c r="N1481" i="1" s="1"/>
  <c r="M614" i="1"/>
  <c r="N614" i="1" s="1"/>
  <c r="M389" i="1"/>
  <c r="N389" i="1" s="1"/>
  <c r="M1089" i="1"/>
  <c r="M595" i="1"/>
  <c r="M1401" i="1"/>
  <c r="M371" i="1"/>
  <c r="N371" i="1" s="1"/>
  <c r="M496" i="1"/>
  <c r="N496" i="1" s="1"/>
  <c r="M125" i="1"/>
  <c r="N125" i="1" s="1"/>
  <c r="M1241" i="1"/>
  <c r="M699" i="1"/>
  <c r="M682" i="1"/>
  <c r="M534" i="1"/>
  <c r="M1356" i="1"/>
  <c r="M1555" i="1"/>
  <c r="M1500" i="1"/>
  <c r="M781" i="1"/>
  <c r="N781" i="1" s="1"/>
  <c r="M188" i="1"/>
  <c r="M309" i="1"/>
  <c r="M145" i="1"/>
  <c r="M1195" i="1"/>
  <c r="M1032" i="1"/>
  <c r="N1032" i="1" s="1"/>
  <c r="M744" i="1"/>
  <c r="N744" i="1" s="1"/>
  <c r="M970" i="1"/>
  <c r="N970" i="1" s="1"/>
  <c r="M276" i="1"/>
  <c r="N276" i="1" s="1"/>
  <c r="M553" i="1"/>
  <c r="M576" i="1"/>
  <c r="M232" i="1"/>
  <c r="M1220" i="1"/>
  <c r="M352" i="1"/>
  <c r="N352" i="1" s="1"/>
  <c r="M906" i="1"/>
  <c r="N906" i="1" s="1"/>
  <c r="M1436" i="1"/>
  <c r="N1436" i="1" s="1"/>
  <c r="M520" i="1"/>
  <c r="M719" i="1"/>
  <c r="M434" i="1"/>
  <c r="P1642" i="1" l="1"/>
  <c r="N1642" i="1"/>
  <c r="P521" i="1"/>
  <c r="N520" i="1"/>
  <c r="P1501" i="1"/>
  <c r="N1500" i="1"/>
  <c r="P1356" i="1"/>
  <c r="N1356" i="1"/>
  <c r="P1402" i="1"/>
  <c r="N1401" i="1"/>
  <c r="P932" i="1"/>
  <c r="N931" i="1"/>
  <c r="P169" i="1"/>
  <c r="N169" i="1"/>
  <c r="P639" i="1"/>
  <c r="N639" i="1"/>
  <c r="P842" i="1"/>
  <c r="N842" i="1"/>
  <c r="P1220" i="1"/>
  <c r="N1220" i="1"/>
  <c r="P1195" i="1"/>
  <c r="N1195" i="1"/>
  <c r="P534" i="1"/>
  <c r="N534" i="1"/>
  <c r="P595" i="1"/>
  <c r="N595" i="1"/>
  <c r="P1112" i="1"/>
  <c r="N1112" i="1"/>
  <c r="P1332" i="1"/>
  <c r="N1332" i="1"/>
  <c r="P1052" i="1"/>
  <c r="N1051" i="1"/>
  <c r="P576" i="1"/>
  <c r="N576" i="1"/>
  <c r="P1555" i="1"/>
  <c r="N1555" i="1"/>
  <c r="P106" i="1"/>
  <c r="N106" i="1"/>
  <c r="P232" i="1"/>
  <c r="N232" i="1"/>
  <c r="P145" i="1"/>
  <c r="N145" i="1"/>
  <c r="P682" i="1"/>
  <c r="N682" i="1"/>
  <c r="P1089" i="1"/>
  <c r="N1089" i="1"/>
  <c r="P1538" i="1"/>
  <c r="N1537" i="1"/>
  <c r="P1518" i="1"/>
  <c r="N1518" i="1"/>
  <c r="P327" i="1"/>
  <c r="N327" i="1"/>
  <c r="P309" i="1"/>
  <c r="N309" i="1"/>
  <c r="P456" i="1"/>
  <c r="N456" i="1"/>
  <c r="P719" i="1"/>
  <c r="N719" i="1"/>
  <c r="P553" i="1"/>
  <c r="N553" i="1"/>
  <c r="P188" i="1"/>
  <c r="N188" i="1"/>
  <c r="P1242" i="1"/>
  <c r="N1241" i="1"/>
  <c r="P1599" i="1"/>
  <c r="N1599" i="1"/>
  <c r="P1278" i="1"/>
  <c r="N1277" i="1"/>
  <c r="P1260" i="1"/>
  <c r="N1259" i="1"/>
  <c r="P1178" i="1"/>
  <c r="N1177" i="1"/>
  <c r="P434" i="1"/>
  <c r="N434" i="1"/>
  <c r="P699" i="1"/>
  <c r="N699" i="1"/>
  <c r="P949" i="1"/>
  <c r="N949" i="1"/>
  <c r="P1296" i="1"/>
  <c r="N1295" i="1"/>
  <c r="O125" i="1"/>
  <c r="P1277" i="1"/>
  <c r="P658" i="1"/>
  <c r="O1436" i="1"/>
  <c r="P866" i="1"/>
  <c r="P276" i="1"/>
  <c r="P1295" i="1"/>
  <c r="O1555" i="1"/>
  <c r="O106" i="1"/>
  <c r="O842" i="1"/>
  <c r="P744" i="1"/>
  <c r="P1259" i="1"/>
  <c r="P476" i="1"/>
  <c r="P371" i="1"/>
  <c r="P1051" i="1"/>
  <c r="M253" i="1"/>
  <c r="P1241" i="1"/>
  <c r="P1177" i="1"/>
  <c r="P906" i="1"/>
  <c r="P352" i="1"/>
  <c r="P823" i="1"/>
  <c r="O534" i="1"/>
  <c r="P1013" i="1"/>
  <c r="P1032" i="1"/>
  <c r="P1132" i="1"/>
  <c r="P781" i="1"/>
  <c r="P1069" i="1"/>
  <c r="P1462" i="1"/>
  <c r="O1617" i="1"/>
  <c r="P294" i="1"/>
  <c r="P1401" i="1"/>
  <c r="P1313" i="1"/>
  <c r="P931" i="1"/>
  <c r="P1377" i="1"/>
  <c r="P252" i="1"/>
  <c r="P1436" i="1"/>
  <c r="O389" i="1"/>
  <c r="P1579" i="1"/>
  <c r="P1617" i="1"/>
  <c r="P82" i="1"/>
  <c r="P886" i="1"/>
  <c r="P1500" i="1"/>
  <c r="P125" i="1"/>
  <c r="P207" i="1"/>
  <c r="O188" i="1"/>
  <c r="O1599" i="1"/>
  <c r="P1600" i="1"/>
  <c r="P1537" i="1"/>
  <c r="P994" i="1"/>
  <c r="P800" i="1"/>
  <c r="P520" i="1"/>
  <c r="P414" i="1"/>
  <c r="P389" i="1"/>
  <c r="P1153" i="1"/>
  <c r="P614" i="1"/>
  <c r="P970" i="1"/>
  <c r="P1481" i="1"/>
  <c r="P496" i="1"/>
  <c r="O1295" i="1"/>
  <c r="O1579" i="1"/>
  <c r="O949" i="1"/>
  <c r="O931" i="1"/>
  <c r="O1277" i="1"/>
  <c r="O1177" i="1"/>
  <c r="O639" i="1"/>
  <c r="O1259" i="1"/>
  <c r="R1087" i="1"/>
  <c r="O906" i="1"/>
  <c r="O327" i="1"/>
  <c r="O1089" i="1"/>
  <c r="O309" i="1"/>
  <c r="O682" i="1"/>
  <c r="O1051" i="1"/>
  <c r="O1069" i="1"/>
  <c r="O1401" i="1"/>
  <c r="O476" i="1"/>
  <c r="O1356" i="1"/>
  <c r="O456" i="1"/>
  <c r="O1518" i="1"/>
  <c r="O886" i="1"/>
  <c r="O970" i="1"/>
  <c r="O699" i="1"/>
  <c r="O1220" i="1"/>
  <c r="O434" i="1"/>
  <c r="O371" i="1"/>
  <c r="O1153" i="1"/>
  <c r="Q73" i="1"/>
  <c r="U72" i="1"/>
  <c r="V72" i="1" s="1"/>
  <c r="O1241" i="1"/>
  <c r="R1258" i="1"/>
  <c r="R124" i="1"/>
  <c r="R475" i="1"/>
  <c r="R1419" i="1"/>
  <c r="R1578" i="1"/>
  <c r="R993" i="1"/>
  <c r="R105" i="1"/>
  <c r="R1276" i="1"/>
  <c r="R1050" i="1"/>
  <c r="R1418" i="1"/>
  <c r="R1662" i="1"/>
  <c r="R930" i="1"/>
  <c r="R841" i="1"/>
  <c r="R308" i="1"/>
  <c r="R1294" i="1"/>
  <c r="R1517" i="1"/>
  <c r="R533" i="1"/>
  <c r="R1435" i="1"/>
  <c r="R1312" i="1"/>
  <c r="R657" i="1"/>
  <c r="R168" i="1"/>
  <c r="R187" i="1"/>
  <c r="R1554" i="1"/>
  <c r="R1088" i="1"/>
  <c r="R1616" i="1"/>
  <c r="R698" i="1"/>
  <c r="R681" i="1"/>
  <c r="R905" i="1"/>
  <c r="R1068" i="1"/>
  <c r="R1176" i="1"/>
  <c r="R948" i="1"/>
  <c r="R1400" i="1"/>
  <c r="R388" i="1"/>
  <c r="R1219" i="1"/>
  <c r="R1355" i="1"/>
  <c r="R455" i="1"/>
  <c r="R969" i="1"/>
  <c r="R638" i="1"/>
  <c r="R326" i="1"/>
  <c r="R1661" i="1"/>
  <c r="R275" i="1"/>
  <c r="R1240" i="1"/>
  <c r="R1598" i="1"/>
  <c r="R370" i="1"/>
  <c r="R1499" i="1"/>
  <c r="O595" i="1"/>
  <c r="R594" i="1"/>
  <c r="O1500" i="1"/>
  <c r="R433" i="1"/>
  <c r="O496" i="1"/>
  <c r="O1313" i="1"/>
  <c r="R1152" i="1"/>
  <c r="O232" i="1"/>
  <c r="R351" i="1"/>
  <c r="R231" i="1"/>
  <c r="O1132" i="1"/>
  <c r="R718" i="1"/>
  <c r="O719" i="1"/>
  <c r="O352" i="1"/>
  <c r="R1111" i="1"/>
  <c r="R613" i="1"/>
  <c r="O781" i="1"/>
  <c r="O1461" i="1"/>
  <c r="R1461" i="1" s="1"/>
  <c r="R780" i="1"/>
  <c r="O823" i="1"/>
  <c r="R822" i="1"/>
  <c r="O1537" i="1"/>
  <c r="R1031" i="1"/>
  <c r="O1032" i="1"/>
  <c r="O614" i="1"/>
  <c r="O1481" i="1"/>
  <c r="M1070" i="1"/>
  <c r="R1480" i="1"/>
  <c r="R1536" i="1"/>
  <c r="O207" i="1"/>
  <c r="R519" i="1"/>
  <c r="R1012" i="1"/>
  <c r="O520" i="1"/>
  <c r="O1013" i="1"/>
  <c r="O1377" i="1"/>
  <c r="O800" i="1"/>
  <c r="R81" i="1"/>
  <c r="R206" i="1"/>
  <c r="O82" i="1"/>
  <c r="R799" i="1"/>
  <c r="R1376" i="1"/>
  <c r="R743" i="1"/>
  <c r="O744" i="1"/>
  <c r="R495" i="1"/>
  <c r="O1642" i="1"/>
  <c r="R885" i="1"/>
  <c r="R575" i="1"/>
  <c r="R1641" i="1"/>
  <c r="R251" i="1"/>
  <c r="R552" i="1"/>
  <c r="R865" i="1"/>
  <c r="R1131" i="1"/>
  <c r="R293" i="1"/>
  <c r="R1194" i="1"/>
  <c r="R144" i="1"/>
  <c r="R1331" i="1"/>
  <c r="O414" i="1"/>
  <c r="R413" i="1"/>
  <c r="O252" i="1"/>
  <c r="O1332" i="1"/>
  <c r="O576" i="1"/>
  <c r="O553" i="1"/>
  <c r="O1195" i="1"/>
  <c r="O294" i="1"/>
  <c r="O169" i="1"/>
  <c r="O145" i="1"/>
  <c r="O1112" i="1"/>
  <c r="O866" i="1"/>
  <c r="O276" i="1"/>
  <c r="O658" i="1"/>
  <c r="M995" i="1"/>
  <c r="O994" i="1"/>
  <c r="M554" i="1"/>
  <c r="N554" i="1" s="1"/>
  <c r="M887" i="1"/>
  <c r="M353" i="1"/>
  <c r="N353" i="1" s="1"/>
  <c r="M577" i="1"/>
  <c r="N577" i="1" s="1"/>
  <c r="M745" i="1"/>
  <c r="M310" i="1"/>
  <c r="N310" i="1" s="1"/>
  <c r="M1556" i="1"/>
  <c r="N1556" i="1" s="1"/>
  <c r="M700" i="1"/>
  <c r="M615" i="1"/>
  <c r="M372" i="1"/>
  <c r="N372" i="1" s="1"/>
  <c r="M390" i="1"/>
  <c r="N390" i="1" s="1"/>
  <c r="M107" i="1"/>
  <c r="N107" i="1" s="1"/>
  <c r="M1643" i="1"/>
  <c r="N1643" i="1" s="1"/>
  <c r="M83" i="1"/>
  <c r="N83" i="1" s="1"/>
  <c r="M254" i="1"/>
  <c r="N254" i="1" s="1"/>
  <c r="M170" i="1"/>
  <c r="M640" i="1"/>
  <c r="M1463" i="1"/>
  <c r="M1221" i="1"/>
  <c r="M801" i="1"/>
  <c r="M1333" i="1"/>
  <c r="M720" i="1"/>
  <c r="M1437" i="1"/>
  <c r="N1437" i="1" s="1"/>
  <c r="M277" i="1"/>
  <c r="N277" i="1" s="1"/>
  <c r="M1196" i="1"/>
  <c r="M782" i="1"/>
  <c r="M535" i="1"/>
  <c r="N535" i="1" s="1"/>
  <c r="M435" i="1"/>
  <c r="M1033" i="1"/>
  <c r="M126" i="1"/>
  <c r="N126" i="1" s="1"/>
  <c r="M596" i="1"/>
  <c r="N596" i="1" s="1"/>
  <c r="M1482" i="1"/>
  <c r="M1113" i="1"/>
  <c r="M1378" i="1"/>
  <c r="M295" i="1"/>
  <c r="M477" i="1"/>
  <c r="M1519" i="1"/>
  <c r="M1580" i="1"/>
  <c r="N1580" i="1" s="1"/>
  <c r="M328" i="1"/>
  <c r="N328" i="1" s="1"/>
  <c r="M867" i="1"/>
  <c r="M1357" i="1"/>
  <c r="M1154" i="1"/>
  <c r="M907" i="1"/>
  <c r="M233" i="1"/>
  <c r="N233" i="1" s="1"/>
  <c r="M971" i="1"/>
  <c r="M146" i="1"/>
  <c r="N146" i="1" s="1"/>
  <c r="M683" i="1"/>
  <c r="N683" i="1" s="1"/>
  <c r="M189" i="1"/>
  <c r="M1014" i="1"/>
  <c r="M497" i="1"/>
  <c r="M1090" i="1"/>
  <c r="N1090" i="1" s="1"/>
  <c r="M1314" i="1"/>
  <c r="M415" i="1"/>
  <c r="M208" i="1"/>
  <c r="M659" i="1"/>
  <c r="N659" i="1" s="1"/>
  <c r="M843" i="1"/>
  <c r="M950" i="1"/>
  <c r="M1133" i="1"/>
  <c r="N1133" i="1" s="1"/>
  <c r="M457" i="1"/>
  <c r="M824" i="1"/>
  <c r="M1618" i="1"/>
  <c r="N1618" i="1" s="1"/>
  <c r="P415" i="1" l="1"/>
  <c r="N415" i="1"/>
  <c r="P497" i="1"/>
  <c r="N497" i="1"/>
  <c r="P1154" i="1"/>
  <c r="N1154" i="1"/>
  <c r="P1378" i="1"/>
  <c r="N1378" i="1"/>
  <c r="P783" i="1"/>
  <c r="N782" i="1"/>
  <c r="P1464" i="1"/>
  <c r="N1463" i="1"/>
  <c r="P887" i="1"/>
  <c r="N887" i="1"/>
  <c r="P253" i="1"/>
  <c r="N253" i="1"/>
  <c r="P950" i="1"/>
  <c r="N950" i="1"/>
  <c r="P615" i="1"/>
  <c r="N615" i="1"/>
  <c r="P1015" i="1"/>
  <c r="N1014" i="1"/>
  <c r="P1196" i="1"/>
  <c r="N1196" i="1"/>
  <c r="P843" i="1"/>
  <c r="N843" i="1"/>
  <c r="P189" i="1"/>
  <c r="N189" i="1"/>
  <c r="P867" i="1"/>
  <c r="N867" i="1"/>
  <c r="P1483" i="1"/>
  <c r="N1482" i="1"/>
  <c r="P170" i="1"/>
  <c r="N170" i="1"/>
  <c r="P700" i="1"/>
  <c r="N700" i="1"/>
  <c r="P1357" i="1"/>
  <c r="N1357" i="1"/>
  <c r="P996" i="1"/>
  <c r="N995" i="1"/>
  <c r="P1113" i="1"/>
  <c r="N1113" i="1"/>
  <c r="P640" i="1"/>
  <c r="N640" i="1"/>
  <c r="P208" i="1"/>
  <c r="N208" i="1"/>
  <c r="P720" i="1"/>
  <c r="N720" i="1"/>
  <c r="P1034" i="1"/>
  <c r="N1033" i="1"/>
  <c r="P971" i="1"/>
  <c r="N971" i="1"/>
  <c r="P1333" i="1"/>
  <c r="N1333" i="1"/>
  <c r="P1315" i="1"/>
  <c r="N1314" i="1"/>
  <c r="P477" i="1"/>
  <c r="N477" i="1"/>
  <c r="P435" i="1"/>
  <c r="N435" i="1"/>
  <c r="P801" i="1"/>
  <c r="N801" i="1"/>
  <c r="P1520" i="1"/>
  <c r="N1519" i="1"/>
  <c r="P745" i="1"/>
  <c r="N745" i="1"/>
  <c r="P825" i="1"/>
  <c r="N824" i="1"/>
  <c r="P457" i="1"/>
  <c r="N457" i="1"/>
  <c r="P907" i="1"/>
  <c r="N907" i="1"/>
  <c r="P296" i="1"/>
  <c r="N295" i="1"/>
  <c r="P1221" i="1"/>
  <c r="N1221" i="1"/>
  <c r="P1071" i="1"/>
  <c r="N1070" i="1"/>
  <c r="O1437" i="1"/>
  <c r="P1519" i="1"/>
  <c r="P1463" i="1"/>
  <c r="P1014" i="1"/>
  <c r="O126" i="1"/>
  <c r="P659" i="1"/>
  <c r="O1618" i="1"/>
  <c r="P683" i="1"/>
  <c r="P310" i="1"/>
  <c r="P146" i="1"/>
  <c r="P83" i="1"/>
  <c r="O107" i="1"/>
  <c r="P577" i="1"/>
  <c r="P295" i="1"/>
  <c r="P107" i="1"/>
  <c r="P1437" i="1"/>
  <c r="P1482" i="1"/>
  <c r="O535" i="1"/>
  <c r="O390" i="1"/>
  <c r="P1090" i="1"/>
  <c r="P126" i="1"/>
  <c r="P233" i="1"/>
  <c r="P1618" i="1"/>
  <c r="P596" i="1"/>
  <c r="P1033" i="1"/>
  <c r="P372" i="1"/>
  <c r="P995" i="1"/>
  <c r="P1643" i="1"/>
  <c r="P535" i="1"/>
  <c r="P353" i="1"/>
  <c r="P824" i="1"/>
  <c r="P1556" i="1"/>
  <c r="P782" i="1"/>
  <c r="O843" i="1"/>
  <c r="O189" i="1"/>
  <c r="P554" i="1"/>
  <c r="P390" i="1"/>
  <c r="P328" i="1"/>
  <c r="P254" i="1"/>
  <c r="P1314" i="1"/>
  <c r="P1133" i="1"/>
  <c r="P1580" i="1"/>
  <c r="P1070" i="1"/>
  <c r="P277" i="1"/>
  <c r="O1580" i="1"/>
  <c r="O1357" i="1"/>
  <c r="O353" i="1"/>
  <c r="O683" i="1"/>
  <c r="O640" i="1"/>
  <c r="O1090" i="1"/>
  <c r="O720" i="1"/>
  <c r="O907" i="1"/>
  <c r="O328" i="1"/>
  <c r="O310" i="1"/>
  <c r="O457" i="1"/>
  <c r="O435" i="1"/>
  <c r="O887" i="1"/>
  <c r="O971" i="1"/>
  <c r="O497" i="1"/>
  <c r="O1519" i="1"/>
  <c r="O700" i="1"/>
  <c r="O1070" i="1"/>
  <c r="O1221" i="1"/>
  <c r="O1154" i="1"/>
  <c r="O801" i="1"/>
  <c r="O596" i="1"/>
  <c r="Q74" i="1"/>
  <c r="U73" i="1"/>
  <c r="V73" i="1" s="1"/>
  <c r="R1555" i="1"/>
  <c r="R932" i="1"/>
  <c r="R1241" i="1"/>
  <c r="R931" i="1"/>
  <c r="R125" i="1"/>
  <c r="R842" i="1"/>
  <c r="R1052" i="1"/>
  <c r="R188" i="1"/>
  <c r="R699" i="1"/>
  <c r="R886" i="1"/>
  <c r="R1500" i="1"/>
  <c r="R1089" i="1"/>
  <c r="R1401" i="1"/>
  <c r="R1518" i="1"/>
  <c r="R1501" i="1"/>
  <c r="R1153" i="1"/>
  <c r="R327" i="1"/>
  <c r="R371" i="1"/>
  <c r="R1402" i="1"/>
  <c r="R1069" i="1"/>
  <c r="R1051" i="1"/>
  <c r="R389" i="1"/>
  <c r="R352" i="1"/>
  <c r="R1177" i="1"/>
  <c r="R970" i="1"/>
  <c r="R1600" i="1"/>
  <c r="R1356" i="1"/>
  <c r="R1178" i="1"/>
  <c r="R534" i="1"/>
  <c r="R309" i="1"/>
  <c r="R682" i="1"/>
  <c r="R1599" i="1"/>
  <c r="R639" i="1"/>
  <c r="R906" i="1"/>
  <c r="R1579" i="1"/>
  <c r="R1296" i="1"/>
  <c r="R1260" i="1"/>
  <c r="O824" i="1"/>
  <c r="R1295" i="1"/>
  <c r="R434" i="1"/>
  <c r="R1242" i="1"/>
  <c r="R476" i="1"/>
  <c r="R1617" i="1"/>
  <c r="R1220" i="1"/>
  <c r="R1132" i="1"/>
  <c r="R1277" i="1"/>
  <c r="R1278" i="1"/>
  <c r="R106" i="1"/>
  <c r="R456" i="1"/>
  <c r="R1436" i="1"/>
  <c r="R1259" i="1"/>
  <c r="R595" i="1"/>
  <c r="R949" i="1"/>
  <c r="O1314" i="1"/>
  <c r="R1313" i="1"/>
  <c r="O782" i="1"/>
  <c r="R614" i="1"/>
  <c r="R496" i="1"/>
  <c r="R232" i="1"/>
  <c r="O995" i="1"/>
  <c r="O1133" i="1"/>
  <c r="R719" i="1"/>
  <c r="O1556" i="1"/>
  <c r="O615" i="1"/>
  <c r="R781" i="1"/>
  <c r="R994" i="1"/>
  <c r="O1462" i="1"/>
  <c r="O1463" i="1" s="1"/>
  <c r="R823" i="1"/>
  <c r="O1033" i="1"/>
  <c r="R1032" i="1"/>
  <c r="R1537" i="1"/>
  <c r="R658" i="1"/>
  <c r="O1482" i="1"/>
  <c r="R1538" i="1"/>
  <c r="R1481" i="1"/>
  <c r="R744" i="1"/>
  <c r="R1013" i="1"/>
  <c r="O1014" i="1"/>
  <c r="O1378" i="1"/>
  <c r="R82" i="1"/>
  <c r="R521" i="1"/>
  <c r="R520" i="1"/>
  <c r="R1377" i="1"/>
  <c r="O208" i="1"/>
  <c r="R207" i="1"/>
  <c r="R252" i="1"/>
  <c r="R800" i="1"/>
  <c r="O83" i="1"/>
  <c r="R1112" i="1"/>
  <c r="O745" i="1"/>
  <c r="O1643" i="1"/>
  <c r="R1642" i="1"/>
  <c r="R294" i="1"/>
  <c r="O554" i="1"/>
  <c r="R169" i="1"/>
  <c r="R414" i="1"/>
  <c r="R1195" i="1"/>
  <c r="R145" i="1"/>
  <c r="O415" i="1"/>
  <c r="O170" i="1"/>
  <c r="O1333" i="1"/>
  <c r="O253" i="1"/>
  <c r="R276" i="1"/>
  <c r="R1332" i="1"/>
  <c r="R553" i="1"/>
  <c r="R576" i="1"/>
  <c r="O577" i="1"/>
  <c r="R866" i="1"/>
  <c r="O146" i="1"/>
  <c r="O295" i="1"/>
  <c r="O372" i="1"/>
  <c r="O1113" i="1"/>
  <c r="O1196" i="1"/>
  <c r="O277" i="1"/>
  <c r="O659" i="1"/>
  <c r="O233" i="1"/>
  <c r="O867" i="1"/>
  <c r="O477" i="1"/>
  <c r="O950" i="1"/>
  <c r="M1581" i="1"/>
  <c r="M84" i="1"/>
  <c r="N84" i="1" s="1"/>
  <c r="M1619" i="1"/>
  <c r="M951" i="1"/>
  <c r="M416" i="1"/>
  <c r="M684" i="1"/>
  <c r="N684" i="1" s="1"/>
  <c r="M908" i="1"/>
  <c r="M329" i="1"/>
  <c r="N329" i="1" s="1"/>
  <c r="M597" i="1"/>
  <c r="N597" i="1" s="1"/>
  <c r="M536" i="1"/>
  <c r="N536" i="1" s="1"/>
  <c r="M1438" i="1"/>
  <c r="M1222" i="1"/>
  <c r="M255" i="1"/>
  <c r="M391" i="1"/>
  <c r="N391" i="1" s="1"/>
  <c r="M701" i="1"/>
  <c r="M578" i="1"/>
  <c r="M1379" i="1"/>
  <c r="M721" i="1"/>
  <c r="N721" i="1" s="1"/>
  <c r="M1557" i="1"/>
  <c r="N1557" i="1" s="1"/>
  <c r="M458" i="1"/>
  <c r="M660" i="1"/>
  <c r="N660" i="1" s="1"/>
  <c r="M1091" i="1"/>
  <c r="M844" i="1"/>
  <c r="N844" i="1" s="1"/>
  <c r="M147" i="1"/>
  <c r="N147" i="1" s="1"/>
  <c r="M1197" i="1"/>
  <c r="N1197" i="1" s="1"/>
  <c r="M1334" i="1"/>
  <c r="N1334" i="1" s="1"/>
  <c r="M641" i="1"/>
  <c r="M1644" i="1"/>
  <c r="M311" i="1"/>
  <c r="N311" i="1" s="1"/>
  <c r="M888" i="1"/>
  <c r="M354" i="1"/>
  <c r="N354" i="1" s="1"/>
  <c r="M972" i="1"/>
  <c r="M1358" i="1"/>
  <c r="M1114" i="1"/>
  <c r="M1134" i="1"/>
  <c r="M209" i="1"/>
  <c r="M498" i="1"/>
  <c r="M190" i="1"/>
  <c r="N190" i="1" s="1"/>
  <c r="M616" i="1"/>
  <c r="N616" i="1" s="1"/>
  <c r="M1155" i="1"/>
  <c r="N1155" i="1" s="1"/>
  <c r="M127" i="1"/>
  <c r="M373" i="1"/>
  <c r="N373" i="1" s="1"/>
  <c r="M234" i="1"/>
  <c r="N234" i="1" s="1"/>
  <c r="M868" i="1"/>
  <c r="M478" i="1"/>
  <c r="N478" i="1" s="1"/>
  <c r="M436" i="1"/>
  <c r="N436" i="1" s="1"/>
  <c r="M278" i="1"/>
  <c r="N278" i="1" s="1"/>
  <c r="M802" i="1"/>
  <c r="N802" i="1" s="1"/>
  <c r="M171" i="1"/>
  <c r="M108" i="1"/>
  <c r="N108" i="1" s="1"/>
  <c r="M746" i="1"/>
  <c r="M555" i="1"/>
  <c r="P701" i="1" l="1"/>
  <c r="N701" i="1"/>
  <c r="P908" i="1"/>
  <c r="N908" i="1"/>
  <c r="R253" i="1"/>
  <c r="P498" i="1"/>
  <c r="N498" i="1"/>
  <c r="P255" i="1"/>
  <c r="N255" i="1"/>
  <c r="P416" i="1"/>
  <c r="N416" i="1"/>
  <c r="P889" i="1"/>
  <c r="N888" i="1"/>
  <c r="P1091" i="1"/>
  <c r="N1091" i="1"/>
  <c r="P555" i="1"/>
  <c r="N555" i="1"/>
  <c r="P869" i="1"/>
  <c r="N868" i="1"/>
  <c r="P209" i="1"/>
  <c r="N209" i="1"/>
  <c r="P1645" i="1"/>
  <c r="N1644" i="1"/>
  <c r="P458" i="1"/>
  <c r="N458" i="1"/>
  <c r="P1223" i="1"/>
  <c r="N1222" i="1"/>
  <c r="P952" i="1"/>
  <c r="N951" i="1"/>
  <c r="P746" i="1"/>
  <c r="N746" i="1"/>
  <c r="P1135" i="1"/>
  <c r="N1134" i="1"/>
  <c r="P641" i="1"/>
  <c r="N641" i="1"/>
  <c r="P1438" i="1"/>
  <c r="N1438" i="1"/>
  <c r="P1619" i="1"/>
  <c r="N1619" i="1"/>
  <c r="P1115" i="1"/>
  <c r="N1114" i="1"/>
  <c r="P171" i="1"/>
  <c r="N171" i="1"/>
  <c r="P127" i="1"/>
  <c r="N127" i="1"/>
  <c r="P1359" i="1"/>
  <c r="N1358" i="1"/>
  <c r="P1379" i="1"/>
  <c r="N1379" i="1"/>
  <c r="P1582" i="1"/>
  <c r="N1581" i="1"/>
  <c r="P972" i="1"/>
  <c r="N972" i="1"/>
  <c r="P578" i="1"/>
  <c r="N578" i="1"/>
  <c r="O108" i="1"/>
  <c r="O536" i="1"/>
  <c r="P1334" i="1"/>
  <c r="P1358" i="1"/>
  <c r="O127" i="1"/>
  <c r="P951" i="1"/>
  <c r="P108" i="1"/>
  <c r="P1581" i="1"/>
  <c r="O844" i="1"/>
  <c r="P278" i="1"/>
  <c r="P616" i="1"/>
  <c r="P354" i="1"/>
  <c r="P147" i="1"/>
  <c r="P597" i="1"/>
  <c r="O391" i="1"/>
  <c r="P868" i="1"/>
  <c r="P391" i="1"/>
  <c r="P802" i="1"/>
  <c r="P329" i="1"/>
  <c r="P190" i="1"/>
  <c r="P1197" i="1"/>
  <c r="P436" i="1"/>
  <c r="P311" i="1"/>
  <c r="P684" i="1"/>
  <c r="P1114" i="1"/>
  <c r="P888" i="1"/>
  <c r="P1222" i="1"/>
  <c r="P478" i="1"/>
  <c r="P84" i="1"/>
  <c r="P660" i="1"/>
  <c r="O1438" i="1"/>
  <c r="O1619" i="1"/>
  <c r="P844" i="1"/>
  <c r="P1155" i="1"/>
  <c r="P373" i="1"/>
  <c r="P536" i="1"/>
  <c r="P234" i="1"/>
  <c r="P1644" i="1"/>
  <c r="P721" i="1"/>
  <c r="P1557" i="1"/>
  <c r="P1134" i="1"/>
  <c r="O1581" i="1"/>
  <c r="O641" i="1"/>
  <c r="O616" i="1"/>
  <c r="R1462" i="1"/>
  <c r="O311" i="1"/>
  <c r="O354" i="1"/>
  <c r="O721" i="1"/>
  <c r="O1091" i="1"/>
  <c r="O329" i="1"/>
  <c r="O908" i="1"/>
  <c r="O373" i="1"/>
  <c r="O498" i="1"/>
  <c r="O458" i="1"/>
  <c r="O684" i="1"/>
  <c r="O1358" i="1"/>
  <c r="O888" i="1"/>
  <c r="O972" i="1"/>
  <c r="O1222" i="1"/>
  <c r="O1155" i="1"/>
  <c r="O597" i="1"/>
  <c r="Q75" i="1"/>
  <c r="U74" i="1"/>
  <c r="V74" i="1" s="1"/>
  <c r="R1357" i="1"/>
  <c r="R1154" i="1"/>
  <c r="R535" i="1"/>
  <c r="R435" i="1"/>
  <c r="R1070" i="1"/>
  <c r="R497" i="1"/>
  <c r="R825" i="1"/>
  <c r="R1090" i="1"/>
  <c r="R189" i="1"/>
  <c r="R1519" i="1"/>
  <c r="R720" i="1"/>
  <c r="R457" i="1"/>
  <c r="R1315" i="1"/>
  <c r="R1618" i="1"/>
  <c r="R907" i="1"/>
  <c r="R1221" i="1"/>
  <c r="R126" i="1"/>
  <c r="R887" i="1"/>
  <c r="R1034" i="1"/>
  <c r="R1071" i="1"/>
  <c r="R1483" i="1"/>
  <c r="R971" i="1"/>
  <c r="R1437" i="1"/>
  <c r="R1314" i="1"/>
  <c r="R1580" i="1"/>
  <c r="R596" i="1"/>
  <c r="R353" i="1"/>
  <c r="R843" i="1"/>
  <c r="R1520" i="1"/>
  <c r="R801" i="1"/>
  <c r="R1133" i="1"/>
  <c r="R824" i="1"/>
  <c r="R146" i="1"/>
  <c r="R328" i="1"/>
  <c r="R640" i="1"/>
  <c r="R310" i="1"/>
  <c r="R700" i="1"/>
  <c r="R683" i="1"/>
  <c r="R390" i="1"/>
  <c r="R107" i="1"/>
  <c r="R995" i="1"/>
  <c r="R615" i="1"/>
  <c r="R782" i="1"/>
  <c r="R783" i="1"/>
  <c r="O254" i="1"/>
  <c r="O255" i="1" s="1"/>
  <c r="O1557" i="1"/>
  <c r="R996" i="1"/>
  <c r="R1556" i="1"/>
  <c r="O436" i="1"/>
  <c r="O701" i="1"/>
  <c r="O1644" i="1"/>
  <c r="R1463" i="1"/>
  <c r="R1015" i="1"/>
  <c r="R1482" i="1"/>
  <c r="R1033" i="1"/>
  <c r="R1014" i="1"/>
  <c r="R745" i="1"/>
  <c r="R1464" i="1"/>
  <c r="O84" i="1"/>
  <c r="R1378" i="1"/>
  <c r="O1379" i="1"/>
  <c r="R83" i="1"/>
  <c r="O209" i="1"/>
  <c r="R208" i="1"/>
  <c r="R296" i="1"/>
  <c r="R554" i="1"/>
  <c r="O746" i="1"/>
  <c r="R1643" i="1"/>
  <c r="O278" i="1"/>
  <c r="O868" i="1"/>
  <c r="R372" i="1"/>
  <c r="R295" i="1"/>
  <c r="O555" i="1"/>
  <c r="O416" i="1"/>
  <c r="R415" i="1"/>
  <c r="R1333" i="1"/>
  <c r="O171" i="1"/>
  <c r="O1334" i="1"/>
  <c r="R170" i="1"/>
  <c r="R659" i="1"/>
  <c r="R867" i="1"/>
  <c r="R950" i="1"/>
  <c r="R277" i="1"/>
  <c r="R1196" i="1"/>
  <c r="O578" i="1"/>
  <c r="R233" i="1"/>
  <c r="R577" i="1"/>
  <c r="R1113" i="1"/>
  <c r="O478" i="1"/>
  <c r="R477" i="1"/>
  <c r="O147" i="1"/>
  <c r="O951" i="1"/>
  <c r="O234" i="1"/>
  <c r="O660" i="1"/>
  <c r="O1114" i="1"/>
  <c r="O1197" i="1"/>
  <c r="O1134" i="1"/>
  <c r="O802" i="1"/>
  <c r="O190" i="1"/>
  <c r="M685" i="1"/>
  <c r="M1335" i="1"/>
  <c r="N1335" i="1" s="1"/>
  <c r="M1558" i="1"/>
  <c r="M702" i="1"/>
  <c r="M1439" i="1"/>
  <c r="N1439" i="1" s="1"/>
  <c r="M909" i="1"/>
  <c r="M537" i="1"/>
  <c r="N537" i="1" s="1"/>
  <c r="M803" i="1"/>
  <c r="M191" i="1"/>
  <c r="M172" i="1"/>
  <c r="M479" i="1"/>
  <c r="N479" i="1" s="1"/>
  <c r="M128" i="1"/>
  <c r="N128" i="1" s="1"/>
  <c r="M499" i="1"/>
  <c r="N499" i="1" s="1"/>
  <c r="M1092" i="1"/>
  <c r="M148" i="1"/>
  <c r="N148" i="1" s="1"/>
  <c r="M661" i="1"/>
  <c r="N661" i="1" s="1"/>
  <c r="M1380" i="1"/>
  <c r="N1380" i="1" s="1"/>
  <c r="M256" i="1"/>
  <c r="N256" i="1" s="1"/>
  <c r="M598" i="1"/>
  <c r="M722" i="1"/>
  <c r="N722" i="1" s="1"/>
  <c r="M556" i="1"/>
  <c r="N556" i="1" s="1"/>
  <c r="M1620" i="1"/>
  <c r="N1620" i="1" s="1"/>
  <c r="M747" i="1"/>
  <c r="N747" i="1" s="1"/>
  <c r="M85" i="1"/>
  <c r="M312" i="1"/>
  <c r="M392" i="1"/>
  <c r="N392" i="1" s="1"/>
  <c r="M973" i="1"/>
  <c r="N973" i="1" s="1"/>
  <c r="M235" i="1"/>
  <c r="N235" i="1" s="1"/>
  <c r="M355" i="1"/>
  <c r="N355" i="1" s="1"/>
  <c r="M642" i="1"/>
  <c r="M845" i="1"/>
  <c r="N845" i="1" s="1"/>
  <c r="M459" i="1"/>
  <c r="M579" i="1"/>
  <c r="N579" i="1" s="1"/>
  <c r="M330" i="1"/>
  <c r="M1198" i="1"/>
  <c r="M1156" i="1"/>
  <c r="M210" i="1"/>
  <c r="N210" i="1" s="1"/>
  <c r="M279" i="1"/>
  <c r="N279" i="1" s="1"/>
  <c r="M617" i="1"/>
  <c r="N617" i="1" s="1"/>
  <c r="M109" i="1"/>
  <c r="M437" i="1"/>
  <c r="M374" i="1"/>
  <c r="M417" i="1"/>
  <c r="P1092" i="1" l="1"/>
  <c r="N1092" i="1"/>
  <c r="P909" i="1"/>
  <c r="N909" i="1"/>
  <c r="P642" i="1"/>
  <c r="N642" i="1"/>
  <c r="P1156" i="1"/>
  <c r="N1156" i="1"/>
  <c r="P702" i="1"/>
  <c r="N702" i="1"/>
  <c r="P417" i="1"/>
  <c r="N417" i="1"/>
  <c r="P1198" i="1"/>
  <c r="N1198" i="1"/>
  <c r="P598" i="1"/>
  <c r="N598" i="1"/>
  <c r="P1558" i="1"/>
  <c r="N1558" i="1"/>
  <c r="P374" i="1"/>
  <c r="N374" i="1"/>
  <c r="P172" i="1"/>
  <c r="N172" i="1"/>
  <c r="P437" i="1"/>
  <c r="N437" i="1"/>
  <c r="P312" i="1"/>
  <c r="N312" i="1"/>
  <c r="P191" i="1"/>
  <c r="N191" i="1"/>
  <c r="P686" i="1"/>
  <c r="N685" i="1"/>
  <c r="P330" i="1"/>
  <c r="N330" i="1"/>
  <c r="P109" i="1"/>
  <c r="N109" i="1"/>
  <c r="P459" i="1"/>
  <c r="N459" i="1"/>
  <c r="P85" i="1"/>
  <c r="N85" i="1"/>
  <c r="P803" i="1"/>
  <c r="N803" i="1"/>
  <c r="O537" i="1"/>
  <c r="P148" i="1"/>
  <c r="O1620" i="1"/>
  <c r="O1092" i="1"/>
  <c r="O1439" i="1"/>
  <c r="P845" i="1"/>
  <c r="P537" i="1"/>
  <c r="O642" i="1"/>
  <c r="O128" i="1"/>
  <c r="P235" i="1"/>
  <c r="P128" i="1"/>
  <c r="P747" i="1"/>
  <c r="P355" i="1"/>
  <c r="P722" i="1"/>
  <c r="O392" i="1"/>
  <c r="P1620" i="1"/>
  <c r="P210" i="1"/>
  <c r="P685" i="1"/>
  <c r="P617" i="1"/>
  <c r="P1335" i="1"/>
  <c r="P556" i="1"/>
  <c r="P256" i="1"/>
  <c r="P392" i="1"/>
  <c r="P279" i="1"/>
  <c r="O579" i="1"/>
  <c r="O109" i="1"/>
  <c r="P1439" i="1"/>
  <c r="P499" i="1"/>
  <c r="P479" i="1"/>
  <c r="P661" i="1"/>
  <c r="P973" i="1"/>
  <c r="P579" i="1"/>
  <c r="P1380" i="1"/>
  <c r="O374" i="1"/>
  <c r="O148" i="1"/>
  <c r="O355" i="1"/>
  <c r="O722" i="1"/>
  <c r="O499" i="1"/>
  <c r="O685" i="1"/>
  <c r="O437" i="1"/>
  <c r="O617" i="1"/>
  <c r="O1558" i="1"/>
  <c r="O973" i="1"/>
  <c r="O661" i="1"/>
  <c r="O479" i="1"/>
  <c r="O909" i="1"/>
  <c r="O1156" i="1"/>
  <c r="O256" i="1"/>
  <c r="O598" i="1"/>
  <c r="Q76" i="1"/>
  <c r="U75" i="1"/>
  <c r="V75" i="1" s="1"/>
  <c r="R1358" i="1"/>
  <c r="R436" i="1"/>
  <c r="R498" i="1"/>
  <c r="R1438" i="1"/>
  <c r="R354" i="1"/>
  <c r="R844" i="1"/>
  <c r="R597" i="1"/>
  <c r="R1581" i="1"/>
  <c r="R908" i="1"/>
  <c r="R1222" i="1"/>
  <c r="R952" i="1"/>
  <c r="R1223" i="1"/>
  <c r="R1582" i="1"/>
  <c r="R1619" i="1"/>
  <c r="R311" i="1"/>
  <c r="R458" i="1"/>
  <c r="R641" i="1"/>
  <c r="R391" i="1"/>
  <c r="R329" i="1"/>
  <c r="R616" i="1"/>
  <c r="R701" i="1"/>
  <c r="R1557" i="1"/>
  <c r="R1334" i="1"/>
  <c r="R721" i="1"/>
  <c r="R1359" i="1"/>
  <c r="R1091" i="1"/>
  <c r="R888" i="1"/>
  <c r="R1155" i="1"/>
  <c r="R127" i="1"/>
  <c r="R373" i="1"/>
  <c r="R889" i="1"/>
  <c r="R536" i="1"/>
  <c r="R684" i="1"/>
  <c r="R972" i="1"/>
  <c r="R108" i="1"/>
  <c r="R254" i="1"/>
  <c r="R255" i="1"/>
  <c r="R1645" i="1"/>
  <c r="R1644" i="1"/>
  <c r="O702" i="1"/>
  <c r="O85" i="1"/>
  <c r="R84" i="1"/>
  <c r="R869" i="1"/>
  <c r="R1379" i="1"/>
  <c r="R278" i="1"/>
  <c r="O1380" i="1"/>
  <c r="R746" i="1"/>
  <c r="O747" i="1"/>
  <c r="R868" i="1"/>
  <c r="R555" i="1"/>
  <c r="O210" i="1"/>
  <c r="O556" i="1"/>
  <c r="R209" i="1"/>
  <c r="O279" i="1"/>
  <c r="R416" i="1"/>
  <c r="O417" i="1"/>
  <c r="R660" i="1"/>
  <c r="O172" i="1"/>
  <c r="R802" i="1"/>
  <c r="O1335" i="1"/>
  <c r="R147" i="1"/>
  <c r="O235" i="1"/>
  <c r="R190" i="1"/>
  <c r="R171" i="1"/>
  <c r="R951" i="1"/>
  <c r="R234" i="1"/>
  <c r="R478" i="1"/>
  <c r="R1197" i="1"/>
  <c r="R1134" i="1"/>
  <c r="R1135" i="1"/>
  <c r="R578" i="1"/>
  <c r="R1115" i="1"/>
  <c r="R1114" i="1"/>
  <c r="O845" i="1"/>
  <c r="O1198" i="1"/>
  <c r="O459" i="1"/>
  <c r="O312" i="1"/>
  <c r="O803" i="1"/>
  <c r="O330" i="1"/>
  <c r="O191" i="1"/>
  <c r="M375" i="1"/>
  <c r="M393" i="1"/>
  <c r="N393" i="1" s="1"/>
  <c r="M257" i="1"/>
  <c r="N257" i="1" s="1"/>
  <c r="M1559" i="1"/>
  <c r="N1559" i="1" s="1"/>
  <c r="M1381" i="1"/>
  <c r="M418" i="1"/>
  <c r="N418" i="1" s="1"/>
  <c r="M1199" i="1"/>
  <c r="M974" i="1"/>
  <c r="N974" i="1" s="1"/>
  <c r="M748" i="1"/>
  <c r="M599" i="1"/>
  <c r="N599" i="1" s="1"/>
  <c r="M149" i="1"/>
  <c r="N149" i="1" s="1"/>
  <c r="M1093" i="1"/>
  <c r="N1093" i="1" s="1"/>
  <c r="M211" i="1"/>
  <c r="N211" i="1" s="1"/>
  <c r="M313" i="1"/>
  <c r="M618" i="1"/>
  <c r="N618" i="1" s="1"/>
  <c r="M846" i="1"/>
  <c r="N846" i="1" s="1"/>
  <c r="M129" i="1"/>
  <c r="M804" i="1"/>
  <c r="M703" i="1"/>
  <c r="M331" i="1"/>
  <c r="N331" i="1" s="1"/>
  <c r="M538" i="1"/>
  <c r="N538" i="1" s="1"/>
  <c r="M356" i="1"/>
  <c r="M500" i="1"/>
  <c r="M173" i="1"/>
  <c r="N173" i="1" s="1"/>
  <c r="M910" i="1"/>
  <c r="M1336" i="1"/>
  <c r="M280" i="1"/>
  <c r="M1621" i="1"/>
  <c r="N1621" i="1" s="1"/>
  <c r="M480" i="1"/>
  <c r="N480" i="1" s="1"/>
  <c r="M438" i="1"/>
  <c r="N438" i="1" s="1"/>
  <c r="M557" i="1"/>
  <c r="M110" i="1"/>
  <c r="N110" i="1" s="1"/>
  <c r="M1157" i="1"/>
  <c r="M460" i="1"/>
  <c r="N460" i="1" s="1"/>
  <c r="M236" i="1"/>
  <c r="N236" i="1" s="1"/>
  <c r="M86" i="1"/>
  <c r="N86" i="1" s="1"/>
  <c r="M723" i="1"/>
  <c r="N723" i="1" s="1"/>
  <c r="M662" i="1"/>
  <c r="N662" i="1" s="1"/>
  <c r="M643" i="1"/>
  <c r="M580" i="1"/>
  <c r="M192" i="1"/>
  <c r="M1440" i="1"/>
  <c r="N1440" i="1" s="1"/>
  <c r="P1381" i="1" l="1"/>
  <c r="N1381" i="1"/>
  <c r="P281" i="1"/>
  <c r="N280" i="1"/>
  <c r="P703" i="1"/>
  <c r="N703" i="1"/>
  <c r="P1336" i="1"/>
  <c r="N1336" i="1"/>
  <c r="P804" i="1"/>
  <c r="N804" i="1"/>
  <c r="P192" i="1"/>
  <c r="N192" i="1"/>
  <c r="P1157" i="1"/>
  <c r="N1157" i="1"/>
  <c r="P910" i="1"/>
  <c r="N910" i="1"/>
  <c r="P129" i="1"/>
  <c r="N129" i="1"/>
  <c r="P748" i="1"/>
  <c r="N748" i="1"/>
  <c r="P376" i="1"/>
  <c r="N375" i="1"/>
  <c r="P580" i="1"/>
  <c r="N580" i="1"/>
  <c r="P557" i="1"/>
  <c r="N557" i="1"/>
  <c r="P500" i="1"/>
  <c r="N500" i="1"/>
  <c r="P1199" i="1"/>
  <c r="N1199" i="1"/>
  <c r="P643" i="1"/>
  <c r="N643" i="1"/>
  <c r="P356" i="1"/>
  <c r="N356" i="1"/>
  <c r="P314" i="1"/>
  <c r="N313" i="1"/>
  <c r="O110" i="1"/>
  <c r="P110" i="1"/>
  <c r="P280" i="1"/>
  <c r="O538" i="1"/>
  <c r="P313" i="1"/>
  <c r="P618" i="1"/>
  <c r="P211" i="1"/>
  <c r="P538" i="1"/>
  <c r="O643" i="1"/>
  <c r="O1621" i="1"/>
  <c r="O1093" i="1"/>
  <c r="P331" i="1"/>
  <c r="P438" i="1"/>
  <c r="P1559" i="1"/>
  <c r="P1093" i="1"/>
  <c r="P662" i="1"/>
  <c r="P375" i="1"/>
  <c r="P173" i="1"/>
  <c r="P480" i="1"/>
  <c r="P149" i="1"/>
  <c r="O580" i="1"/>
  <c r="O1440" i="1"/>
  <c r="O393" i="1"/>
  <c r="P86" i="1"/>
  <c r="P418" i="1"/>
  <c r="P257" i="1"/>
  <c r="P599" i="1"/>
  <c r="P723" i="1"/>
  <c r="P1440" i="1"/>
  <c r="P1621" i="1"/>
  <c r="O129" i="1"/>
  <c r="P460" i="1"/>
  <c r="P393" i="1"/>
  <c r="P974" i="1"/>
  <c r="P236" i="1"/>
  <c r="P846" i="1"/>
  <c r="O375" i="1"/>
  <c r="O149" i="1"/>
  <c r="O356" i="1"/>
  <c r="O500" i="1"/>
  <c r="O723" i="1"/>
  <c r="O438" i="1"/>
  <c r="O1559" i="1"/>
  <c r="O618" i="1"/>
  <c r="O974" i="1"/>
  <c r="O662" i="1"/>
  <c r="O480" i="1"/>
  <c r="O910" i="1"/>
  <c r="O703" i="1"/>
  <c r="O418" i="1"/>
  <c r="O257" i="1"/>
  <c r="O1157" i="1"/>
  <c r="O192" i="1"/>
  <c r="O599" i="1"/>
  <c r="O86" i="1"/>
  <c r="O846" i="1"/>
  <c r="U76" i="1"/>
  <c r="V76" i="1" s="1"/>
  <c r="Q77" i="1"/>
  <c r="R642" i="1"/>
  <c r="R374" i="1"/>
  <c r="R1558" i="1"/>
  <c r="R128" i="1"/>
  <c r="R1439" i="1"/>
  <c r="R499" i="1"/>
  <c r="R973" i="1"/>
  <c r="R617" i="1"/>
  <c r="R479" i="1"/>
  <c r="R661" i="1"/>
  <c r="R355" i="1"/>
  <c r="R279" i="1"/>
  <c r="R85" i="1"/>
  <c r="R579" i="1"/>
  <c r="R909" i="1"/>
  <c r="R686" i="1"/>
  <c r="R417" i="1"/>
  <c r="R598" i="1"/>
  <c r="R1092" i="1"/>
  <c r="R437" i="1"/>
  <c r="R537" i="1"/>
  <c r="R392" i="1"/>
  <c r="R148" i="1"/>
  <c r="R685" i="1"/>
  <c r="R256" i="1"/>
  <c r="R109" i="1"/>
  <c r="R1156" i="1"/>
  <c r="R722" i="1"/>
  <c r="R1620" i="1"/>
  <c r="O1199" i="1"/>
  <c r="O236" i="1"/>
  <c r="O1381" i="1"/>
  <c r="R702" i="1"/>
  <c r="R1380" i="1"/>
  <c r="R747" i="1"/>
  <c r="O748" i="1"/>
  <c r="R210" i="1"/>
  <c r="R556" i="1"/>
  <c r="O211" i="1"/>
  <c r="O557" i="1"/>
  <c r="R845" i="1"/>
  <c r="R172" i="1"/>
  <c r="O280" i="1"/>
  <c r="O1336" i="1"/>
  <c r="R1335" i="1"/>
  <c r="R803" i="1"/>
  <c r="R235" i="1"/>
  <c r="O173" i="1"/>
  <c r="R459" i="1"/>
  <c r="R191" i="1"/>
  <c r="R1198" i="1"/>
  <c r="R330" i="1"/>
  <c r="R312" i="1"/>
  <c r="O331" i="1"/>
  <c r="O460" i="1"/>
  <c r="O804" i="1"/>
  <c r="O313" i="1"/>
  <c r="M663" i="1"/>
  <c r="M461" i="1"/>
  <c r="M439" i="1"/>
  <c r="N439" i="1" s="1"/>
  <c r="M1337" i="1"/>
  <c r="N1337" i="1" s="1"/>
  <c r="M357" i="1"/>
  <c r="M805" i="1"/>
  <c r="M847" i="1"/>
  <c r="M1094" i="1"/>
  <c r="M975" i="1"/>
  <c r="N975" i="1" s="1"/>
  <c r="M1560" i="1"/>
  <c r="N1560" i="1" s="1"/>
  <c r="M1441" i="1"/>
  <c r="N1441" i="1" s="1"/>
  <c r="M911" i="1"/>
  <c r="N911" i="1" s="1"/>
  <c r="M150" i="1"/>
  <c r="M581" i="1"/>
  <c r="M481" i="1"/>
  <c r="N481" i="1" s="1"/>
  <c r="M619" i="1"/>
  <c r="N619" i="1" s="1"/>
  <c r="M87" i="1"/>
  <c r="N87" i="1" s="1"/>
  <c r="M332" i="1"/>
  <c r="M600" i="1"/>
  <c r="M419" i="1"/>
  <c r="N419" i="1" s="1"/>
  <c r="M394" i="1"/>
  <c r="M193" i="1"/>
  <c r="M724" i="1"/>
  <c r="M130" i="1"/>
  <c r="M258" i="1"/>
  <c r="N258" i="1" s="1"/>
  <c r="M111" i="1"/>
  <c r="N111" i="1" s="1"/>
  <c r="M174" i="1"/>
  <c r="M644" i="1"/>
  <c r="N644" i="1" s="1"/>
  <c r="M1158" i="1"/>
  <c r="M539" i="1"/>
  <c r="M1200" i="1"/>
  <c r="M1622" i="1"/>
  <c r="M237" i="1"/>
  <c r="M558" i="1"/>
  <c r="N558" i="1" s="1"/>
  <c r="M501" i="1"/>
  <c r="M704" i="1"/>
  <c r="M212" i="1"/>
  <c r="M749" i="1"/>
  <c r="M1382" i="1"/>
  <c r="P237" i="1" l="1"/>
  <c r="N237" i="1"/>
  <c r="P663" i="1"/>
  <c r="N663" i="1"/>
  <c r="P130" i="1"/>
  <c r="N130" i="1"/>
  <c r="P1200" i="1"/>
  <c r="N1200" i="1"/>
  <c r="P724" i="1"/>
  <c r="N724" i="1"/>
  <c r="P847" i="1"/>
  <c r="N847" i="1"/>
  <c r="P1095" i="1"/>
  <c r="N1094" i="1"/>
  <c r="P1383" i="1"/>
  <c r="N1382" i="1"/>
  <c r="P750" i="1"/>
  <c r="N749" i="1"/>
  <c r="P539" i="1"/>
  <c r="N539" i="1"/>
  <c r="P194" i="1"/>
  <c r="N193" i="1"/>
  <c r="P581" i="1"/>
  <c r="N581" i="1"/>
  <c r="P806" i="1"/>
  <c r="N805" i="1"/>
  <c r="P212" i="1"/>
  <c r="N212" i="1"/>
  <c r="P1158" i="1"/>
  <c r="N1158" i="1"/>
  <c r="P394" i="1"/>
  <c r="N394" i="1"/>
  <c r="P150" i="1"/>
  <c r="N150" i="1"/>
  <c r="P358" i="1"/>
  <c r="N357" i="1"/>
  <c r="P1622" i="1"/>
  <c r="N1622" i="1"/>
  <c r="P175" i="1"/>
  <c r="N174" i="1"/>
  <c r="P601" i="1"/>
  <c r="N600" i="1"/>
  <c r="P704" i="1"/>
  <c r="N704" i="1"/>
  <c r="P501" i="1"/>
  <c r="N501" i="1"/>
  <c r="P332" i="1"/>
  <c r="N332" i="1"/>
  <c r="P461" i="1"/>
  <c r="N461" i="1"/>
  <c r="O644" i="1"/>
  <c r="P645" i="1"/>
  <c r="P357" i="1"/>
  <c r="P749" i="1"/>
  <c r="O111" i="1"/>
  <c r="P112" i="1"/>
  <c r="P600" i="1"/>
  <c r="P1382" i="1"/>
  <c r="P558" i="1"/>
  <c r="P975" i="1"/>
  <c r="O130" i="1"/>
  <c r="P805" i="1"/>
  <c r="P87" i="1"/>
  <c r="P419" i="1"/>
  <c r="O1622" i="1"/>
  <c r="P911" i="1"/>
  <c r="P1337" i="1"/>
  <c r="P644" i="1"/>
  <c r="P439" i="1"/>
  <c r="P174" i="1"/>
  <c r="O581" i="1"/>
  <c r="P582" i="1"/>
  <c r="P1441" i="1"/>
  <c r="P1560" i="1"/>
  <c r="P619" i="1"/>
  <c r="P111" i="1"/>
  <c r="O539" i="1"/>
  <c r="P540" i="1"/>
  <c r="O394" i="1"/>
  <c r="P193" i="1"/>
  <c r="P258" i="1"/>
  <c r="P1094" i="1"/>
  <c r="P481" i="1"/>
  <c r="O501" i="1"/>
  <c r="O481" i="1"/>
  <c r="O439" i="1"/>
  <c r="O357" i="1"/>
  <c r="O150" i="1"/>
  <c r="O619" i="1"/>
  <c r="O724" i="1"/>
  <c r="O1560" i="1"/>
  <c r="O663" i="1"/>
  <c r="O975" i="1"/>
  <c r="O1200" i="1"/>
  <c r="O193" i="1"/>
  <c r="O258" i="1"/>
  <c r="O461" i="1"/>
  <c r="O704" i="1"/>
  <c r="O419" i="1"/>
  <c r="O1158" i="1"/>
  <c r="O237" i="1"/>
  <c r="O600" i="1"/>
  <c r="O749" i="1"/>
  <c r="O847" i="1"/>
  <c r="O87" i="1"/>
  <c r="U77" i="1"/>
  <c r="V77" i="1" s="1"/>
  <c r="Q78" i="1"/>
  <c r="R438" i="1"/>
  <c r="R643" i="1"/>
  <c r="R418" i="1"/>
  <c r="R110" i="1"/>
  <c r="R538" i="1"/>
  <c r="R662" i="1"/>
  <c r="R1157" i="1"/>
  <c r="R376" i="1"/>
  <c r="R480" i="1"/>
  <c r="R910" i="1"/>
  <c r="R500" i="1"/>
  <c r="R723" i="1"/>
  <c r="R192" i="1"/>
  <c r="R846" i="1"/>
  <c r="R1381" i="1"/>
  <c r="R1336" i="1"/>
  <c r="R356" i="1"/>
  <c r="R280" i="1"/>
  <c r="R1621" i="1"/>
  <c r="R86" i="1"/>
  <c r="R1559" i="1"/>
  <c r="R211" i="1"/>
  <c r="R1199" i="1"/>
  <c r="R1440" i="1"/>
  <c r="R393" i="1"/>
  <c r="R257" i="1"/>
  <c r="R1093" i="1"/>
  <c r="R129" i="1"/>
  <c r="R618" i="1"/>
  <c r="R974" i="1"/>
  <c r="R375" i="1"/>
  <c r="R599" i="1"/>
  <c r="R149" i="1"/>
  <c r="R580" i="1"/>
  <c r="R703" i="1"/>
  <c r="R236" i="1"/>
  <c r="O1382" i="1"/>
  <c r="O212" i="1"/>
  <c r="R748" i="1"/>
  <c r="R281" i="1"/>
  <c r="O332" i="1"/>
  <c r="O1337" i="1"/>
  <c r="R557" i="1"/>
  <c r="O558" i="1"/>
  <c r="R331" i="1"/>
  <c r="O174" i="1"/>
  <c r="R173" i="1"/>
  <c r="R460" i="1"/>
  <c r="O805" i="1"/>
  <c r="R804" i="1"/>
  <c r="R314" i="1"/>
  <c r="R313" i="1"/>
  <c r="O1094" i="1"/>
  <c r="O911" i="1"/>
  <c r="O1441" i="1"/>
  <c r="M420" i="1"/>
  <c r="M620" i="1"/>
  <c r="M502" i="1"/>
  <c r="N502" i="1" s="1"/>
  <c r="M131" i="1"/>
  <c r="N131" i="1" s="1"/>
  <c r="M1201" i="1"/>
  <c r="N1201" i="1" s="1"/>
  <c r="M912" i="1"/>
  <c r="N912" i="1" s="1"/>
  <c r="M1338" i="1"/>
  <c r="M725" i="1"/>
  <c r="M440" i="1"/>
  <c r="M238" i="1"/>
  <c r="M1159" i="1"/>
  <c r="M1561" i="1"/>
  <c r="M462" i="1"/>
  <c r="M559" i="1"/>
  <c r="N559" i="1" s="1"/>
  <c r="M482" i="1"/>
  <c r="M1442" i="1"/>
  <c r="M213" i="1"/>
  <c r="M333" i="1"/>
  <c r="N333" i="1" s="1"/>
  <c r="M705" i="1"/>
  <c r="M259" i="1"/>
  <c r="N259" i="1" s="1"/>
  <c r="M395" i="1"/>
  <c r="M88" i="1"/>
  <c r="N88" i="1" s="1"/>
  <c r="M848" i="1"/>
  <c r="M1623" i="1"/>
  <c r="N1623" i="1" s="1"/>
  <c r="M151" i="1"/>
  <c r="M976" i="1"/>
  <c r="M664" i="1"/>
  <c r="N664" i="1" s="1"/>
  <c r="P395" i="1" l="1"/>
  <c r="N395" i="1"/>
  <c r="P1562" i="1"/>
  <c r="N1561" i="1"/>
  <c r="P463" i="1"/>
  <c r="N462" i="1"/>
  <c r="P706" i="1"/>
  <c r="N705" i="1"/>
  <c r="P1160" i="1"/>
  <c r="N1159" i="1"/>
  <c r="P239" i="1"/>
  <c r="N238" i="1"/>
  <c r="P620" i="1"/>
  <c r="N620" i="1"/>
  <c r="P213" i="1"/>
  <c r="N213" i="1"/>
  <c r="P440" i="1"/>
  <c r="N440" i="1"/>
  <c r="P421" i="1"/>
  <c r="N420" i="1"/>
  <c r="P151" i="1"/>
  <c r="N151" i="1"/>
  <c r="P1442" i="1"/>
  <c r="N1442" i="1"/>
  <c r="P725" i="1"/>
  <c r="N725" i="1"/>
  <c r="P977" i="1"/>
  <c r="N976" i="1"/>
  <c r="P849" i="1"/>
  <c r="N848" i="1"/>
  <c r="P483" i="1"/>
  <c r="N482" i="1"/>
  <c r="P1339" i="1"/>
  <c r="N1338" i="1"/>
  <c r="P559" i="1"/>
  <c r="O131" i="1"/>
  <c r="P132" i="1"/>
  <c r="P848" i="1"/>
  <c r="O395" i="1"/>
  <c r="P1159" i="1"/>
  <c r="P482" i="1"/>
  <c r="P664" i="1"/>
  <c r="P502" i="1"/>
  <c r="P1338" i="1"/>
  <c r="P131" i="1"/>
  <c r="P976" i="1"/>
  <c r="P912" i="1"/>
  <c r="P1201" i="1"/>
  <c r="P88" i="1"/>
  <c r="P462" i="1"/>
  <c r="P420" i="1"/>
  <c r="O1623" i="1"/>
  <c r="P1623" i="1"/>
  <c r="P705" i="1"/>
  <c r="P259" i="1"/>
  <c r="P1561" i="1"/>
  <c r="P238" i="1"/>
  <c r="P333" i="1"/>
  <c r="O502" i="1"/>
  <c r="O151" i="1"/>
  <c r="O664" i="1"/>
  <c r="O440" i="1"/>
  <c r="O725" i="1"/>
  <c r="O620" i="1"/>
  <c r="O420" i="1"/>
  <c r="O482" i="1"/>
  <c r="O976" i="1"/>
  <c r="O462" i="1"/>
  <c r="O705" i="1"/>
  <c r="O1159" i="1"/>
  <c r="O1201" i="1"/>
  <c r="O238" i="1"/>
  <c r="O848" i="1"/>
  <c r="O88" i="1"/>
  <c r="U78" i="1"/>
  <c r="V78" i="1" s="1"/>
  <c r="Q79" i="1"/>
  <c r="R663" i="1"/>
  <c r="R847" i="1"/>
  <c r="R975" i="1"/>
  <c r="R112" i="1"/>
  <c r="R150" i="1"/>
  <c r="R87" i="1"/>
  <c r="R806" i="1"/>
  <c r="R194" i="1"/>
  <c r="R1200" i="1"/>
  <c r="R358" i="1"/>
  <c r="R645" i="1"/>
  <c r="R237" i="1"/>
  <c r="R582" i="1"/>
  <c r="R1158" i="1"/>
  <c r="R750" i="1"/>
  <c r="R461" i="1"/>
  <c r="R130" i="1"/>
  <c r="R600" i="1"/>
  <c r="R111" i="1"/>
  <c r="R394" i="1"/>
  <c r="R704" i="1"/>
  <c r="R1560" i="1"/>
  <c r="R1622" i="1"/>
  <c r="R357" i="1"/>
  <c r="R419" i="1"/>
  <c r="R644" i="1"/>
  <c r="R174" i="1"/>
  <c r="R193" i="1"/>
  <c r="R481" i="1"/>
  <c r="R911" i="1"/>
  <c r="R539" i="1"/>
  <c r="R581" i="1"/>
  <c r="R724" i="1"/>
  <c r="R540" i="1"/>
  <c r="R439" i="1"/>
  <c r="R601" i="1"/>
  <c r="R619" i="1"/>
  <c r="R501" i="1"/>
  <c r="R749" i="1"/>
  <c r="R258" i="1"/>
  <c r="R1383" i="1"/>
  <c r="R1382" i="1"/>
  <c r="R212" i="1"/>
  <c r="O213" i="1"/>
  <c r="O333" i="1"/>
  <c r="R332" i="1"/>
  <c r="R805" i="1"/>
  <c r="O1338" i="1"/>
  <c r="O559" i="1"/>
  <c r="R1337" i="1"/>
  <c r="R558" i="1"/>
  <c r="R175" i="1"/>
  <c r="R1095" i="1"/>
  <c r="R1094" i="1"/>
  <c r="R1441" i="1"/>
  <c r="O912" i="1"/>
  <c r="O259" i="1"/>
  <c r="O1561" i="1"/>
  <c r="O1442" i="1"/>
  <c r="M665" i="1"/>
  <c r="M441" i="1"/>
  <c r="M89" i="1"/>
  <c r="N89" i="1" s="1"/>
  <c r="M560" i="1"/>
  <c r="N560" i="1" s="1"/>
  <c r="M152" i="1"/>
  <c r="N152" i="1" s="1"/>
  <c r="M621" i="1"/>
  <c r="N621" i="1" s="1"/>
  <c r="M334" i="1"/>
  <c r="N334" i="1" s="1"/>
  <c r="M913" i="1"/>
  <c r="M1624" i="1"/>
  <c r="M396" i="1"/>
  <c r="M260" i="1"/>
  <c r="M1443" i="1"/>
  <c r="M726" i="1"/>
  <c r="M1202" i="1"/>
  <c r="M503" i="1"/>
  <c r="M214" i="1"/>
  <c r="N214" i="1" s="1"/>
  <c r="P1624" i="1" l="1"/>
  <c r="N1624" i="1"/>
  <c r="P665" i="1"/>
  <c r="N665" i="1"/>
  <c r="P914" i="1"/>
  <c r="N913" i="1"/>
  <c r="P503" i="1"/>
  <c r="N503" i="1"/>
  <c r="P1203" i="1"/>
  <c r="N1202" i="1"/>
  <c r="P1444" i="1"/>
  <c r="N1443" i="1"/>
  <c r="P260" i="1"/>
  <c r="N260" i="1"/>
  <c r="P726" i="1"/>
  <c r="N726" i="1"/>
  <c r="P396" i="1"/>
  <c r="N396" i="1"/>
  <c r="P441" i="1"/>
  <c r="N441" i="1"/>
  <c r="P1443" i="1"/>
  <c r="P152" i="1"/>
  <c r="P1202" i="1"/>
  <c r="P214" i="1"/>
  <c r="P621" i="1"/>
  <c r="P334" i="1"/>
  <c r="P913" i="1"/>
  <c r="P560" i="1"/>
  <c r="O503" i="1"/>
  <c r="O396" i="1"/>
  <c r="O1624" i="1"/>
  <c r="P1625" i="1"/>
  <c r="P89" i="1"/>
  <c r="O152" i="1"/>
  <c r="O665" i="1"/>
  <c r="O726" i="1"/>
  <c r="O441" i="1"/>
  <c r="O621" i="1"/>
  <c r="O1443" i="1"/>
  <c r="O1202" i="1"/>
  <c r="O260" i="1"/>
  <c r="O89" i="1"/>
  <c r="U79" i="1"/>
  <c r="V79" i="1" s="1"/>
  <c r="Q80" i="1"/>
  <c r="O214" i="1"/>
  <c r="R131" i="1"/>
  <c r="R706" i="1"/>
  <c r="R502" i="1"/>
  <c r="R1159" i="1"/>
  <c r="O560" i="1"/>
  <c r="R848" i="1"/>
  <c r="R1623" i="1"/>
  <c r="R725" i="1"/>
  <c r="R132" i="1"/>
  <c r="R482" i="1"/>
  <c r="R1561" i="1"/>
  <c r="R88" i="1"/>
  <c r="R1160" i="1"/>
  <c r="R239" i="1"/>
  <c r="R976" i="1"/>
  <c r="R849" i="1"/>
  <c r="R238" i="1"/>
  <c r="R440" i="1"/>
  <c r="R620" i="1"/>
  <c r="R151" i="1"/>
  <c r="R705" i="1"/>
  <c r="R395" i="1"/>
  <c r="R664" i="1"/>
  <c r="R213" i="1"/>
  <c r="R421" i="1"/>
  <c r="R977" i="1"/>
  <c r="R420" i="1"/>
  <c r="O334" i="1"/>
  <c r="R462" i="1"/>
  <c r="R1201" i="1"/>
  <c r="R463" i="1"/>
  <c r="R483" i="1"/>
  <c r="R333" i="1"/>
  <c r="R559" i="1"/>
  <c r="R1339" i="1"/>
  <c r="R1338" i="1"/>
  <c r="R259" i="1"/>
  <c r="R1442" i="1"/>
  <c r="O913" i="1"/>
  <c r="R912" i="1"/>
  <c r="R1562" i="1"/>
  <c r="S1189" i="1"/>
  <c r="S1200" i="1"/>
  <c r="S1179" i="1"/>
  <c r="S1195" i="1"/>
  <c r="S1191" i="1"/>
  <c r="S1201" i="1"/>
  <c r="S1155" i="1"/>
  <c r="S1154" i="1"/>
  <c r="S1160" i="1"/>
  <c r="S1161" i="1"/>
  <c r="S1164" i="1"/>
  <c r="S1163" i="1"/>
  <c r="S1162" i="1"/>
  <c r="S1172" i="1"/>
  <c r="S1166" i="1"/>
  <c r="S1165" i="1"/>
  <c r="S1167" i="1"/>
  <c r="S1183" i="1"/>
  <c r="S1184" i="1"/>
  <c r="S1173" i="1"/>
  <c r="S1180" i="1"/>
  <c r="S1192" i="1"/>
  <c r="S1185" i="1"/>
  <c r="S1193" i="1"/>
  <c r="S1196" i="1"/>
  <c r="S1186" i="1"/>
  <c r="S1168" i="1"/>
  <c r="S1194" i="1"/>
  <c r="S1174" i="1"/>
  <c r="S1169" i="1"/>
  <c r="S1170" i="1"/>
  <c r="S1182" i="1"/>
  <c r="S1187" i="1"/>
  <c r="S1176" i="1"/>
  <c r="S1175" i="1"/>
  <c r="S1178" i="1"/>
  <c r="S1188" i="1"/>
  <c r="S1181" i="1"/>
  <c r="S1156" i="1"/>
  <c r="S1171" i="1"/>
  <c r="S1190" i="1"/>
  <c r="S1197" i="1"/>
  <c r="S1158" i="1"/>
  <c r="S1159" i="1"/>
  <c r="S1199" i="1"/>
  <c r="S1157" i="1"/>
  <c r="S1198" i="1"/>
  <c r="S1177" i="1"/>
  <c r="M442" i="1"/>
  <c r="M335" i="1"/>
  <c r="N335" i="1" s="1"/>
  <c r="M397" i="1"/>
  <c r="M622" i="1"/>
  <c r="M504" i="1"/>
  <c r="N504" i="1" s="1"/>
  <c r="M261" i="1"/>
  <c r="N261" i="1" s="1"/>
  <c r="M561" i="1"/>
  <c r="M90" i="1"/>
  <c r="N90" i="1" s="1"/>
  <c r="M727" i="1"/>
  <c r="N727" i="1" s="1"/>
  <c r="M153" i="1"/>
  <c r="M215" i="1"/>
  <c r="M666" i="1"/>
  <c r="P153" i="1" l="1"/>
  <c r="N153" i="1"/>
  <c r="P443" i="1"/>
  <c r="N442" i="1"/>
  <c r="P561" i="1"/>
  <c r="N561" i="1"/>
  <c r="P622" i="1"/>
  <c r="N622" i="1"/>
  <c r="P666" i="1"/>
  <c r="N666" i="1"/>
  <c r="P215" i="1"/>
  <c r="N215" i="1"/>
  <c r="P397" i="1"/>
  <c r="N397" i="1"/>
  <c r="P442" i="1"/>
  <c r="P727" i="1"/>
  <c r="O504" i="1"/>
  <c r="P261" i="1"/>
  <c r="P90" i="1"/>
  <c r="P504" i="1"/>
  <c r="O397" i="1"/>
  <c r="P335" i="1"/>
  <c r="T1190" i="1"/>
  <c r="T1198" i="1"/>
  <c r="T1199" i="1"/>
  <c r="T1184" i="1"/>
  <c r="T1185" i="1"/>
  <c r="T1192" i="1"/>
  <c r="T1201" i="1"/>
  <c r="T1197" i="1"/>
  <c r="T1186" i="1"/>
  <c r="T1200" i="1"/>
  <c r="T1187" i="1"/>
  <c r="T1196" i="1"/>
  <c r="T1189" i="1"/>
  <c r="T1193" i="1"/>
  <c r="T1188" i="1"/>
  <c r="T1191" i="1"/>
  <c r="T1194" i="1"/>
  <c r="T1195" i="1"/>
  <c r="O622" i="1"/>
  <c r="O442" i="1"/>
  <c r="O153" i="1"/>
  <c r="O727" i="1"/>
  <c r="O261" i="1"/>
  <c r="O90" i="1"/>
  <c r="O215" i="1"/>
  <c r="O335" i="1"/>
  <c r="O561" i="1"/>
  <c r="U80" i="1"/>
  <c r="V80" i="1" s="1"/>
  <c r="Q81" i="1"/>
  <c r="R1202" i="1"/>
  <c r="R503" i="1"/>
  <c r="R1444" i="1"/>
  <c r="R260" i="1"/>
  <c r="R1625" i="1"/>
  <c r="R1624" i="1"/>
  <c r="R621" i="1"/>
  <c r="R214" i="1"/>
  <c r="R1203" i="1"/>
  <c r="R441" i="1"/>
  <c r="R560" i="1"/>
  <c r="R152" i="1"/>
  <c r="R913" i="1"/>
  <c r="R726" i="1"/>
  <c r="R1443" i="1"/>
  <c r="R334" i="1"/>
  <c r="R396" i="1"/>
  <c r="R665" i="1"/>
  <c r="R89" i="1"/>
  <c r="O666" i="1"/>
  <c r="R914" i="1"/>
  <c r="T1183" i="1" s="1"/>
  <c r="S1287" i="1"/>
  <c r="S985" i="1"/>
  <c r="S1564" i="1"/>
  <c r="S1357" i="1"/>
  <c r="S1420" i="1"/>
  <c r="S1396" i="1"/>
  <c r="S1378" i="1"/>
  <c r="S1415" i="1"/>
  <c r="T1415" i="1" s="1"/>
  <c r="S1393" i="1"/>
  <c r="S1337" i="1"/>
  <c r="S1355" i="1"/>
  <c r="S1379" i="1"/>
  <c r="S1342" i="1"/>
  <c r="S1432" i="1"/>
  <c r="S1364" i="1"/>
  <c r="S1439" i="1"/>
  <c r="T1439" i="1" s="1"/>
  <c r="S1405" i="1"/>
  <c r="S1246" i="1"/>
  <c r="S1226" i="1"/>
  <c r="S1588" i="1"/>
  <c r="S1399" i="1"/>
  <c r="S1070" i="1"/>
  <c r="S1049" i="1"/>
  <c r="S1623" i="1"/>
  <c r="S1606" i="1"/>
  <c r="S1650" i="1"/>
  <c r="S1441" i="1"/>
  <c r="S1202" i="1"/>
  <c r="S1237" i="1"/>
  <c r="S1388" i="1"/>
  <c r="S1411" i="1"/>
  <c r="S1427" i="1"/>
  <c r="T1427" i="1" s="1"/>
  <c r="S1423" i="1"/>
  <c r="S1225" i="1"/>
  <c r="S1059" i="1"/>
  <c r="S997" i="1"/>
  <c r="S1000" i="1"/>
  <c r="S1011" i="1"/>
  <c r="S1067" i="1"/>
  <c r="S980" i="1"/>
  <c r="S1397" i="1"/>
  <c r="S1274" i="1"/>
  <c r="S1086" i="1"/>
  <c r="S1645" i="1"/>
  <c r="S1527" i="1"/>
  <c r="S1136" i="1"/>
  <c r="S1590" i="1"/>
  <c r="S1324" i="1"/>
  <c r="T1324" i="1" s="1"/>
  <c r="S1003" i="1"/>
  <c r="S1087" i="1"/>
  <c r="S1111" i="1"/>
  <c r="S1384" i="1"/>
  <c r="S1331" i="1"/>
  <c r="S1290" i="1"/>
  <c r="S1573" i="1"/>
  <c r="S1125" i="1"/>
  <c r="S1404" i="1"/>
  <c r="S1091" i="1"/>
  <c r="S1385" i="1"/>
  <c r="S1435" i="1"/>
  <c r="S1437" i="1"/>
  <c r="S1616" i="1"/>
  <c r="S1609" i="1"/>
  <c r="S1614" i="1"/>
  <c r="S1567" i="1"/>
  <c r="S1321" i="1"/>
  <c r="S1377" i="1"/>
  <c r="S1351" i="1"/>
  <c r="S1369" i="1"/>
  <c r="S1343" i="1"/>
  <c r="S982" i="1"/>
  <c r="S973" i="1"/>
  <c r="S996" i="1"/>
  <c r="S1354" i="1"/>
  <c r="S1223" i="1"/>
  <c r="S1214" i="1"/>
  <c r="S1081" i="1"/>
  <c r="S1039" i="1"/>
  <c r="S1001" i="1"/>
  <c r="S1055" i="1"/>
  <c r="T1055" i="1" s="1"/>
  <c r="S994" i="1"/>
  <c r="S1029" i="1"/>
  <c r="S1069" i="1"/>
  <c r="S1036" i="1"/>
  <c r="T1036" i="1" s="1"/>
  <c r="S1077" i="1"/>
  <c r="S1006" i="1"/>
  <c r="S1586" i="1"/>
  <c r="S1045" i="1"/>
  <c r="T1045" i="1" s="1"/>
  <c r="S1654" i="1"/>
  <c r="S1617" i="1"/>
  <c r="S1398" i="1"/>
  <c r="S1556" i="1"/>
  <c r="S1560" i="1"/>
  <c r="S1336" i="1"/>
  <c r="S1135" i="1"/>
  <c r="S1360" i="1"/>
  <c r="T1360" i="1" s="1"/>
  <c r="S1083" i="1"/>
  <c r="S1406" i="1"/>
  <c r="S1414" i="1"/>
  <c r="S1380" i="1"/>
  <c r="S1134" i="1"/>
  <c r="S1151" i="1"/>
  <c r="S1093" i="1"/>
  <c r="S1362" i="1"/>
  <c r="T1362" i="1" s="1"/>
  <c r="S1615" i="1"/>
  <c r="S1228" i="1"/>
  <c r="S1372" i="1"/>
  <c r="S1431" i="1"/>
  <c r="S1595" i="1"/>
  <c r="S1604" i="1"/>
  <c r="S1596" i="1"/>
  <c r="S1571" i="1"/>
  <c r="S1566" i="1"/>
  <c r="S1097" i="1"/>
  <c r="S1361" i="1"/>
  <c r="S1402" i="1"/>
  <c r="S1376" i="1"/>
  <c r="S1370" i="1"/>
  <c r="S1340" i="1"/>
  <c r="S974" i="1"/>
  <c r="S1115" i="1"/>
  <c r="S1591" i="1"/>
  <c r="T1591" i="1" s="1"/>
  <c r="S1605" i="1"/>
  <c r="S1613" i="1"/>
  <c r="S1021" i="1"/>
  <c r="T1021" i="1" s="1"/>
  <c r="S984" i="1"/>
  <c r="S1010" i="1"/>
  <c r="T1010" i="1" s="1"/>
  <c r="S1152" i="1"/>
  <c r="T1152" i="1" s="1"/>
  <c r="S1139" i="1"/>
  <c r="T1139" i="1" s="1"/>
  <c r="S1099" i="1"/>
  <c r="T1099" i="1" s="1"/>
  <c r="S1123" i="1"/>
  <c r="T1123" i="1" s="1"/>
  <c r="S1028" i="1"/>
  <c r="T1028" i="1" s="1"/>
  <c r="S1044" i="1"/>
  <c r="T1044" i="1" s="1"/>
  <c r="S1084" i="1"/>
  <c r="T1084" i="1" s="1"/>
  <c r="S1128" i="1"/>
  <c r="T1128" i="1" s="1"/>
  <c r="S1034" i="1"/>
  <c r="T1034" i="1" s="1"/>
  <c r="S1625" i="1"/>
  <c r="S1626" i="1"/>
  <c r="S1628" i="1"/>
  <c r="S1627" i="1"/>
  <c r="S1629" i="1"/>
  <c r="S1630" i="1"/>
  <c r="S1631" i="1"/>
  <c r="S1633" i="1"/>
  <c r="S1632" i="1"/>
  <c r="S1634" i="1"/>
  <c r="S1635" i="1"/>
  <c r="S1637" i="1"/>
  <c r="S1636" i="1"/>
  <c r="S1655" i="1"/>
  <c r="S1639" i="1"/>
  <c r="S1638" i="1"/>
  <c r="S1658" i="1"/>
  <c r="S1661" i="1"/>
  <c r="S1657" i="1"/>
  <c r="S1643" i="1"/>
  <c r="S1642" i="1"/>
  <c r="S1641" i="1"/>
  <c r="S1644" i="1"/>
  <c r="S1656" i="1"/>
  <c r="S1640" i="1"/>
  <c r="S1575" i="1"/>
  <c r="T1575" i="1" s="1"/>
  <c r="S1076" i="1"/>
  <c r="T1076" i="1" s="1"/>
  <c r="S1113" i="1"/>
  <c r="T1113" i="1" s="1"/>
  <c r="S1020" i="1"/>
  <c r="T1020" i="1" s="1"/>
  <c r="S1051" i="1"/>
  <c r="T1051" i="1" s="1"/>
  <c r="S995" i="1"/>
  <c r="S993" i="1"/>
  <c r="S1050" i="1"/>
  <c r="T1050" i="1" s="1"/>
  <c r="S1037" i="1"/>
  <c r="T1037" i="1" s="1"/>
  <c r="S1016" i="1"/>
  <c r="T1016" i="1" s="1"/>
  <c r="S1078" i="1"/>
  <c r="T1078" i="1" s="1"/>
  <c r="S1007" i="1"/>
  <c r="T1007" i="1" s="1"/>
  <c r="S1212" i="1"/>
  <c r="S1528" i="1"/>
  <c r="S1608" i="1"/>
  <c r="S1619" i="1"/>
  <c r="S1548" i="1"/>
  <c r="T1548" i="1" s="1"/>
  <c r="S1383" i="1"/>
  <c r="S1124" i="1"/>
  <c r="T1124" i="1" s="1"/>
  <c r="S1358" i="1"/>
  <c r="S1023" i="1"/>
  <c r="T1023" i="1" s="1"/>
  <c r="S1148" i="1"/>
  <c r="T1148" i="1" s="1"/>
  <c r="S1363" i="1"/>
  <c r="T1363" i="1" s="1"/>
  <c r="S1434" i="1"/>
  <c r="S1382" i="1"/>
  <c r="S1117" i="1"/>
  <c r="T1117" i="1" s="1"/>
  <c r="S1118" i="1"/>
  <c r="T1118" i="1" s="1"/>
  <c r="S1332" i="1"/>
  <c r="S1386" i="1"/>
  <c r="S1052" i="1"/>
  <c r="T1052" i="1" s="1"/>
  <c r="S1256" i="1"/>
  <c r="T1256" i="1" s="1"/>
  <c r="S1407" i="1"/>
  <c r="S1400" i="1"/>
  <c r="S1648" i="1"/>
  <c r="S1273" i="1"/>
  <c r="S1440" i="1"/>
  <c r="S1607" i="1"/>
  <c r="S1610" i="1"/>
  <c r="S1579" i="1"/>
  <c r="S1144" i="1"/>
  <c r="T1144" i="1" s="1"/>
  <c r="S1014" i="1"/>
  <c r="T1014" i="1" s="1"/>
  <c r="S1105" i="1"/>
  <c r="T1105" i="1" s="1"/>
  <c r="S1490" i="1"/>
  <c r="S1349" i="1"/>
  <c r="S1403" i="1"/>
  <c r="S1348" i="1"/>
  <c r="S1341" i="1"/>
  <c r="T1341" i="1" s="1"/>
  <c r="S1368" i="1"/>
  <c r="S1032" i="1"/>
  <c r="T1032" i="1" s="1"/>
  <c r="S1058" i="1"/>
  <c r="T1058" i="1" s="1"/>
  <c r="S1120" i="1"/>
  <c r="T1120" i="1" s="1"/>
  <c r="S1569" i="1"/>
  <c r="S1022" i="1"/>
  <c r="T1022" i="1" s="1"/>
  <c r="S1005" i="1"/>
  <c r="T1005" i="1" s="1"/>
  <c r="S1443" i="1"/>
  <c r="T1443" i="1" s="1"/>
  <c r="S1558" i="1"/>
  <c r="S1523" i="1"/>
  <c r="T1523" i="1" s="1"/>
  <c r="S1589" i="1"/>
  <c r="S1494" i="1"/>
  <c r="S1659" i="1"/>
  <c r="S1473" i="1"/>
  <c r="S1484" i="1"/>
  <c r="S1652" i="1"/>
  <c r="S1624" i="1"/>
  <c r="S1365" i="1"/>
  <c r="S1559" i="1"/>
  <c r="S1461" i="1"/>
  <c r="S1140" i="1"/>
  <c r="T1140" i="1" s="1"/>
  <c r="S1062" i="1"/>
  <c r="T1062" i="1" s="1"/>
  <c r="S999" i="1"/>
  <c r="S1074" i="1"/>
  <c r="T1074" i="1" s="1"/>
  <c r="S1066" i="1"/>
  <c r="T1066" i="1" s="1"/>
  <c r="S983" i="1"/>
  <c r="S1073" i="1"/>
  <c r="T1073" i="1" s="1"/>
  <c r="S1060" i="1"/>
  <c r="T1060" i="1" s="1"/>
  <c r="S1017" i="1"/>
  <c r="T1017" i="1" s="1"/>
  <c r="S1009" i="1"/>
  <c r="T1009" i="1" s="1"/>
  <c r="S978" i="1"/>
  <c r="S1211" i="1"/>
  <c r="T1211" i="1" s="1"/>
  <c r="S1101" i="1"/>
  <c r="T1101" i="1" s="1"/>
  <c r="S1622" i="1"/>
  <c r="T1622" i="1" s="1"/>
  <c r="S1138" i="1"/>
  <c r="T1138" i="1" s="1"/>
  <c r="S975" i="1"/>
  <c r="S1647" i="1"/>
  <c r="S1338" i="1"/>
  <c r="S1100" i="1"/>
  <c r="T1100" i="1" s="1"/>
  <c r="S1389" i="1"/>
  <c r="T1389" i="1" s="1"/>
  <c r="S1227" i="1"/>
  <c r="S1033" i="1"/>
  <c r="T1033" i="1" s="1"/>
  <c r="S1126" i="1"/>
  <c r="T1126" i="1" s="1"/>
  <c r="S1236" i="1"/>
  <c r="S1433" i="1"/>
  <c r="S1063" i="1"/>
  <c r="T1063" i="1" s="1"/>
  <c r="S1330" i="1"/>
  <c r="S1127" i="1"/>
  <c r="T1127" i="1" s="1"/>
  <c r="S1392" i="1"/>
  <c r="S1390" i="1"/>
  <c r="S1035" i="1"/>
  <c r="T1035" i="1" s="1"/>
  <c r="S1095" i="1"/>
  <c r="T1095" i="1" s="1"/>
  <c r="S1419" i="1"/>
  <c r="S1401" i="1"/>
  <c r="S1149" i="1"/>
  <c r="T1149" i="1" s="1"/>
  <c r="S1580" i="1"/>
  <c r="S1603" i="1"/>
  <c r="S1600" i="1"/>
  <c r="T1600" i="1" s="1"/>
  <c r="S1563" i="1"/>
  <c r="S1150" i="1"/>
  <c r="T1150" i="1" s="1"/>
  <c r="S1335" i="1"/>
  <c r="S1416" i="1"/>
  <c r="S1409" i="1"/>
  <c r="S1347" i="1"/>
  <c r="T1347" i="1" s="1"/>
  <c r="S1339" i="1"/>
  <c r="S1462" i="1"/>
  <c r="S1153" i="1"/>
  <c r="T1153" i="1" s="1"/>
  <c r="S1048" i="1"/>
  <c r="T1048" i="1" s="1"/>
  <c r="S1133" i="1"/>
  <c r="T1133" i="1" s="1"/>
  <c r="S1026" i="1"/>
  <c r="T1026" i="1" s="1"/>
  <c r="S971" i="1"/>
  <c r="S1146" i="1"/>
  <c r="T1146" i="1" s="1"/>
  <c r="S1056" i="1"/>
  <c r="T1056" i="1" s="1"/>
  <c r="S986" i="1"/>
  <c r="S1538" i="1"/>
  <c r="S1464" i="1"/>
  <c r="S1442" i="1"/>
  <c r="S1203" i="1"/>
  <c r="S1205" i="1"/>
  <c r="S1204" i="1"/>
  <c r="T1204" i="1" s="1"/>
  <c r="S1325" i="1"/>
  <c r="S1248" i="1"/>
  <c r="S1238" i="1"/>
  <c r="S1206" i="1"/>
  <c r="S1257" i="1"/>
  <c r="S1267" i="1"/>
  <c r="S1269" i="1"/>
  <c r="S1249" i="1"/>
  <c r="T1249" i="1" s="1"/>
  <c r="S1306" i="1"/>
  <c r="S1326" i="1"/>
  <c r="S1275" i="1"/>
  <c r="S1217" i="1"/>
  <c r="S1311" i="1"/>
  <c r="S1240" i="1"/>
  <c r="S1294" i="1"/>
  <c r="S1239" i="1"/>
  <c r="T1239" i="1" s="1"/>
  <c r="S1312" i="1"/>
  <c r="S1229" i="1"/>
  <c r="S1307" i="1"/>
  <c r="S1251" i="1"/>
  <c r="S1218" i="1"/>
  <c r="S1233" i="1"/>
  <c r="S1266" i="1"/>
  <c r="S1293" i="1"/>
  <c r="T1293" i="1" s="1"/>
  <c r="S1208" i="1"/>
  <c r="S1230" i="1"/>
  <c r="S1258" i="1"/>
  <c r="S1250" i="1"/>
  <c r="S1288" i="1"/>
  <c r="S1207" i="1"/>
  <c r="S1303" i="1"/>
  <c r="S1292" i="1"/>
  <c r="T1292" i="1" s="1"/>
  <c r="S1270" i="1"/>
  <c r="S1284" i="1"/>
  <c r="S1281" i="1"/>
  <c r="S1298" i="1"/>
  <c r="S1241" i="1"/>
  <c r="S1304" i="1"/>
  <c r="S1328" i="1"/>
  <c r="S1300" i="1"/>
  <c r="T1300" i="1" s="1"/>
  <c r="S1280" i="1"/>
  <c r="S1264" i="1"/>
  <c r="S1310" i="1"/>
  <c r="S1299" i="1"/>
  <c r="S1245" i="1"/>
  <c r="S1297" i="1"/>
  <c r="S1232" i="1"/>
  <c r="S1231" i="1"/>
  <c r="T1231" i="1" s="1"/>
  <c r="S1262" i="1"/>
  <c r="S1247" i="1"/>
  <c r="S1252" i="1"/>
  <c r="S1302" i="1"/>
  <c r="S1286" i="1"/>
  <c r="S1220" i="1"/>
  <c r="S1234" i="1"/>
  <c r="S1276" i="1"/>
  <c r="T1276" i="1" s="1"/>
  <c r="S1265" i="1"/>
  <c r="S1308" i="1"/>
  <c r="S1289" i="1"/>
  <c r="S1296" i="1"/>
  <c r="S1285" i="1"/>
  <c r="S1219" i="1"/>
  <c r="S1261" i="1"/>
  <c r="S1295" i="1"/>
  <c r="T1295" i="1" s="1"/>
  <c r="S1277" i="1"/>
  <c r="S1243" i="1"/>
  <c r="S1271" i="1"/>
  <c r="S1235" i="1"/>
  <c r="S1316" i="1"/>
  <c r="S1260" i="1"/>
  <c r="S1279" i="1"/>
  <c r="S1272" i="1"/>
  <c r="T1272" i="1" s="1"/>
  <c r="S1329" i="1"/>
  <c r="S1209" i="1"/>
  <c r="S1221" i="1"/>
  <c r="S1259" i="1"/>
  <c r="S1253" i="1"/>
  <c r="S1244" i="1"/>
  <c r="S1323" i="1"/>
  <c r="S1278" i="1"/>
  <c r="T1278" i="1" s="1"/>
  <c r="S1322" i="1"/>
  <c r="S1263" i="1"/>
  <c r="S1315" i="1"/>
  <c r="S1301" i="1"/>
  <c r="S1319" i="1"/>
  <c r="S1313" i="1"/>
  <c r="S1254" i="1"/>
  <c r="S1283" i="1"/>
  <c r="T1283" i="1" s="1"/>
  <c r="S1318" i="1"/>
  <c r="S1309" i="1"/>
  <c r="S1282" i="1"/>
  <c r="S1242" i="1"/>
  <c r="S1210" i="1"/>
  <c r="S1291" i="1"/>
  <c r="S1429" i="1"/>
  <c r="S1317" i="1"/>
  <c r="T1317" i="1" s="1"/>
  <c r="S1359" i="1"/>
  <c r="S1653" i="1"/>
  <c r="T1653" i="1" s="1"/>
  <c r="S1222" i="1"/>
  <c r="S1071" i="1"/>
  <c r="T1071" i="1" s="1"/>
  <c r="S1106" i="1"/>
  <c r="T1106" i="1" s="1"/>
  <c r="S1027" i="1"/>
  <c r="T1027" i="1" s="1"/>
  <c r="S1041" i="1"/>
  <c r="T1041" i="1" s="1"/>
  <c r="S1019" i="1"/>
  <c r="T1019" i="1" s="1"/>
  <c r="S1012" i="1"/>
  <c r="T1012" i="1" s="1"/>
  <c r="S1018" i="1"/>
  <c r="T1018" i="1" s="1"/>
  <c r="S981" i="1"/>
  <c r="S979" i="1"/>
  <c r="S977" i="1"/>
  <c r="S976" i="1"/>
  <c r="S1103" i="1"/>
  <c r="T1103" i="1" s="1"/>
  <c r="S1394" i="1"/>
  <c r="T1394" i="1" s="1"/>
  <c r="S1413" i="1"/>
  <c r="S1255" i="1"/>
  <c r="S1618" i="1"/>
  <c r="S1561" i="1"/>
  <c r="S1577" i="1"/>
  <c r="S1104" i="1"/>
  <c r="T1104" i="1" s="1"/>
  <c r="S1422" i="1"/>
  <c r="S1025" i="1"/>
  <c r="T1025" i="1" s="1"/>
  <c r="S988" i="1"/>
  <c r="S1373" i="1"/>
  <c r="S1121" i="1"/>
  <c r="T1121" i="1" s="1"/>
  <c r="S1350" i="1"/>
  <c r="S1418" i="1"/>
  <c r="S1430" i="1"/>
  <c r="S1064" i="1"/>
  <c r="T1064" i="1" s="1"/>
  <c r="S1109" i="1"/>
  <c r="T1109" i="1" s="1"/>
  <c r="S1137" i="1"/>
  <c r="T1137" i="1" s="1"/>
  <c r="S1333" i="1"/>
  <c r="S1082" i="1"/>
  <c r="T1082" i="1" s="1"/>
  <c r="S1268" i="1"/>
  <c r="S1612" i="1"/>
  <c r="S1601" i="1"/>
  <c r="S1593" i="1"/>
  <c r="S1565" i="1"/>
  <c r="S1620" i="1"/>
  <c r="S1410" i="1"/>
  <c r="S1421" i="1"/>
  <c r="S1352" i="1"/>
  <c r="S1346" i="1"/>
  <c r="S1578" i="1"/>
  <c r="S1047" i="1"/>
  <c r="T1047" i="1" s="1"/>
  <c r="S1096" i="1"/>
  <c r="T1096" i="1" s="1"/>
  <c r="S1444" i="1"/>
  <c r="S1446" i="1"/>
  <c r="S1447" i="1"/>
  <c r="S1445" i="1"/>
  <c r="S1449" i="1"/>
  <c r="S1450" i="1"/>
  <c r="S1451" i="1"/>
  <c r="S1448" i="1"/>
  <c r="S1453" i="1"/>
  <c r="S1452" i="1"/>
  <c r="S1455" i="1"/>
  <c r="S1456" i="1"/>
  <c r="S1454" i="1"/>
  <c r="S1477" i="1"/>
  <c r="S1476" i="1"/>
  <c r="S1530" i="1"/>
  <c r="S1478" i="1"/>
  <c r="S1457" i="1"/>
  <c r="S1536" i="1"/>
  <c r="S1549" i="1"/>
  <c r="S1495" i="1"/>
  <c r="S1497" i="1"/>
  <c r="S1550" i="1"/>
  <c r="S1537" i="1"/>
  <c r="S1479" i="1"/>
  <c r="S1518" i="1"/>
  <c r="T1518" i="1" s="1"/>
  <c r="S1515" i="1"/>
  <c r="S1547" i="1"/>
  <c r="S1500" i="1"/>
  <c r="S1555" i="1"/>
  <c r="S1458" i="1"/>
  <c r="S1496" i="1"/>
  <c r="S1532" i="1"/>
  <c r="S1514" i="1"/>
  <c r="T1514" i="1" s="1"/>
  <c r="S1517" i="1"/>
  <c r="S1551" i="1"/>
  <c r="S1505" i="1"/>
  <c r="S1516" i="1"/>
  <c r="S1545" i="1"/>
  <c r="S1498" i="1"/>
  <c r="S1543" i="1"/>
  <c r="S1552" i="1"/>
  <c r="T1552" i="1" s="1"/>
  <c r="S1502" i="1"/>
  <c r="S1510" i="1"/>
  <c r="S1504" i="1"/>
  <c r="S1465" i="1"/>
  <c r="S1482" i="1"/>
  <c r="S1533" i="1"/>
  <c r="S1542" i="1"/>
  <c r="S1534" i="1"/>
  <c r="T1534" i="1" s="1"/>
  <c r="S1540" i="1"/>
  <c r="S1507" i="1"/>
  <c r="S1511" i="1"/>
  <c r="S1509" i="1"/>
  <c r="S1499" i="1"/>
  <c r="S1506" i="1"/>
  <c r="S1531" i="1"/>
  <c r="S1519" i="1"/>
  <c r="T1519" i="1" s="1"/>
  <c r="S1539" i="1"/>
  <c r="S1501" i="1"/>
  <c r="S1544" i="1"/>
  <c r="S1508" i="1"/>
  <c r="S1483" i="1"/>
  <c r="S1459" i="1"/>
  <c r="S1460" i="1"/>
  <c r="S1463" i="1"/>
  <c r="S1492" i="1"/>
  <c r="S1469" i="1"/>
  <c r="S1512" i="1"/>
  <c r="S1520" i="1"/>
  <c r="S1525" i="1"/>
  <c r="S1467" i="1"/>
  <c r="S1526" i="1"/>
  <c r="S1522" i="1"/>
  <c r="T1522" i="1" s="1"/>
  <c r="S1486" i="1"/>
  <c r="S1480" i="1"/>
  <c r="S1491" i="1"/>
  <c r="S1474" i="1"/>
  <c r="S1493" i="1"/>
  <c r="S1513" i="1"/>
  <c r="S1485" i="1"/>
  <c r="S1489" i="1"/>
  <c r="T1489" i="1" s="1"/>
  <c r="S1503" i="1"/>
  <c r="S1529" i="1"/>
  <c r="S1471" i="1"/>
  <c r="S1557" i="1"/>
  <c r="S1541" i="1"/>
  <c r="S1481" i="1"/>
  <c r="S1470" i="1"/>
  <c r="S1466" i="1"/>
  <c r="S1581" i="1"/>
  <c r="S1468" i="1"/>
  <c r="S1475" i="1"/>
  <c r="S1554" i="1"/>
  <c r="S1524" i="1"/>
  <c r="S1553" i="1"/>
  <c r="S1488" i="1"/>
  <c r="S1487" i="1"/>
  <c r="T1487" i="1" s="1"/>
  <c r="S1521" i="1"/>
  <c r="S1075" i="1"/>
  <c r="T1075" i="1" s="1"/>
  <c r="S1008" i="1"/>
  <c r="T1008" i="1" s="1"/>
  <c r="S1574" i="1"/>
  <c r="S1102" i="1"/>
  <c r="T1102" i="1" s="1"/>
  <c r="S1145" i="1"/>
  <c r="T1145" i="1" s="1"/>
  <c r="S1129" i="1"/>
  <c r="T1129" i="1" s="1"/>
  <c r="S1094" i="1"/>
  <c r="T1094" i="1" s="1"/>
  <c r="S1141" i="1"/>
  <c r="T1141" i="1" s="1"/>
  <c r="S1098" i="1"/>
  <c r="T1098" i="1" s="1"/>
  <c r="S1412" i="1"/>
  <c r="S1142" i="1"/>
  <c r="T1142" i="1" s="1"/>
  <c r="S1107" i="1"/>
  <c r="T1107" i="1" s="1"/>
  <c r="S1089" i="1"/>
  <c r="T1089" i="1" s="1"/>
  <c r="S1080" i="1"/>
  <c r="T1080" i="1" s="1"/>
  <c r="S1002" i="1"/>
  <c r="T1002" i="1" s="1"/>
  <c r="S1040" i="1"/>
  <c r="T1040" i="1" s="1"/>
  <c r="S1038" i="1"/>
  <c r="T1038" i="1" s="1"/>
  <c r="S1061" i="1"/>
  <c r="T1061" i="1" s="1"/>
  <c r="S1030" i="1"/>
  <c r="T1030" i="1" s="1"/>
  <c r="S1068" i="1"/>
  <c r="T1068" i="1" s="1"/>
  <c r="S991" i="1"/>
  <c r="S1216" i="1"/>
  <c r="S1215" i="1"/>
  <c r="T1215" i="1" s="1"/>
  <c r="S1646" i="1"/>
  <c r="S1426" i="1"/>
  <c r="S1112" i="1"/>
  <c r="T1112" i="1" s="1"/>
  <c r="S1587" i="1"/>
  <c r="S1535" i="1"/>
  <c r="S1408" i="1"/>
  <c r="T1408" i="1" s="1"/>
  <c r="S1425" i="1"/>
  <c r="S987" i="1"/>
  <c r="S1592" i="1"/>
  <c r="S1472" i="1"/>
  <c r="S1043" i="1"/>
  <c r="T1043" i="1" s="1"/>
  <c r="S1366" i="1"/>
  <c r="S1353" i="1"/>
  <c r="S1147" i="1"/>
  <c r="T1147" i="1" s="1"/>
  <c r="S972" i="1"/>
  <c r="S1130" i="1"/>
  <c r="T1130" i="1" s="1"/>
  <c r="S1110" i="1"/>
  <c r="T1110" i="1" s="1"/>
  <c r="S989" i="1"/>
  <c r="S1660" i="1"/>
  <c r="S1428" i="1"/>
  <c r="S1305" i="1"/>
  <c r="S1122" i="1"/>
  <c r="T1122" i="1" s="1"/>
  <c r="S1314" i="1"/>
  <c r="S1649" i="1"/>
  <c r="T1649" i="1" s="1"/>
  <c r="S1132" i="1"/>
  <c r="T1132" i="1" s="1"/>
  <c r="S1438" i="1"/>
  <c r="S1602" i="1"/>
  <c r="S1599" i="1"/>
  <c r="S1570" i="1"/>
  <c r="S1562" i="1"/>
  <c r="S1024" i="1"/>
  <c r="T1024" i="1" s="1"/>
  <c r="S1381" i="1"/>
  <c r="T1381" i="1" s="1"/>
  <c r="S1387" i="1"/>
  <c r="S1417" i="1"/>
  <c r="S1371" i="1"/>
  <c r="S1367" i="1"/>
  <c r="S1345" i="1"/>
  <c r="S1054" i="1"/>
  <c r="T1054" i="1" s="1"/>
  <c r="S992" i="1"/>
  <c r="S1651" i="1"/>
  <c r="T1651" i="1" s="1"/>
  <c r="S998" i="1"/>
  <c r="S1611" i="1"/>
  <c r="S1143" i="1"/>
  <c r="T1143" i="1" s="1"/>
  <c r="S1224" i="1"/>
  <c r="S1088" i="1"/>
  <c r="T1088" i="1" s="1"/>
  <c r="S1053" i="1"/>
  <c r="T1053" i="1" s="1"/>
  <c r="S1072" i="1"/>
  <c r="T1072" i="1" s="1"/>
  <c r="S1004" i="1"/>
  <c r="T1004" i="1" s="1"/>
  <c r="S1013" i="1"/>
  <c r="T1013" i="1" s="1"/>
  <c r="S1079" i="1"/>
  <c r="T1079" i="1" s="1"/>
  <c r="S1057" i="1"/>
  <c r="T1057" i="1" s="1"/>
  <c r="S1031" i="1"/>
  <c r="T1031" i="1" s="1"/>
  <c r="S1015" i="1"/>
  <c r="T1015" i="1" s="1"/>
  <c r="S990" i="1"/>
  <c r="S1395" i="1"/>
  <c r="S1597" i="1"/>
  <c r="T1597" i="1" s="1"/>
  <c r="S1391" i="1"/>
  <c r="S1583" i="1"/>
  <c r="S1114" i="1"/>
  <c r="T1114" i="1" s="1"/>
  <c r="S1584" i="1"/>
  <c r="S1546" i="1"/>
  <c r="S1092" i="1"/>
  <c r="T1092" i="1" s="1"/>
  <c r="S1621" i="1"/>
  <c r="S1119" i="1"/>
  <c r="T1119" i="1" s="1"/>
  <c r="S1662" i="1"/>
  <c r="S1085" i="1"/>
  <c r="T1085" i="1" s="1"/>
  <c r="S1334" i="1"/>
  <c r="S1327" i="1"/>
  <c r="S1598" i="1"/>
  <c r="S1585" i="1"/>
  <c r="S1046" i="1"/>
  <c r="T1046" i="1" s="1"/>
  <c r="S1090" i="1"/>
  <c r="T1090" i="1" s="1"/>
  <c r="S1131" i="1"/>
  <c r="T1131" i="1" s="1"/>
  <c r="S1108" i="1"/>
  <c r="T1108" i="1" s="1"/>
  <c r="S1213" i="1"/>
  <c r="S1576" i="1"/>
  <c r="S1582" i="1"/>
  <c r="S1320" i="1"/>
  <c r="T1320" i="1" s="1"/>
  <c r="S1436" i="1"/>
  <c r="S1572" i="1"/>
  <c r="T1572" i="1" s="1"/>
  <c r="S1594" i="1"/>
  <c r="S1568" i="1"/>
  <c r="S1042" i="1"/>
  <c r="T1042" i="1" s="1"/>
  <c r="S1116" i="1"/>
  <c r="T1116" i="1" s="1"/>
  <c r="S1374" i="1"/>
  <c r="S1424" i="1"/>
  <c r="T1424" i="1" s="1"/>
  <c r="S1065" i="1"/>
  <c r="T1065" i="1" s="1"/>
  <c r="S1356" i="1"/>
  <c r="T1356" i="1" s="1"/>
  <c r="S1375" i="1"/>
  <c r="T1375" i="1" s="1"/>
  <c r="S1344" i="1"/>
  <c r="T1344" i="1" s="1"/>
  <c r="M91" i="1"/>
  <c r="N91" i="1" s="1"/>
  <c r="M623" i="1"/>
  <c r="N623" i="1" s="1"/>
  <c r="M216" i="1"/>
  <c r="M262" i="1"/>
  <c r="M667" i="1"/>
  <c r="M336" i="1"/>
  <c r="N336" i="1" s="1"/>
  <c r="M398" i="1"/>
  <c r="N398" i="1" s="1"/>
  <c r="M505" i="1"/>
  <c r="N505" i="1" s="1"/>
  <c r="M562" i="1"/>
  <c r="M154" i="1"/>
  <c r="N154" i="1" s="1"/>
  <c r="M728" i="1"/>
  <c r="N728" i="1" s="1"/>
  <c r="P263" i="1" l="1"/>
  <c r="N262" i="1"/>
  <c r="P216" i="1"/>
  <c r="N216" i="1"/>
  <c r="P563" i="1"/>
  <c r="N562" i="1"/>
  <c r="P667" i="1"/>
  <c r="N667" i="1"/>
  <c r="P262" i="1"/>
  <c r="O728" i="1"/>
  <c r="O154" i="1"/>
  <c r="O623" i="1"/>
  <c r="P623" i="1"/>
  <c r="P562" i="1"/>
  <c r="O505" i="1"/>
  <c r="P728" i="1"/>
  <c r="O398" i="1"/>
  <c r="P154" i="1"/>
  <c r="P91" i="1"/>
  <c r="P398" i="1"/>
  <c r="P505" i="1"/>
  <c r="P336" i="1"/>
  <c r="T1466" i="1"/>
  <c r="T1463" i="1"/>
  <c r="T1457" i="1"/>
  <c r="T1452" i="1"/>
  <c r="T1446" i="1"/>
  <c r="T1410" i="1"/>
  <c r="T1333" i="1"/>
  <c r="T1373" i="1"/>
  <c r="T1255" i="1"/>
  <c r="T1309" i="1"/>
  <c r="T1263" i="1"/>
  <c r="T1436" i="1"/>
  <c r="T1395" i="1"/>
  <c r="T1314" i="1"/>
  <c r="T1425" i="1"/>
  <c r="T1216" i="1"/>
  <c r="T1374" i="1"/>
  <c r="T1345" i="1"/>
  <c r="T1305" i="1"/>
  <c r="T1327" i="1"/>
  <c r="T1224" i="1"/>
  <c r="T1367" i="1"/>
  <c r="T1428" i="1"/>
  <c r="T1366" i="1"/>
  <c r="T1430" i="1"/>
  <c r="T1213" i="1"/>
  <c r="T1334" i="1"/>
  <c r="T1417" i="1"/>
  <c r="T1438" i="1"/>
  <c r="T1426" i="1"/>
  <c r="T1391" i="1"/>
  <c r="T1387" i="1"/>
  <c r="T1097" i="1"/>
  <c r="T1115" i="1"/>
  <c r="T1209" i="1"/>
  <c r="T1243" i="1"/>
  <c r="T1308" i="1"/>
  <c r="T1247" i="1"/>
  <c r="T1264" i="1"/>
  <c r="T1284" i="1"/>
  <c r="T1230" i="1"/>
  <c r="T1229" i="1"/>
  <c r="T1326" i="1"/>
  <c r="T1248" i="1"/>
  <c r="T1413" i="1"/>
  <c r="T1359" i="1"/>
  <c r="T1318" i="1"/>
  <c r="T1322" i="1"/>
  <c r="T1329" i="1"/>
  <c r="T1277" i="1"/>
  <c r="T1265" i="1"/>
  <c r="T1262" i="1"/>
  <c r="T1353" i="1"/>
  <c r="T1422" i="1"/>
  <c r="T1429" i="1"/>
  <c r="T1254" i="1"/>
  <c r="T1323" i="1"/>
  <c r="T1279" i="1"/>
  <c r="T1261" i="1"/>
  <c r="T1234" i="1"/>
  <c r="T1291" i="1"/>
  <c r="T1313" i="1"/>
  <c r="T1244" i="1"/>
  <c r="T1260" i="1"/>
  <c r="T1219" i="1"/>
  <c r="T1220" i="1"/>
  <c r="T1297" i="1"/>
  <c r="T1304" i="1"/>
  <c r="T1207" i="1"/>
  <c r="T1233" i="1"/>
  <c r="T1240" i="1"/>
  <c r="T1371" i="1"/>
  <c r="T1412" i="1"/>
  <c r="T1346" i="1"/>
  <c r="T1418" i="1"/>
  <c r="T1210" i="1"/>
  <c r="T1319" i="1"/>
  <c r="T1253" i="1"/>
  <c r="T1316" i="1"/>
  <c r="T1285" i="1"/>
  <c r="T1286" i="1"/>
  <c r="T1245" i="1"/>
  <c r="T1352" i="1"/>
  <c r="T1268" i="1"/>
  <c r="T1350" i="1"/>
  <c r="T1242" i="1"/>
  <c r="T1301" i="1"/>
  <c r="T1259" i="1"/>
  <c r="T1235" i="1"/>
  <c r="T1296" i="1"/>
  <c r="T1302" i="1"/>
  <c r="T1299" i="1"/>
  <c r="T1298" i="1"/>
  <c r="T1250" i="1"/>
  <c r="T1251" i="1"/>
  <c r="T1217" i="1"/>
  <c r="T1421" i="1"/>
  <c r="T1222" i="1"/>
  <c r="T1282" i="1"/>
  <c r="T1315" i="1"/>
  <c r="T1221" i="1"/>
  <c r="T1271" i="1"/>
  <c r="T1289" i="1"/>
  <c r="T1252" i="1"/>
  <c r="T1310" i="1"/>
  <c r="T1281" i="1"/>
  <c r="T1258" i="1"/>
  <c r="T1307" i="1"/>
  <c r="T1275" i="1"/>
  <c r="T1238" i="1"/>
  <c r="T1568" i="1"/>
  <c r="T1151" i="1"/>
  <c r="O262" i="1"/>
  <c r="T1617" i="1"/>
  <c r="T1462" i="1"/>
  <c r="T1390" i="1"/>
  <c r="T1365" i="1"/>
  <c r="T1400" i="1"/>
  <c r="T1382" i="1"/>
  <c r="T1228" i="1"/>
  <c r="T1406" i="1"/>
  <c r="T1280" i="1"/>
  <c r="T1270" i="1"/>
  <c r="T1208" i="1"/>
  <c r="T1312" i="1"/>
  <c r="T1306" i="1"/>
  <c r="T1325" i="1"/>
  <c r="T1339" i="1"/>
  <c r="T1392" i="1"/>
  <c r="T1227" i="1"/>
  <c r="T1368" i="1"/>
  <c r="T1407" i="1"/>
  <c r="T1434" i="1"/>
  <c r="T1232" i="1"/>
  <c r="T1328" i="1"/>
  <c r="T1303" i="1"/>
  <c r="T1266" i="1"/>
  <c r="T1294" i="1"/>
  <c r="T1269" i="1"/>
  <c r="T1205" i="1"/>
  <c r="T1409" i="1"/>
  <c r="T1330" i="1"/>
  <c r="T1348" i="1"/>
  <c r="T1340" i="1"/>
  <c r="T1267" i="1"/>
  <c r="T1203" i="1"/>
  <c r="T1416" i="1"/>
  <c r="T1401" i="1"/>
  <c r="T1338" i="1"/>
  <c r="T1403" i="1"/>
  <c r="T1386" i="1"/>
  <c r="T1212" i="1"/>
  <c r="T1370" i="1"/>
  <c r="T1336" i="1"/>
  <c r="T1241" i="1"/>
  <c r="T1288" i="1"/>
  <c r="T1218" i="1"/>
  <c r="T1311" i="1"/>
  <c r="T1257" i="1"/>
  <c r="T1442" i="1"/>
  <c r="T1335" i="1"/>
  <c r="T1419" i="1"/>
  <c r="T1433" i="1"/>
  <c r="T1349" i="1"/>
  <c r="T1440" i="1"/>
  <c r="T1332" i="1"/>
  <c r="T1358" i="1"/>
  <c r="T1376" i="1"/>
  <c r="T1206" i="1"/>
  <c r="T1236" i="1"/>
  <c r="T1273" i="1"/>
  <c r="T1402" i="1"/>
  <c r="T1431" i="1"/>
  <c r="T1380" i="1"/>
  <c r="T1214" i="1"/>
  <c r="T1351" i="1"/>
  <c r="T1435" i="1"/>
  <c r="T1383" i="1"/>
  <c r="T1361" i="1"/>
  <c r="T1372" i="1"/>
  <c r="T1414" i="1"/>
  <c r="T1398" i="1"/>
  <c r="T1006" i="1"/>
  <c r="T1661" i="1"/>
  <c r="T1634" i="1"/>
  <c r="T1626" i="1"/>
  <c r="T1134" i="1"/>
  <c r="T1083" i="1"/>
  <c r="T1039" i="1"/>
  <c r="T1343" i="1"/>
  <c r="T1384" i="1"/>
  <c r="T1223" i="1"/>
  <c r="T1404" i="1"/>
  <c r="T1397" i="1"/>
  <c r="T1621" i="1"/>
  <c r="T1460" i="1"/>
  <c r="T1479" i="1"/>
  <c r="T1603" i="1"/>
  <c r="T1624" i="1"/>
  <c r="T1558" i="1"/>
  <c r="T1619" i="1"/>
  <c r="T1640" i="1"/>
  <c r="T1658" i="1"/>
  <c r="T1632" i="1"/>
  <c r="T1625" i="1"/>
  <c r="T1566" i="1"/>
  <c r="T1615" i="1"/>
  <c r="T1654" i="1"/>
  <c r="T1470" i="1"/>
  <c r="T1542" i="1"/>
  <c r="T1478" i="1"/>
  <c r="T1553" i="1"/>
  <c r="T1481" i="1"/>
  <c r="T1513" i="1"/>
  <c r="T1467" i="1"/>
  <c r="T1459" i="1"/>
  <c r="T1506" i="1"/>
  <c r="T1533" i="1"/>
  <c r="T1498" i="1"/>
  <c r="T1496" i="1"/>
  <c r="T1537" i="1"/>
  <c r="T1530" i="1"/>
  <c r="T1448" i="1"/>
  <c r="T1565" i="1"/>
  <c r="T1580" i="1"/>
  <c r="T1652" i="1"/>
  <c r="T1579" i="1"/>
  <c r="T1608" i="1"/>
  <c r="T1656" i="1"/>
  <c r="T1638" i="1"/>
  <c r="T1633" i="1"/>
  <c r="T1571" i="1"/>
  <c r="T1614" i="1"/>
  <c r="T1485" i="1"/>
  <c r="T1543" i="1"/>
  <c r="T1444" i="1"/>
  <c r="T1562" i="1"/>
  <c r="T1582" i="1"/>
  <c r="T1598" i="1"/>
  <c r="T1546" i="1"/>
  <c r="T1570" i="1"/>
  <c r="T1535" i="1"/>
  <c r="T1524" i="1"/>
  <c r="T1541" i="1"/>
  <c r="T1493" i="1"/>
  <c r="T1525" i="1"/>
  <c r="T1483" i="1"/>
  <c r="T1499" i="1"/>
  <c r="T1482" i="1"/>
  <c r="T1545" i="1"/>
  <c r="T1458" i="1"/>
  <c r="T1550" i="1"/>
  <c r="T1476" i="1"/>
  <c r="T1451" i="1"/>
  <c r="T1593" i="1"/>
  <c r="T1484" i="1"/>
  <c r="T1610" i="1"/>
  <c r="T1528" i="1"/>
  <c r="T1644" i="1"/>
  <c r="T1639" i="1"/>
  <c r="T1631" i="1"/>
  <c r="T1596" i="1"/>
  <c r="T1526" i="1"/>
  <c r="T1532" i="1"/>
  <c r="T1620" i="1"/>
  <c r="T1585" i="1"/>
  <c r="T1576" i="1"/>
  <c r="T1584" i="1"/>
  <c r="T1599" i="1"/>
  <c r="T1587" i="1"/>
  <c r="T1574" i="1"/>
  <c r="T1554" i="1"/>
  <c r="T1557" i="1"/>
  <c r="T1474" i="1"/>
  <c r="T1520" i="1"/>
  <c r="T1508" i="1"/>
  <c r="T1509" i="1"/>
  <c r="T1465" i="1"/>
  <c r="T1516" i="1"/>
  <c r="T1555" i="1"/>
  <c r="T1497" i="1"/>
  <c r="T1477" i="1"/>
  <c r="T1450" i="1"/>
  <c r="T1578" i="1"/>
  <c r="T1601" i="1"/>
  <c r="T1473" i="1"/>
  <c r="T1607" i="1"/>
  <c r="T1641" i="1"/>
  <c r="T1655" i="1"/>
  <c r="T1630" i="1"/>
  <c r="T1604" i="1"/>
  <c r="T1616" i="1"/>
  <c r="T1290" i="1"/>
  <c r="T1388" i="1"/>
  <c r="T1488" i="1"/>
  <c r="T1531" i="1"/>
  <c r="T1453" i="1"/>
  <c r="T1602" i="1"/>
  <c r="T1660" i="1"/>
  <c r="T1475" i="1"/>
  <c r="T1471" i="1"/>
  <c r="T1491" i="1"/>
  <c r="T1512" i="1"/>
  <c r="T1544" i="1"/>
  <c r="T1511" i="1"/>
  <c r="T1504" i="1"/>
  <c r="T1505" i="1"/>
  <c r="T1500" i="1"/>
  <c r="T1495" i="1"/>
  <c r="T1454" i="1"/>
  <c r="T1449" i="1"/>
  <c r="T1612" i="1"/>
  <c r="T1577" i="1"/>
  <c r="T1647" i="1"/>
  <c r="T1659" i="1"/>
  <c r="T1569" i="1"/>
  <c r="T1642" i="1"/>
  <c r="T1636" i="1"/>
  <c r="T1629" i="1"/>
  <c r="T1595" i="1"/>
  <c r="T1560" i="1"/>
  <c r="T1583" i="1"/>
  <c r="T1611" i="1"/>
  <c r="T1472" i="1"/>
  <c r="T1468" i="1"/>
  <c r="T1529" i="1"/>
  <c r="T1480" i="1"/>
  <c r="T1469" i="1"/>
  <c r="T1501" i="1"/>
  <c r="T1507" i="1"/>
  <c r="T1510" i="1"/>
  <c r="T1551" i="1"/>
  <c r="T1547" i="1"/>
  <c r="T1549" i="1"/>
  <c r="T1456" i="1"/>
  <c r="T1445" i="1"/>
  <c r="T1561" i="1"/>
  <c r="T1464" i="1"/>
  <c r="T1461" i="1"/>
  <c r="T1494" i="1"/>
  <c r="T1490" i="1"/>
  <c r="T1643" i="1"/>
  <c r="T1637" i="1"/>
  <c r="T1627" i="1"/>
  <c r="T1613" i="1"/>
  <c r="T1556" i="1"/>
  <c r="T1594" i="1"/>
  <c r="T1662" i="1"/>
  <c r="T1592" i="1"/>
  <c r="T1646" i="1"/>
  <c r="T1521" i="1"/>
  <c r="T1581" i="1"/>
  <c r="T1503" i="1"/>
  <c r="T1486" i="1"/>
  <c r="T1492" i="1"/>
  <c r="T1539" i="1"/>
  <c r="T1540" i="1"/>
  <c r="T1502" i="1"/>
  <c r="T1517" i="1"/>
  <c r="T1515" i="1"/>
  <c r="T1536" i="1"/>
  <c r="T1455" i="1"/>
  <c r="T1447" i="1"/>
  <c r="T1618" i="1"/>
  <c r="T1538" i="1"/>
  <c r="T1563" i="1"/>
  <c r="T1559" i="1"/>
  <c r="T1589" i="1"/>
  <c r="T1648" i="1"/>
  <c r="T1657" i="1"/>
  <c r="T1635" i="1"/>
  <c r="T1628" i="1"/>
  <c r="T1605" i="1"/>
  <c r="T1069" i="1"/>
  <c r="T1029" i="1"/>
  <c r="T1125" i="1"/>
  <c r="T1093" i="1"/>
  <c r="T1077" i="1"/>
  <c r="T1377" i="1"/>
  <c r="T1385" i="1"/>
  <c r="T1354" i="1"/>
  <c r="T1321" i="1"/>
  <c r="T1135" i="1"/>
  <c r="T1081" i="1"/>
  <c r="T1369" i="1"/>
  <c r="T1441" i="1"/>
  <c r="T1226" i="1"/>
  <c r="T1202" i="1"/>
  <c r="T1567" i="1"/>
  <c r="T1111" i="1"/>
  <c r="T1003" i="1"/>
  <c r="T1274" i="1"/>
  <c r="T1225" i="1"/>
  <c r="T1586" i="1"/>
  <c r="T1001" i="1"/>
  <c r="T1609" i="1"/>
  <c r="T1437" i="1"/>
  <c r="T1331" i="1"/>
  <c r="T1237" i="1"/>
  <c r="T1423" i="1"/>
  <c r="T1411" i="1"/>
  <c r="T1645" i="1"/>
  <c r="T1606" i="1"/>
  <c r="T1573" i="1"/>
  <c r="T1590" i="1"/>
  <c r="T1136" i="1"/>
  <c r="T1011" i="1"/>
  <c r="T1070" i="1"/>
  <c r="T1527" i="1"/>
  <c r="T1086" i="1"/>
  <c r="T1059" i="1"/>
  <c r="T1355" i="1"/>
  <c r="T1091" i="1"/>
  <c r="T1087" i="1"/>
  <c r="T1067" i="1"/>
  <c r="T1049" i="1"/>
  <c r="T1364" i="1"/>
  <c r="T1588" i="1"/>
  <c r="T1564" i="1"/>
  <c r="T1650" i="1"/>
  <c r="T1623" i="1"/>
  <c r="T1161" i="1"/>
  <c r="T1378" i="1"/>
  <c r="T1432" i="1"/>
  <c r="T1396" i="1"/>
  <c r="T1156" i="1"/>
  <c r="T1399" i="1"/>
  <c r="T1342" i="1"/>
  <c r="T1420" i="1"/>
  <c r="T1379" i="1"/>
  <c r="T1357" i="1"/>
  <c r="T1158" i="1"/>
  <c r="T1182" i="1"/>
  <c r="T1163" i="1"/>
  <c r="T1175" i="1"/>
  <c r="T1246" i="1"/>
  <c r="T1337" i="1"/>
  <c r="T1405" i="1"/>
  <c r="T1393" i="1"/>
  <c r="T1287" i="1"/>
  <c r="T1159" i="1"/>
  <c r="T1173" i="1"/>
  <c r="T1162" i="1"/>
  <c r="T1154" i="1"/>
  <c r="T1180" i="1"/>
  <c r="T1165" i="1"/>
  <c r="T1160" i="1"/>
  <c r="T1178" i="1"/>
  <c r="T1174" i="1"/>
  <c r="T1167" i="1"/>
  <c r="T1176" i="1"/>
  <c r="T1172" i="1"/>
  <c r="T1157" i="1"/>
  <c r="T1171" i="1"/>
  <c r="T1164" i="1"/>
  <c r="T1169" i="1"/>
  <c r="T1170" i="1"/>
  <c r="T1177" i="1"/>
  <c r="T1166" i="1"/>
  <c r="T1168" i="1"/>
  <c r="T1181" i="1"/>
  <c r="T1155" i="1"/>
  <c r="T1179" i="1"/>
  <c r="O91" i="1"/>
  <c r="O216" i="1"/>
  <c r="O336" i="1"/>
  <c r="O562" i="1"/>
  <c r="U81" i="1"/>
  <c r="V81" i="1" s="1"/>
  <c r="Q82" i="1"/>
  <c r="R215" i="1"/>
  <c r="R504" i="1"/>
  <c r="R727" i="1"/>
  <c r="R261" i="1"/>
  <c r="R442" i="1"/>
  <c r="R561" i="1"/>
  <c r="R397" i="1"/>
  <c r="R153" i="1"/>
  <c r="R443" i="1"/>
  <c r="R622" i="1"/>
  <c r="R90" i="1"/>
  <c r="R335" i="1"/>
  <c r="R666" i="1"/>
  <c r="O667" i="1"/>
  <c r="M506" i="1"/>
  <c r="N506" i="1" s="1"/>
  <c r="M217" i="1"/>
  <c r="N217" i="1" s="1"/>
  <c r="M155" i="1"/>
  <c r="N155" i="1" s="1"/>
  <c r="M337" i="1"/>
  <c r="M399" i="1"/>
  <c r="N399" i="1" s="1"/>
  <c r="M624" i="1"/>
  <c r="M729" i="1"/>
  <c r="N729" i="1" s="1"/>
  <c r="M668" i="1"/>
  <c r="M92" i="1"/>
  <c r="P624" i="1" l="1"/>
  <c r="N624" i="1"/>
  <c r="P338" i="1"/>
  <c r="N337" i="1"/>
  <c r="P93" i="1"/>
  <c r="N92" i="1"/>
  <c r="P669" i="1"/>
  <c r="N668" i="1"/>
  <c r="O729" i="1"/>
  <c r="O399" i="1"/>
  <c r="O155" i="1"/>
  <c r="P156" i="1"/>
  <c r="O506" i="1"/>
  <c r="P507" i="1"/>
  <c r="P506" i="1"/>
  <c r="P155" i="1"/>
  <c r="P668" i="1"/>
  <c r="P337" i="1"/>
  <c r="P217" i="1"/>
  <c r="P729" i="1"/>
  <c r="O624" i="1"/>
  <c r="P625" i="1"/>
  <c r="P399" i="1"/>
  <c r="P92" i="1"/>
  <c r="O337" i="1"/>
  <c r="O92" i="1"/>
  <c r="U82" i="1"/>
  <c r="V82" i="1" s="1"/>
  <c r="Q83" i="1"/>
  <c r="R91" i="1"/>
  <c r="R154" i="1"/>
  <c r="R262" i="1"/>
  <c r="R216" i="1"/>
  <c r="R563" i="1"/>
  <c r="R263" i="1"/>
  <c r="R398" i="1"/>
  <c r="R562" i="1"/>
  <c r="R505" i="1"/>
  <c r="R728" i="1"/>
  <c r="R623" i="1"/>
  <c r="R336" i="1"/>
  <c r="O217" i="1"/>
  <c r="O668" i="1"/>
  <c r="R667" i="1"/>
  <c r="M730" i="1"/>
  <c r="M218" i="1"/>
  <c r="M400" i="1"/>
  <c r="P400" i="1" l="1"/>
  <c r="N400" i="1"/>
  <c r="P219" i="1"/>
  <c r="N218" i="1"/>
  <c r="P730" i="1"/>
  <c r="N730" i="1"/>
  <c r="O400" i="1"/>
  <c r="P401" i="1"/>
  <c r="O730" i="1"/>
  <c r="P731" i="1"/>
  <c r="P218" i="1"/>
  <c r="U83" i="1"/>
  <c r="V83" i="1" s="1"/>
  <c r="Q84" i="1"/>
  <c r="O218" i="1"/>
  <c r="R669" i="1"/>
  <c r="R624" i="1"/>
  <c r="R668" i="1"/>
  <c r="R92" i="1"/>
  <c r="R93" i="1"/>
  <c r="R729" i="1"/>
  <c r="R506" i="1"/>
  <c r="R507" i="1"/>
  <c r="R625" i="1"/>
  <c r="R337" i="1"/>
  <c r="R399" i="1"/>
  <c r="R155" i="1"/>
  <c r="R156" i="1"/>
  <c r="R217" i="1"/>
  <c r="R338" i="1"/>
  <c r="S653" i="1"/>
  <c r="S699" i="1"/>
  <c r="S664" i="1"/>
  <c r="S714" i="1"/>
  <c r="S706" i="1"/>
  <c r="S681" i="1"/>
  <c r="S680" i="1"/>
  <c r="S705" i="1"/>
  <c r="S644" i="1"/>
  <c r="S715" i="1"/>
  <c r="S679" i="1"/>
  <c r="S665" i="1"/>
  <c r="S721" i="1"/>
  <c r="S682" i="1"/>
  <c r="S650" i="1"/>
  <c r="S713" i="1"/>
  <c r="S702" i="1"/>
  <c r="S709" i="1"/>
  <c r="S724" i="1"/>
  <c r="S700" i="1"/>
  <c r="S641" i="1"/>
  <c r="S655" i="1"/>
  <c r="S654" i="1"/>
  <c r="S656" i="1"/>
  <c r="S643" i="1"/>
  <c r="S657" i="1"/>
  <c r="S662" i="1"/>
  <c r="S642" i="1"/>
  <c r="S667" i="1"/>
  <c r="S725" i="1"/>
  <c r="S727" i="1"/>
  <c r="S651" i="1"/>
  <c r="S712" i="1"/>
  <c r="S648" i="1"/>
  <c r="S660" i="1"/>
  <c r="S728" i="1"/>
  <c r="S701" i="1"/>
  <c r="S669" i="1"/>
  <c r="S670" i="1"/>
  <c r="S671" i="1"/>
  <c r="S672" i="1"/>
  <c r="S693" i="1"/>
  <c r="S695" i="1"/>
  <c r="S674" i="1"/>
  <c r="S673" i="1"/>
  <c r="S675" i="1"/>
  <c r="S684" i="1"/>
  <c r="S683" i="1"/>
  <c r="S692" i="1"/>
  <c r="S716" i="1"/>
  <c r="S696" i="1"/>
  <c r="S697" i="1"/>
  <c r="S718" i="1"/>
  <c r="S686" i="1"/>
  <c r="S685" i="1"/>
  <c r="S703" i="1"/>
  <c r="S691" i="1"/>
  <c r="S690" i="1"/>
  <c r="S717" i="1"/>
  <c r="S676" i="1"/>
  <c r="S723" i="1"/>
  <c r="S688" i="1"/>
  <c r="S698" i="1"/>
  <c r="S677" i="1"/>
  <c r="S689" i="1"/>
  <c r="S719" i="1"/>
  <c r="S687" i="1"/>
  <c r="S694" i="1"/>
  <c r="S678" i="1"/>
  <c r="S658" i="1"/>
  <c r="S649" i="1"/>
  <c r="S720" i="1"/>
  <c r="S647" i="1"/>
  <c r="S726" i="1"/>
  <c r="S666" i="1"/>
  <c r="S710" i="1"/>
  <c r="S704" i="1"/>
  <c r="S711" i="1"/>
  <c r="S646" i="1"/>
  <c r="S645" i="1"/>
  <c r="S668" i="1"/>
  <c r="S722" i="1"/>
  <c r="S659" i="1"/>
  <c r="S708" i="1"/>
  <c r="S729" i="1"/>
  <c r="S652" i="1"/>
  <c r="S663" i="1"/>
  <c r="S707" i="1"/>
  <c r="S661" i="1"/>
  <c r="T689" i="1" l="1"/>
  <c r="T711" i="1"/>
  <c r="T708" i="1"/>
  <c r="T691" i="1"/>
  <c r="T692" i="1"/>
  <c r="T707" i="1"/>
  <c r="T694" i="1"/>
  <c r="T722" i="1"/>
  <c r="T729" i="1"/>
  <c r="T704" i="1"/>
  <c r="T710" i="1"/>
  <c r="T676" i="1"/>
  <c r="T697" i="1"/>
  <c r="T687" i="1"/>
  <c r="T698" i="1"/>
  <c r="T688" i="1"/>
  <c r="T678" i="1"/>
  <c r="T674" i="1"/>
  <c r="T728" i="1"/>
  <c r="T700" i="1"/>
  <c r="T726" i="1"/>
  <c r="T720" i="1"/>
  <c r="T677" i="1"/>
  <c r="T723" i="1"/>
  <c r="T672" i="1"/>
  <c r="T703" i="1"/>
  <c r="T685" i="1"/>
  <c r="T718" i="1"/>
  <c r="T673" i="1"/>
  <c r="T712" i="1"/>
  <c r="T717" i="1"/>
  <c r="T683" i="1"/>
  <c r="T671" i="1"/>
  <c r="T686" i="1"/>
  <c r="T701" i="1"/>
  <c r="T721" i="1"/>
  <c r="T706" i="1"/>
  <c r="T719" i="1"/>
  <c r="T690" i="1"/>
  <c r="T716" i="1"/>
  <c r="T693" i="1"/>
  <c r="T709" i="1"/>
  <c r="T715" i="1"/>
  <c r="T696" i="1"/>
  <c r="T695" i="1"/>
  <c r="T713" i="1"/>
  <c r="T705" i="1"/>
  <c r="T684" i="1"/>
  <c r="T675" i="1"/>
  <c r="T724" i="1"/>
  <c r="T679" i="1"/>
  <c r="T702" i="1"/>
  <c r="T727" i="1"/>
  <c r="T725" i="1"/>
  <c r="T682" i="1"/>
  <c r="T714" i="1"/>
  <c r="T699" i="1"/>
  <c r="T680" i="1"/>
  <c r="T681" i="1"/>
  <c r="U84" i="1"/>
  <c r="V84" i="1" s="1"/>
  <c r="Q85" i="1"/>
  <c r="R730" i="1"/>
  <c r="R218" i="1"/>
  <c r="R219" i="1"/>
  <c r="R401" i="1"/>
  <c r="T670" i="1" s="1"/>
  <c r="R731" i="1"/>
  <c r="R400" i="1"/>
  <c r="S338" i="1"/>
  <c r="S575" i="1"/>
  <c r="S357" i="1"/>
  <c r="S849" i="1"/>
  <c r="S321" i="1"/>
  <c r="S399" i="1"/>
  <c r="S330" i="1"/>
  <c r="S307" i="1"/>
  <c r="S350" i="1"/>
  <c r="S339" i="1"/>
  <c r="S514" i="1"/>
  <c r="S918" i="1"/>
  <c r="S903" i="1"/>
  <c r="S593" i="1"/>
  <c r="S605" i="1"/>
  <c r="S326" i="1"/>
  <c r="S327" i="1"/>
  <c r="S333" i="1"/>
  <c r="S527" i="1"/>
  <c r="S375" i="1"/>
  <c r="S923" i="1"/>
  <c r="S628" i="1"/>
  <c r="S305" i="1"/>
  <c r="S374" i="1"/>
  <c r="S800" i="1"/>
  <c r="S393" i="1"/>
  <c r="S441" i="1"/>
  <c r="S602" i="1"/>
  <c r="S920" i="1"/>
  <c r="S331" i="1"/>
  <c r="S497" i="1"/>
  <c r="S552" i="1"/>
  <c r="S531" i="1"/>
  <c r="S626" i="1"/>
  <c r="S583" i="1"/>
  <c r="S378" i="1"/>
  <c r="S585" i="1"/>
  <c r="S311" i="1"/>
  <c r="S898" i="1"/>
  <c r="S464" i="1"/>
  <c r="S501" i="1"/>
  <c r="S832" i="1"/>
  <c r="S572" i="1"/>
  <c r="S446" i="1"/>
  <c r="S883" i="1"/>
  <c r="S588" i="1"/>
  <c r="S551" i="1"/>
  <c r="S530" i="1"/>
  <c r="S582" i="1"/>
  <c r="S632" i="1"/>
  <c r="S851" i="1"/>
  <c r="S459" i="1"/>
  <c r="S384" i="1"/>
  <c r="S948" i="1"/>
  <c r="S361" i="1"/>
  <c r="S614" i="1"/>
  <c r="S964" i="1"/>
  <c r="S396" i="1"/>
  <c r="S966" i="1"/>
  <c r="S573" i="1"/>
  <c r="S922" i="1"/>
  <c r="S556" i="1"/>
  <c r="S509" i="1"/>
  <c r="S932" i="1"/>
  <c r="S809" i="1"/>
  <c r="S354" i="1"/>
  <c r="S603" i="1"/>
  <c r="S560" i="1"/>
  <c r="S485" i="1"/>
  <c r="S440" i="1"/>
  <c r="S574" i="1"/>
  <c r="S542" i="1"/>
  <c r="S746" i="1"/>
  <c r="S463" i="1"/>
  <c r="S566" i="1"/>
  <c r="S368" i="1"/>
  <c r="S927" i="1"/>
  <c r="S852" i="1"/>
  <c r="S369" i="1"/>
  <c r="S589" i="1"/>
  <c r="S570" i="1"/>
  <c r="S916" i="1"/>
  <c r="S913" i="1"/>
  <c r="S480" i="1"/>
  <c r="S954" i="1"/>
  <c r="S473" i="1"/>
  <c r="S349" i="1"/>
  <c r="S549" i="1"/>
  <c r="S958" i="1"/>
  <c r="S930" i="1"/>
  <c r="S491" i="1"/>
  <c r="S346" i="1"/>
  <c r="S801" i="1"/>
  <c r="S944" i="1"/>
  <c r="S929" i="1"/>
  <c r="S609" i="1"/>
  <c r="S329" i="1"/>
  <c r="S534" i="1"/>
  <c r="S421" i="1"/>
  <c r="S623" i="1"/>
  <c r="S344" i="1"/>
  <c r="S454" i="1"/>
  <c r="S639" i="1"/>
  <c r="S400" i="1"/>
  <c r="S615" i="1"/>
  <c r="S460" i="1"/>
  <c r="S637" i="1"/>
  <c r="S584" i="1"/>
  <c r="S595" i="1"/>
  <c r="S608" i="1"/>
  <c r="S636" i="1"/>
  <c r="S635" i="1"/>
  <c r="S634" i="1"/>
  <c r="S579" i="1"/>
  <c r="S610" i="1"/>
  <c r="S592" i="1"/>
  <c r="S617" i="1"/>
  <c r="S596" i="1"/>
  <c r="S504" i="1"/>
  <c r="S598" i="1"/>
  <c r="S578" i="1"/>
  <c r="S611" i="1"/>
  <c r="S494" i="1"/>
  <c r="S568" i="1"/>
  <c r="S310" i="1"/>
  <c r="S398" i="1"/>
  <c r="S484" i="1"/>
  <c r="S468" i="1"/>
  <c r="S498" i="1"/>
  <c r="S934" i="1"/>
  <c r="S308" i="1"/>
  <c r="S493" i="1"/>
  <c r="S956" i="1"/>
  <c r="S604" i="1"/>
  <c r="S419" i="1"/>
  <c r="S586" i="1"/>
  <c r="S548" i="1"/>
  <c r="S907" i="1"/>
  <c r="S467" i="1"/>
  <c r="S370" i="1"/>
  <c r="S499" i="1"/>
  <c r="S749" i="1"/>
  <c r="S561" i="1"/>
  <c r="S520" i="1"/>
  <c r="S550" i="1"/>
  <c r="S536" i="1"/>
  <c r="S515" i="1"/>
  <c r="S512" i="1"/>
  <c r="S434" i="1"/>
  <c r="S779" i="1"/>
  <c r="S587" i="1"/>
  <c r="S625" i="1"/>
  <c r="S814" i="1"/>
  <c r="S503" i="1"/>
  <c r="S324" i="1"/>
  <c r="S435" i="1"/>
  <c r="S475" i="1"/>
  <c r="S356" i="1"/>
  <c r="S390" i="1"/>
  <c r="S386" i="1"/>
  <c r="S352" i="1"/>
  <c r="S577" i="1"/>
  <c r="S309" i="1"/>
  <c r="S759" i="1"/>
  <c r="S772" i="1"/>
  <c r="S492" i="1"/>
  <c r="S600" i="1"/>
  <c r="S319" i="1"/>
  <c r="S969" i="1"/>
  <c r="S730" i="1"/>
  <c r="S915" i="1"/>
  <c r="S960" i="1"/>
  <c r="S802" i="1"/>
  <c r="S854" i="1"/>
  <c r="S917" i="1"/>
  <c r="S861" i="1"/>
  <c r="S764" i="1"/>
  <c r="S933" i="1"/>
  <c r="S767" i="1"/>
  <c r="S876" i="1"/>
  <c r="S926" i="1"/>
  <c r="S931" i="1"/>
  <c r="S936" i="1"/>
  <c r="S797" i="1"/>
  <c r="S947" i="1"/>
  <c r="S953" i="1"/>
  <c r="S879" i="1"/>
  <c r="S591" i="1"/>
  <c r="S358" i="1"/>
  <c r="S594" i="1"/>
  <c r="S899" i="1"/>
  <c r="S472" i="1"/>
  <c r="S466" i="1"/>
  <c r="S334" i="1"/>
  <c r="S967" i="1"/>
  <c r="S559" i="1"/>
  <c r="S914" i="1"/>
  <c r="S791" i="1"/>
  <c r="S581" i="1"/>
  <c r="S543" i="1"/>
  <c r="S525" i="1"/>
  <c r="S554" i="1"/>
  <c r="S524" i="1"/>
  <c r="S510" i="1"/>
  <c r="S332" i="1"/>
  <c r="S763" i="1"/>
  <c r="S567" i="1"/>
  <c r="S627" i="1"/>
  <c r="S806" i="1"/>
  <c r="S381" i="1"/>
  <c r="S949" i="1"/>
  <c r="S865" i="1"/>
  <c r="S388" i="1"/>
  <c r="S387" i="1"/>
  <c r="S365" i="1"/>
  <c r="S343" i="1"/>
  <c r="S771" i="1"/>
  <c r="S323" i="1"/>
  <c r="S471" i="1"/>
  <c r="S364" i="1"/>
  <c r="S453" i="1"/>
  <c r="S428" i="1"/>
  <c r="S477" i="1"/>
  <c r="S506" i="1"/>
  <c r="S744" i="1"/>
  <c r="S850" i="1"/>
  <c r="S938" i="1"/>
  <c r="S304" i="1"/>
  <c r="S490" i="1"/>
  <c r="S457" i="1"/>
  <c r="S336" i="1"/>
  <c r="S431" i="1"/>
  <c r="S544" i="1"/>
  <c r="S500" i="1"/>
  <c r="S935" i="1"/>
  <c r="S363" i="1"/>
  <c r="S939" i="1"/>
  <c r="S553" i="1"/>
  <c r="S921" i="1"/>
  <c r="S505" i="1"/>
  <c r="S315" i="1"/>
  <c r="S379" i="1"/>
  <c r="S621" i="1"/>
  <c r="S895" i="1"/>
  <c r="S545" i="1"/>
  <c r="S337" i="1"/>
  <c r="S371" i="1"/>
  <c r="S442" i="1"/>
  <c r="S488" i="1"/>
  <c r="S564" i="1"/>
  <c r="S518" i="1"/>
  <c r="S555" i="1"/>
  <c r="S528" i="1"/>
  <c r="S516" i="1"/>
  <c r="S513" i="1"/>
  <c r="S937" i="1"/>
  <c r="S928" i="1"/>
  <c r="S569" i="1"/>
  <c r="S631" i="1"/>
  <c r="S864" i="1"/>
  <c r="S848" i="1"/>
  <c r="S547" i="1"/>
  <c r="S447" i="1"/>
  <c r="S597" i="1"/>
  <c r="S859" i="1"/>
  <c r="S382" i="1"/>
  <c r="S367" i="1"/>
  <c r="S366" i="1"/>
  <c r="S345" i="1"/>
  <c r="S885" i="1"/>
  <c r="S424" i="1"/>
  <c r="S618" i="1"/>
  <c r="S451" i="1"/>
  <c r="S558" i="1"/>
  <c r="S389" i="1"/>
  <c r="S957" i="1"/>
  <c r="S745" i="1"/>
  <c r="S443" i="1"/>
  <c r="S486" i="1"/>
  <c r="S420" i="1"/>
  <c r="S897" i="1"/>
  <c r="S482" i="1"/>
  <c r="S576" i="1"/>
  <c r="S377" i="1"/>
  <c r="S318" i="1"/>
  <c r="S743" i="1"/>
  <c r="S616" i="1"/>
  <c r="S908" i="1"/>
  <c r="S537" i="1"/>
  <c r="S517" i="1"/>
  <c r="S523" i="1"/>
  <c r="S526" i="1"/>
  <c r="S508" i="1"/>
  <c r="S502" i="1"/>
  <c r="S919" i="1"/>
  <c r="S422" i="1"/>
  <c r="S862" i="1"/>
  <c r="S940" i="1"/>
  <c r="S630" i="1"/>
  <c r="S807" i="1"/>
  <c r="S624" i="1"/>
  <c r="S742" i="1"/>
  <c r="S362" i="1"/>
  <c r="S314" i="1"/>
  <c r="S348" i="1"/>
  <c r="S355" i="1"/>
  <c r="S353" i="1"/>
  <c r="S341" i="1"/>
  <c r="S306" i="1"/>
  <c r="S328" i="1"/>
  <c r="S546" i="1"/>
  <c r="S423" i="1"/>
  <c r="S950" i="1"/>
  <c r="S470" i="1"/>
  <c r="S360" i="1"/>
  <c r="S562" i="1"/>
  <c r="S601" i="1"/>
  <c r="S959" i="1"/>
  <c r="S774" i="1"/>
  <c r="S481" i="1"/>
  <c r="S571" i="1"/>
  <c r="S335" i="1"/>
  <c r="S565" i="1"/>
  <c r="S946" i="1"/>
  <c r="S638" i="1"/>
  <c r="S905" i="1"/>
  <c r="S483" i="1"/>
  <c r="S394" i="1"/>
  <c r="S448" i="1"/>
  <c r="S906" i="1"/>
  <c r="S853" i="1"/>
  <c r="S753" i="1"/>
  <c r="S538" i="1"/>
  <c r="S521" i="1"/>
  <c r="S533" i="1"/>
  <c r="S522" i="1"/>
  <c r="S507" i="1"/>
  <c r="S302" i="1"/>
  <c r="S773" i="1"/>
  <c r="S911" i="1"/>
  <c r="S391" i="1"/>
  <c r="S633" i="1"/>
  <c r="S629" i="1"/>
  <c r="S841" i="1"/>
  <c r="S863" i="1"/>
  <c r="S613" i="1"/>
  <c r="S963" i="1"/>
  <c r="S397" i="1"/>
  <c r="S799" i="1"/>
  <c r="S373" i="1"/>
  <c r="S351" i="1"/>
  <c r="S383" i="1"/>
  <c r="S342" i="1"/>
  <c r="S607" i="1"/>
  <c r="S322" i="1"/>
  <c r="S445" i="1"/>
  <c r="S301" i="1"/>
  <c r="S640" i="1"/>
  <c r="S401" i="1"/>
  <c r="S403" i="1"/>
  <c r="S402" i="1"/>
  <c r="S405" i="1"/>
  <c r="S404" i="1"/>
  <c r="S406" i="1"/>
  <c r="S408" i="1"/>
  <c r="S407" i="1"/>
  <c r="S409" i="1"/>
  <c r="S410" i="1"/>
  <c r="S415" i="1"/>
  <c r="S416" i="1"/>
  <c r="S429" i="1"/>
  <c r="S417" i="1"/>
  <c r="S411" i="1"/>
  <c r="S436" i="1"/>
  <c r="S430" i="1"/>
  <c r="S427" i="1"/>
  <c r="S418" i="1"/>
  <c r="S414" i="1"/>
  <c r="S495" i="1"/>
  <c r="S437" i="1"/>
  <c r="S413" i="1"/>
  <c r="S449" i="1"/>
  <c r="S479" i="1"/>
  <c r="S438" i="1"/>
  <c r="S432" i="1"/>
  <c r="S478" i="1"/>
  <c r="S474" i="1"/>
  <c r="S450" i="1"/>
  <c r="S433" i="1"/>
  <c r="S461" i="1"/>
  <c r="S489" i="1"/>
  <c r="S496" i="1"/>
  <c r="S425" i="1"/>
  <c r="S412" i="1"/>
  <c r="S476" i="1"/>
  <c r="S452" i="1"/>
  <c r="S620" i="1"/>
  <c r="S599" i="1"/>
  <c r="S458" i="1"/>
  <c r="S317" i="1"/>
  <c r="S316" i="1"/>
  <c r="S312" i="1"/>
  <c r="S313" i="1"/>
  <c r="S359" i="1"/>
  <c r="S541" i="1"/>
  <c r="S798" i="1"/>
  <c r="S860" i="1"/>
  <c r="S970" i="1"/>
  <c r="S732" i="1"/>
  <c r="S731" i="1"/>
  <c r="S735" i="1"/>
  <c r="S733" i="1"/>
  <c r="S734" i="1"/>
  <c r="S785" i="1"/>
  <c r="S783" i="1"/>
  <c r="S782" i="1"/>
  <c r="S789" i="1"/>
  <c r="S826" i="1"/>
  <c r="S887" i="1"/>
  <c r="S788" i="1"/>
  <c r="S823" i="1"/>
  <c r="S831" i="1"/>
  <c r="S827" i="1"/>
  <c r="S784" i="1"/>
  <c r="S834" i="1"/>
  <c r="S836" i="1"/>
  <c r="S829" i="1"/>
  <c r="S828" i="1"/>
  <c r="S872" i="1"/>
  <c r="S837" i="1"/>
  <c r="S824" i="1"/>
  <c r="S868" i="1"/>
  <c r="S894" i="1"/>
  <c r="S817" i="1"/>
  <c r="S855" i="1"/>
  <c r="S869" i="1"/>
  <c r="S890" i="1"/>
  <c r="S775" i="1"/>
  <c r="S866" i="1"/>
  <c r="S737" i="1"/>
  <c r="S739" i="1"/>
  <c r="S825" i="1"/>
  <c r="S830" i="1"/>
  <c r="S843" i="1"/>
  <c r="S888" i="1"/>
  <c r="S874" i="1"/>
  <c r="S867" i="1"/>
  <c r="S844" i="1"/>
  <c r="S793" i="1"/>
  <c r="S794" i="1"/>
  <c r="S889" i="1"/>
  <c r="S892" i="1"/>
  <c r="S909" i="1"/>
  <c r="S819" i="1"/>
  <c r="S955" i="1"/>
  <c r="S891" i="1"/>
  <c r="S870" i="1"/>
  <c r="S941" i="1"/>
  <c r="S873" i="1"/>
  <c r="S900" i="1"/>
  <c r="S747" i="1"/>
  <c r="S786" i="1"/>
  <c r="S845" i="1"/>
  <c r="S875" i="1"/>
  <c r="S880" i="1"/>
  <c r="S818" i="1"/>
  <c r="S776" i="1"/>
  <c r="S952" i="1"/>
  <c r="S736" i="1"/>
  <c r="S871" i="1"/>
  <c r="S795" i="1"/>
  <c r="S924" i="1"/>
  <c r="S881" i="1"/>
  <c r="S803" i="1"/>
  <c r="S754" i="1"/>
  <c r="S804" i="1"/>
  <c r="S777" i="1"/>
  <c r="S910" i="1"/>
  <c r="S816" i="1"/>
  <c r="S748" i="1"/>
  <c r="S856" i="1"/>
  <c r="S943" i="1"/>
  <c r="S760" i="1"/>
  <c r="S901" i="1"/>
  <c r="S942" i="1"/>
  <c r="S925" i="1"/>
  <c r="S805" i="1"/>
  <c r="S961" i="1"/>
  <c r="S857" i="1"/>
  <c r="S835" i="1"/>
  <c r="S877" i="1"/>
  <c r="S842" i="1"/>
  <c r="S787" i="1"/>
  <c r="S839" i="1"/>
  <c r="S884" i="1"/>
  <c r="S755" i="1"/>
  <c r="S756" i="1"/>
  <c r="S769" i="1"/>
  <c r="S740" i="1"/>
  <c r="S811" i="1"/>
  <c r="S768" i="1"/>
  <c r="S833" i="1"/>
  <c r="S766" i="1"/>
  <c r="S962" i="1"/>
  <c r="S790" i="1"/>
  <c r="S780" i="1"/>
  <c r="S846" i="1"/>
  <c r="S810" i="1"/>
  <c r="S808" i="1"/>
  <c r="S758" i="1"/>
  <c r="S902" i="1"/>
  <c r="S770" i="1"/>
  <c r="S812" i="1"/>
  <c r="S796" i="1"/>
  <c r="S750" i="1"/>
  <c r="S840" i="1"/>
  <c r="S741" i="1"/>
  <c r="S838" i="1"/>
  <c r="S757" i="1"/>
  <c r="S815" i="1"/>
  <c r="S761" i="1"/>
  <c r="S858" i="1"/>
  <c r="S813" i="1"/>
  <c r="S847" i="1"/>
  <c r="S778" i="1"/>
  <c r="S893" i="1"/>
  <c r="S738" i="1"/>
  <c r="S882" i="1"/>
  <c r="S822" i="1"/>
  <c r="S886" i="1"/>
  <c r="S751" i="1"/>
  <c r="S752" i="1"/>
  <c r="S781" i="1"/>
  <c r="S792" i="1"/>
  <c r="S821" i="1"/>
  <c r="S426" i="1"/>
  <c r="S762" i="1"/>
  <c r="S563" i="1"/>
  <c r="S456" i="1"/>
  <c r="S968" i="1"/>
  <c r="S619" i="1"/>
  <c r="S385" i="1"/>
  <c r="S612" i="1"/>
  <c r="S580" i="1"/>
  <c r="S325" i="1"/>
  <c r="S878" i="1"/>
  <c r="S539" i="1"/>
  <c r="S395" i="1"/>
  <c r="S965" i="1"/>
  <c r="S951" i="1"/>
  <c r="S765" i="1"/>
  <c r="S439" i="1"/>
  <c r="S606" i="1"/>
  <c r="S557" i="1"/>
  <c r="S519" i="1"/>
  <c r="S535" i="1"/>
  <c r="S529" i="1"/>
  <c r="S532" i="1"/>
  <c r="S511" i="1"/>
  <c r="S320" i="1"/>
  <c r="S469" i="1"/>
  <c r="S622" i="1"/>
  <c r="S444" i="1"/>
  <c r="S392" i="1"/>
  <c r="S820" i="1"/>
  <c r="S487" i="1"/>
  <c r="S912" i="1"/>
  <c r="S462" i="1"/>
  <c r="S372" i="1"/>
  <c r="S376" i="1"/>
  <c r="S380" i="1"/>
  <c r="S347" i="1"/>
  <c r="S340" i="1"/>
  <c r="S945" i="1"/>
  <c r="S455" i="1"/>
  <c r="S465" i="1"/>
  <c r="S303" i="1"/>
  <c r="S896" i="1"/>
  <c r="S590" i="1"/>
  <c r="S904" i="1"/>
  <c r="S540" i="1"/>
  <c r="S300" i="1"/>
  <c r="T340" i="1" l="1"/>
  <c r="T301" i="1"/>
  <c r="T391" i="1"/>
  <c r="T306" i="1"/>
  <c r="T318" i="1"/>
  <c r="T345" i="1"/>
  <c r="T388" i="1"/>
  <c r="T332" i="1"/>
  <c r="T358" i="1"/>
  <c r="T310" i="1"/>
  <c r="T344" i="1"/>
  <c r="T300" i="1"/>
  <c r="T765" i="1"/>
  <c r="T821" i="1"/>
  <c r="T738" i="1"/>
  <c r="T757" i="1"/>
  <c r="T902" i="1"/>
  <c r="T912" i="1"/>
  <c r="T766" i="1"/>
  <c r="T884" i="1"/>
  <c r="T816" i="1"/>
  <c r="T805" i="1"/>
  <c r="T845" i="1"/>
  <c r="T867" i="1"/>
  <c r="T824" i="1"/>
  <c r="T827" i="1"/>
  <c r="T860" i="1"/>
  <c r="T774" i="1"/>
  <c r="T919" i="1"/>
  <c r="T921" i="1"/>
  <c r="T899" i="1"/>
  <c r="T936" i="1"/>
  <c r="T917" i="1"/>
  <c r="T795" i="1"/>
  <c r="T955" i="1"/>
  <c r="T866" i="1"/>
  <c r="T783" i="1"/>
  <c r="T303" i="1"/>
  <c r="T325" i="1"/>
  <c r="T372" i="1"/>
  <c r="T385" i="1"/>
  <c r="T373" i="1"/>
  <c r="T328" i="1"/>
  <c r="T337" i="1"/>
  <c r="T347" i="1"/>
  <c r="T392" i="1"/>
  <c r="T395" i="1"/>
  <c r="T359" i="1"/>
  <c r="T397" i="1"/>
  <c r="T341" i="1"/>
  <c r="T377" i="1"/>
  <c r="T366" i="1"/>
  <c r="T380" i="1"/>
  <c r="T313" i="1"/>
  <c r="T322" i="1"/>
  <c r="T360" i="1"/>
  <c r="T353" i="1"/>
  <c r="T389" i="1"/>
  <c r="T367" i="1"/>
  <c r="T376" i="1"/>
  <c r="T312" i="1"/>
  <c r="T302" i="1"/>
  <c r="T335" i="1"/>
  <c r="T355" i="1"/>
  <c r="T382" i="1"/>
  <c r="T379" i="1"/>
  <c r="T316" i="1"/>
  <c r="T342" i="1"/>
  <c r="T348" i="1"/>
  <c r="T465" i="1"/>
  <c r="T462" i="1"/>
  <c r="T320" i="1"/>
  <c r="T439" i="1"/>
  <c r="T580" i="1"/>
  <c r="T426" i="1"/>
  <c r="T317" i="1"/>
  <c r="T383" i="1"/>
  <c r="T394" i="1"/>
  <c r="T314" i="1"/>
  <c r="T351" i="1"/>
  <c r="T362" i="1"/>
  <c r="T371" i="1"/>
  <c r="T336" i="1"/>
  <c r="T365" i="1"/>
  <c r="T496" i="1"/>
  <c r="T438" i="1"/>
  <c r="T427" i="1"/>
  <c r="T410" i="1"/>
  <c r="T403" i="1"/>
  <c r="T730" i="1"/>
  <c r="T343" i="1"/>
  <c r="T522" i="1"/>
  <c r="T481" i="1"/>
  <c r="T423" i="1"/>
  <c r="T422" i="1"/>
  <c r="T420" i="1"/>
  <c r="T618" i="1"/>
  <c r="T597" i="1"/>
  <c r="T442" i="1"/>
  <c r="T505" i="1"/>
  <c r="T431" i="1"/>
  <c r="T506" i="1"/>
  <c r="T627" i="1"/>
  <c r="T543" i="1"/>
  <c r="T625" i="1"/>
  <c r="T520" i="1"/>
  <c r="T586" i="1"/>
  <c r="T598" i="1"/>
  <c r="T635" i="1"/>
  <c r="T609" i="1"/>
  <c r="T549" i="1"/>
  <c r="T458" i="1"/>
  <c r="T489" i="1"/>
  <c r="T479" i="1"/>
  <c r="T430" i="1"/>
  <c r="T409" i="1"/>
  <c r="T401" i="1"/>
  <c r="T629" i="1"/>
  <c r="T533" i="1"/>
  <c r="T483" i="1"/>
  <c r="T546" i="1"/>
  <c r="T616" i="1"/>
  <c r="T486" i="1"/>
  <c r="T424" i="1"/>
  <c r="T447" i="1"/>
  <c r="T513" i="1"/>
  <c r="T477" i="1"/>
  <c r="T567" i="1"/>
  <c r="T581" i="1"/>
  <c r="T600" i="1"/>
  <c r="T587" i="1"/>
  <c r="T561" i="1"/>
  <c r="T504" i="1"/>
  <c r="T636" i="1"/>
  <c r="T639" i="1"/>
  <c r="T511" i="1"/>
  <c r="T487" i="1"/>
  <c r="T532" i="1"/>
  <c r="T599" i="1"/>
  <c r="T461" i="1"/>
  <c r="T449" i="1"/>
  <c r="T436" i="1"/>
  <c r="T407" i="1"/>
  <c r="T640" i="1"/>
  <c r="T633" i="1"/>
  <c r="T521" i="1"/>
  <c r="T502" i="1"/>
  <c r="T443" i="1"/>
  <c r="T547" i="1"/>
  <c r="T516" i="1"/>
  <c r="T553" i="1"/>
  <c r="T457" i="1"/>
  <c r="T594" i="1"/>
  <c r="T492" i="1"/>
  <c r="T604" i="1"/>
  <c r="T596" i="1"/>
  <c r="T608" i="1"/>
  <c r="T556" i="1"/>
  <c r="T455" i="1"/>
  <c r="T540" i="1"/>
  <c r="T529" i="1"/>
  <c r="T619" i="1"/>
  <c r="T541" i="1"/>
  <c r="T620" i="1"/>
  <c r="T433" i="1"/>
  <c r="T413" i="1"/>
  <c r="T411" i="1"/>
  <c r="T408" i="1"/>
  <c r="T538" i="1"/>
  <c r="T638" i="1"/>
  <c r="T601" i="1"/>
  <c r="T624" i="1"/>
  <c r="T508" i="1"/>
  <c r="T528" i="1"/>
  <c r="T545" i="1"/>
  <c r="T490" i="1"/>
  <c r="T453" i="1"/>
  <c r="T475" i="1"/>
  <c r="T434" i="1"/>
  <c r="T499" i="1"/>
  <c r="T617" i="1"/>
  <c r="T595" i="1"/>
  <c r="T612" i="1"/>
  <c r="T535" i="1"/>
  <c r="T452" i="1"/>
  <c r="T450" i="1"/>
  <c r="T437" i="1"/>
  <c r="T417" i="1"/>
  <c r="T406" i="1"/>
  <c r="T445" i="1"/>
  <c r="T562" i="1"/>
  <c r="T526" i="1"/>
  <c r="T555" i="1"/>
  <c r="T510" i="1"/>
  <c r="T559" i="1"/>
  <c r="T591" i="1"/>
  <c r="T512" i="1"/>
  <c r="T493" i="1"/>
  <c r="T568" i="1"/>
  <c r="T592" i="1"/>
  <c r="T584" i="1"/>
  <c r="T590" i="1"/>
  <c r="T444" i="1"/>
  <c r="T519" i="1"/>
  <c r="T539" i="1"/>
  <c r="T456" i="1"/>
  <c r="T476" i="1"/>
  <c r="T474" i="1"/>
  <c r="T495" i="1"/>
  <c r="T429" i="1"/>
  <c r="T404" i="1"/>
  <c r="T565" i="1"/>
  <c r="T630" i="1"/>
  <c r="T523" i="1"/>
  <c r="T576" i="1"/>
  <c r="T631" i="1"/>
  <c r="T518" i="1"/>
  <c r="T621" i="1"/>
  <c r="T524" i="1"/>
  <c r="T515" i="1"/>
  <c r="T494" i="1"/>
  <c r="T610" i="1"/>
  <c r="T637" i="1"/>
  <c r="T491" i="1"/>
  <c r="T566" i="1"/>
  <c r="T622" i="1"/>
  <c r="T557" i="1"/>
  <c r="T563" i="1"/>
  <c r="T412" i="1"/>
  <c r="T478" i="1"/>
  <c r="T414" i="1"/>
  <c r="T416" i="1"/>
  <c r="T405" i="1"/>
  <c r="T607" i="1"/>
  <c r="T613" i="1"/>
  <c r="T470" i="1"/>
  <c r="T517" i="1"/>
  <c r="T482" i="1"/>
  <c r="T558" i="1"/>
  <c r="T569" i="1"/>
  <c r="T564" i="1"/>
  <c r="T500" i="1"/>
  <c r="T554" i="1"/>
  <c r="T577" i="1"/>
  <c r="T503" i="1"/>
  <c r="T536" i="1"/>
  <c r="T611" i="1"/>
  <c r="T579" i="1"/>
  <c r="T469" i="1"/>
  <c r="T606" i="1"/>
  <c r="T425" i="1"/>
  <c r="T432" i="1"/>
  <c r="T418" i="1"/>
  <c r="T415" i="1"/>
  <c r="T402" i="1"/>
  <c r="T507" i="1"/>
  <c r="T448" i="1"/>
  <c r="T571" i="1"/>
  <c r="T537" i="1"/>
  <c r="T451" i="1"/>
  <c r="T488" i="1"/>
  <c r="T544" i="1"/>
  <c r="T525" i="1"/>
  <c r="T550" i="1"/>
  <c r="T548" i="1"/>
  <c r="T498" i="1"/>
  <c r="T578" i="1"/>
  <c r="T634" i="1"/>
  <c r="T615" i="1"/>
  <c r="T588" i="1"/>
  <c r="T628" i="1"/>
  <c r="T929" i="1"/>
  <c r="T623" i="1"/>
  <c r="T560" i="1"/>
  <c r="T603" i="1"/>
  <c r="T572" i="1"/>
  <c r="T583" i="1"/>
  <c r="T527" i="1"/>
  <c r="T514" i="1"/>
  <c r="T534" i="1"/>
  <c r="T570" i="1"/>
  <c r="T582" i="1"/>
  <c r="T574" i="1"/>
  <c r="T509" i="1"/>
  <c r="T551" i="1"/>
  <c r="T593" i="1"/>
  <c r="T898" i="1"/>
  <c r="T485" i="1"/>
  <c r="T589" i="1"/>
  <c r="T542" i="1"/>
  <c r="T614" i="1"/>
  <c r="T530" i="1"/>
  <c r="T552" i="1"/>
  <c r="T384" i="1"/>
  <c r="T585" i="1"/>
  <c r="T501" i="1"/>
  <c r="T531" i="1"/>
  <c r="T573" i="1"/>
  <c r="T602" i="1"/>
  <c r="T632" i="1"/>
  <c r="T626" i="1"/>
  <c r="T497" i="1"/>
  <c r="T605" i="1"/>
  <c r="T973" i="1"/>
  <c r="T363" i="1"/>
  <c r="T304" i="1"/>
  <c r="T364" i="1"/>
  <c r="T435" i="1"/>
  <c r="T370" i="1"/>
  <c r="T346" i="1"/>
  <c r="T480" i="1"/>
  <c r="T368" i="1"/>
  <c r="T459" i="1"/>
  <c r="T446" i="1"/>
  <c r="T378" i="1"/>
  <c r="T375" i="1"/>
  <c r="T471" i="1"/>
  <c r="T309" i="1"/>
  <c r="T324" i="1"/>
  <c r="T467" i="1"/>
  <c r="T308" i="1"/>
  <c r="T421" i="1"/>
  <c r="T441" i="1"/>
  <c r="T357" i="1"/>
  <c r="T323" i="1"/>
  <c r="T381" i="1"/>
  <c r="T334" i="1"/>
  <c r="T460" i="1"/>
  <c r="T463" i="1"/>
  <c r="T354" i="1"/>
  <c r="T396" i="1"/>
  <c r="T393" i="1"/>
  <c r="T333" i="1"/>
  <c r="T339" i="1"/>
  <c r="T315" i="1"/>
  <c r="T466" i="1"/>
  <c r="T352" i="1"/>
  <c r="T329" i="1"/>
  <c r="T327" i="1"/>
  <c r="T350" i="1"/>
  <c r="T338" i="1"/>
  <c r="T472" i="1"/>
  <c r="T319" i="1"/>
  <c r="T386" i="1"/>
  <c r="T468" i="1"/>
  <c r="T400" i="1"/>
  <c r="T464" i="1"/>
  <c r="T374" i="1"/>
  <c r="T326" i="1"/>
  <c r="T307" i="1"/>
  <c r="T648" i="1"/>
  <c r="T390" i="1"/>
  <c r="T419" i="1"/>
  <c r="T484" i="1"/>
  <c r="T349" i="1"/>
  <c r="T369" i="1"/>
  <c r="T361" i="1"/>
  <c r="T305" i="1"/>
  <c r="T330" i="1"/>
  <c r="T428" i="1"/>
  <c r="T387" i="1"/>
  <c r="T356" i="1"/>
  <c r="T398" i="1"/>
  <c r="T454" i="1"/>
  <c r="T473" i="1"/>
  <c r="T440" i="1"/>
  <c r="T311" i="1"/>
  <c r="T331" i="1"/>
  <c r="T975" i="1"/>
  <c r="T669" i="1"/>
  <c r="T654" i="1"/>
  <c r="T997" i="1"/>
  <c r="T644" i="1"/>
  <c r="T642" i="1"/>
  <c r="T985" i="1"/>
  <c r="T976" i="1"/>
  <c r="T945" i="1"/>
  <c r="T951" i="1"/>
  <c r="T792" i="1"/>
  <c r="T893" i="1"/>
  <c r="T838" i="1"/>
  <c r="T758" i="1"/>
  <c r="T833" i="1"/>
  <c r="T839" i="1"/>
  <c r="T925" i="1"/>
  <c r="T910" i="1"/>
  <c r="T871" i="1"/>
  <c r="T786" i="1"/>
  <c r="T819" i="1"/>
  <c r="T874" i="1"/>
  <c r="T775" i="1"/>
  <c r="T837" i="1"/>
  <c r="T831" i="1"/>
  <c r="T785" i="1"/>
  <c r="T798" i="1"/>
  <c r="T905" i="1"/>
  <c r="T959" i="1"/>
  <c r="T742" i="1"/>
  <c r="T743" i="1"/>
  <c r="T885" i="1"/>
  <c r="T763" i="1"/>
  <c r="T791" i="1"/>
  <c r="T931" i="1"/>
  <c r="T854" i="1"/>
  <c r="T779" i="1"/>
  <c r="T749" i="1"/>
  <c r="T944" i="1"/>
  <c r="T852" i="1"/>
  <c r="T948" i="1"/>
  <c r="T399" i="1"/>
  <c r="T641" i="1"/>
  <c r="T658" i="1"/>
  <c r="T656" i="1"/>
  <c r="T643" i="1"/>
  <c r="T998" i="1"/>
  <c r="T1000" i="1"/>
  <c r="T977" i="1"/>
  <c r="T987" i="1"/>
  <c r="T820" i="1"/>
  <c r="T965" i="1"/>
  <c r="T781" i="1"/>
  <c r="T778" i="1"/>
  <c r="T741" i="1"/>
  <c r="T808" i="1"/>
  <c r="T768" i="1"/>
  <c r="T787" i="1"/>
  <c r="T942" i="1"/>
  <c r="T777" i="1"/>
  <c r="T736" i="1"/>
  <c r="T747" i="1"/>
  <c r="T909" i="1"/>
  <c r="T888" i="1"/>
  <c r="T890" i="1"/>
  <c r="T872" i="1"/>
  <c r="T823" i="1"/>
  <c r="T734" i="1"/>
  <c r="T799" i="1"/>
  <c r="T745" i="1"/>
  <c r="T848" i="1"/>
  <c r="T939" i="1"/>
  <c r="T914" i="1"/>
  <c r="T926" i="1"/>
  <c r="T802" i="1"/>
  <c r="T772" i="1"/>
  <c r="T956" i="1"/>
  <c r="T801" i="1"/>
  <c r="T954" i="1"/>
  <c r="T927" i="1"/>
  <c r="T922" i="1"/>
  <c r="T883" i="1"/>
  <c r="T920" i="1"/>
  <c r="T923" i="1"/>
  <c r="T903" i="1"/>
  <c r="T321" i="1"/>
  <c r="T667" i="1"/>
  <c r="T652" i="1"/>
  <c r="T649" i="1"/>
  <c r="T651" i="1"/>
  <c r="T647" i="1"/>
  <c r="T665" i="1"/>
  <c r="T904" i="1"/>
  <c r="T968" i="1"/>
  <c r="T752" i="1"/>
  <c r="T847" i="1"/>
  <c r="T840" i="1"/>
  <c r="T810" i="1"/>
  <c r="T811" i="1"/>
  <c r="T842" i="1"/>
  <c r="T901" i="1"/>
  <c r="T804" i="1"/>
  <c r="T952" i="1"/>
  <c r="T900" i="1"/>
  <c r="T892" i="1"/>
  <c r="T843" i="1"/>
  <c r="T869" i="1"/>
  <c r="T828" i="1"/>
  <c r="T788" i="1"/>
  <c r="T733" i="1"/>
  <c r="T911" i="1"/>
  <c r="T753" i="1"/>
  <c r="T946" i="1"/>
  <c r="T807" i="1"/>
  <c r="T957" i="1"/>
  <c r="T864" i="1"/>
  <c r="T895" i="1"/>
  <c r="T865" i="1"/>
  <c r="T876" i="1"/>
  <c r="T960" i="1"/>
  <c r="T759" i="1"/>
  <c r="T918" i="1"/>
  <c r="T849" i="1"/>
  <c r="T983" i="1"/>
  <c r="T996" i="1"/>
  <c r="T646" i="1"/>
  <c r="T645" i="1"/>
  <c r="T668" i="1"/>
  <c r="T994" i="1"/>
  <c r="T664" i="1"/>
  <c r="T751" i="1"/>
  <c r="T813" i="1"/>
  <c r="T750" i="1"/>
  <c r="T846" i="1"/>
  <c r="T740" i="1"/>
  <c r="T877" i="1"/>
  <c r="T760" i="1"/>
  <c r="T754" i="1"/>
  <c r="T776" i="1"/>
  <c r="T873" i="1"/>
  <c r="T889" i="1"/>
  <c r="T830" i="1"/>
  <c r="T855" i="1"/>
  <c r="T829" i="1"/>
  <c r="T887" i="1"/>
  <c r="T735" i="1"/>
  <c r="T963" i="1"/>
  <c r="T773" i="1"/>
  <c r="T853" i="1"/>
  <c r="T935" i="1"/>
  <c r="T938" i="1"/>
  <c r="T949" i="1"/>
  <c r="T967" i="1"/>
  <c r="T879" i="1"/>
  <c r="T767" i="1"/>
  <c r="T915" i="1"/>
  <c r="T913" i="1"/>
  <c r="T966" i="1"/>
  <c r="T851" i="1"/>
  <c r="T999" i="1"/>
  <c r="T978" i="1"/>
  <c r="T981" i="1"/>
  <c r="T993" i="1"/>
  <c r="T980" i="1"/>
  <c r="T663" i="1"/>
  <c r="T992" i="1"/>
  <c r="T661" i="1"/>
  <c r="T974" i="1"/>
  <c r="T662" i="1"/>
  <c r="T896" i="1"/>
  <c r="T878" i="1"/>
  <c r="T886" i="1"/>
  <c r="T858" i="1"/>
  <c r="T796" i="1"/>
  <c r="T780" i="1"/>
  <c r="T769" i="1"/>
  <c r="T835" i="1"/>
  <c r="T943" i="1"/>
  <c r="T803" i="1"/>
  <c r="T818" i="1"/>
  <c r="T941" i="1"/>
  <c r="T794" i="1"/>
  <c r="T825" i="1"/>
  <c r="T817" i="1"/>
  <c r="T836" i="1"/>
  <c r="T826" i="1"/>
  <c r="T731" i="1"/>
  <c r="T906" i="1"/>
  <c r="T940" i="1"/>
  <c r="T850" i="1"/>
  <c r="T953" i="1"/>
  <c r="T933" i="1"/>
  <c r="T907" i="1"/>
  <c r="T934" i="1"/>
  <c r="T930" i="1"/>
  <c r="T916" i="1"/>
  <c r="T832" i="1"/>
  <c r="T575" i="1"/>
  <c r="T989" i="1"/>
  <c r="T979" i="1"/>
  <c r="T659" i="1"/>
  <c r="T972" i="1"/>
  <c r="T971" i="1"/>
  <c r="T660" i="1"/>
  <c r="T762" i="1"/>
  <c r="T822" i="1"/>
  <c r="T761" i="1"/>
  <c r="T812" i="1"/>
  <c r="T790" i="1"/>
  <c r="T756" i="1"/>
  <c r="T857" i="1"/>
  <c r="T856" i="1"/>
  <c r="T881" i="1"/>
  <c r="T880" i="1"/>
  <c r="T870" i="1"/>
  <c r="T793" i="1"/>
  <c r="T739" i="1"/>
  <c r="T894" i="1"/>
  <c r="T834" i="1"/>
  <c r="T789" i="1"/>
  <c r="T732" i="1"/>
  <c r="T863" i="1"/>
  <c r="T950" i="1"/>
  <c r="T862" i="1"/>
  <c r="T897" i="1"/>
  <c r="T859" i="1"/>
  <c r="T928" i="1"/>
  <c r="T744" i="1"/>
  <c r="T771" i="1"/>
  <c r="T806" i="1"/>
  <c r="T947" i="1"/>
  <c r="T764" i="1"/>
  <c r="T969" i="1"/>
  <c r="T814" i="1"/>
  <c r="T958" i="1"/>
  <c r="T746" i="1"/>
  <c r="T809" i="1"/>
  <c r="T964" i="1"/>
  <c r="T800" i="1"/>
  <c r="T984" i="1"/>
  <c r="T991" i="1"/>
  <c r="T995" i="1"/>
  <c r="T657" i="1"/>
  <c r="T666" i="1"/>
  <c r="T882" i="1"/>
  <c r="T815" i="1"/>
  <c r="T770" i="1"/>
  <c r="T962" i="1"/>
  <c r="T755" i="1"/>
  <c r="T961" i="1"/>
  <c r="T748" i="1"/>
  <c r="T924" i="1"/>
  <c r="T875" i="1"/>
  <c r="T891" i="1"/>
  <c r="T844" i="1"/>
  <c r="T737" i="1"/>
  <c r="T868" i="1"/>
  <c r="T784" i="1"/>
  <c r="T782" i="1"/>
  <c r="T970" i="1"/>
  <c r="T841" i="1"/>
  <c r="T908" i="1"/>
  <c r="T937" i="1"/>
  <c r="T797" i="1"/>
  <c r="T861" i="1"/>
  <c r="T932" i="1"/>
  <c r="T990" i="1"/>
  <c r="T655" i="1"/>
  <c r="T650" i="1"/>
  <c r="T982" i="1"/>
  <c r="T653" i="1"/>
  <c r="T986" i="1"/>
  <c r="T988" i="1"/>
  <c r="U85" i="1"/>
  <c r="V85" i="1" s="1"/>
  <c r="Q86" i="1"/>
  <c r="S7" i="1"/>
  <c r="T7" i="1" s="1"/>
  <c r="S8" i="1" l="1"/>
  <c r="T8" i="1" s="1"/>
  <c r="U86" i="1"/>
  <c r="V86" i="1" s="1"/>
  <c r="Q87" i="1"/>
  <c r="U87" i="1" l="1"/>
  <c r="V87" i="1" s="1"/>
  <c r="Q88" i="1"/>
  <c r="U88" i="1" l="1"/>
  <c r="V88" i="1" s="1"/>
  <c r="Q89" i="1"/>
  <c r="U89" i="1" l="1"/>
  <c r="V89" i="1" s="1"/>
  <c r="Q90" i="1"/>
  <c r="U90" i="1" l="1"/>
  <c r="V90" i="1" s="1"/>
  <c r="Q91" i="1"/>
  <c r="U91" i="1" l="1"/>
  <c r="V91" i="1" s="1"/>
  <c r="Q92" i="1"/>
  <c r="Q93" i="1" l="1"/>
  <c r="U92" i="1"/>
  <c r="V92" i="1" s="1"/>
  <c r="Q94" i="1" l="1"/>
  <c r="U93" i="1"/>
  <c r="V93" i="1" s="1"/>
  <c r="Q95" i="1" l="1"/>
  <c r="U94" i="1"/>
  <c r="V94" i="1" s="1"/>
  <c r="Q96" i="1" l="1"/>
  <c r="U95" i="1"/>
  <c r="V95" i="1" s="1"/>
  <c r="Q97" i="1" l="1"/>
  <c r="U96" i="1"/>
  <c r="V96" i="1" s="1"/>
  <c r="Q98" i="1" l="1"/>
  <c r="U97" i="1"/>
  <c r="V97" i="1" s="1"/>
  <c r="Q99" i="1" l="1"/>
  <c r="U98" i="1"/>
  <c r="V98" i="1" s="1"/>
  <c r="Q100" i="1" l="1"/>
  <c r="U99" i="1"/>
  <c r="V99" i="1" s="1"/>
  <c r="Q101" i="1" l="1"/>
  <c r="U100" i="1"/>
  <c r="V100" i="1" s="1"/>
  <c r="Q102" i="1" l="1"/>
  <c r="U101" i="1"/>
  <c r="V101" i="1" s="1"/>
  <c r="Q103" i="1" l="1"/>
  <c r="U102" i="1"/>
  <c r="V102" i="1" s="1"/>
  <c r="Q104" i="1" l="1"/>
  <c r="U103" i="1"/>
  <c r="V103" i="1" s="1"/>
  <c r="Q105" i="1" l="1"/>
  <c r="U104" i="1"/>
  <c r="V104" i="1" s="1"/>
  <c r="Q106" i="1" l="1"/>
  <c r="U105" i="1"/>
  <c r="V105" i="1" s="1"/>
  <c r="Q107" i="1" l="1"/>
  <c r="U106" i="1"/>
  <c r="V106" i="1" s="1"/>
  <c r="Q108" i="1" l="1"/>
  <c r="U107" i="1"/>
  <c r="V107" i="1" s="1"/>
  <c r="Q109" i="1" l="1"/>
  <c r="U108" i="1"/>
  <c r="V108" i="1" s="1"/>
  <c r="Q110" i="1" l="1"/>
  <c r="U109" i="1"/>
  <c r="V109" i="1" s="1"/>
  <c r="Q111" i="1" l="1"/>
  <c r="U110" i="1"/>
  <c r="V110" i="1" s="1"/>
  <c r="Q112" i="1" l="1"/>
  <c r="U111" i="1"/>
  <c r="V111" i="1" s="1"/>
  <c r="Q113" i="1" l="1"/>
  <c r="U112" i="1"/>
  <c r="V112" i="1" s="1"/>
  <c r="Q114" i="1" l="1"/>
  <c r="U113" i="1"/>
  <c r="V113" i="1" s="1"/>
  <c r="Q115" i="1" l="1"/>
  <c r="U114" i="1"/>
  <c r="V114" i="1" s="1"/>
  <c r="Q116" i="1" l="1"/>
  <c r="U115" i="1"/>
  <c r="V115" i="1" s="1"/>
  <c r="Q117" i="1" l="1"/>
  <c r="U116" i="1"/>
  <c r="V116" i="1" s="1"/>
  <c r="Q118" i="1" l="1"/>
  <c r="U117" i="1"/>
  <c r="V117" i="1" s="1"/>
  <c r="Q119" i="1" l="1"/>
  <c r="U118" i="1"/>
  <c r="V118" i="1" s="1"/>
  <c r="Q120" i="1" l="1"/>
  <c r="U119" i="1"/>
  <c r="V119" i="1" s="1"/>
  <c r="Q121" i="1" l="1"/>
  <c r="U120" i="1"/>
  <c r="V120" i="1" s="1"/>
  <c r="Q122" i="1" l="1"/>
  <c r="U121" i="1"/>
  <c r="V121" i="1" s="1"/>
  <c r="Q123" i="1" l="1"/>
  <c r="U122" i="1"/>
  <c r="V122" i="1" s="1"/>
  <c r="Q124" i="1" l="1"/>
  <c r="U123" i="1"/>
  <c r="V123" i="1" s="1"/>
  <c r="Q125" i="1" l="1"/>
  <c r="U124" i="1"/>
  <c r="V124" i="1" s="1"/>
  <c r="Q126" i="1" l="1"/>
  <c r="U125" i="1"/>
  <c r="V125" i="1" s="1"/>
  <c r="Q127" i="1" l="1"/>
  <c r="U126" i="1"/>
  <c r="V126" i="1" s="1"/>
  <c r="Q128" i="1" l="1"/>
  <c r="U127" i="1"/>
  <c r="V127" i="1" s="1"/>
  <c r="Q129" i="1" l="1"/>
  <c r="U128" i="1"/>
  <c r="V128" i="1" s="1"/>
  <c r="Q130" i="1" l="1"/>
  <c r="U129" i="1"/>
  <c r="V129" i="1" s="1"/>
  <c r="Q131" i="1" l="1"/>
  <c r="U130" i="1"/>
  <c r="V130" i="1" s="1"/>
  <c r="Q132" i="1" l="1"/>
  <c r="U131" i="1"/>
  <c r="V131" i="1" s="1"/>
  <c r="Q133" i="1" l="1"/>
  <c r="U132" i="1"/>
  <c r="V132" i="1" s="1"/>
  <c r="Q134" i="1" l="1"/>
  <c r="U133" i="1"/>
  <c r="V133" i="1" s="1"/>
  <c r="Q135" i="1" l="1"/>
  <c r="U134" i="1"/>
  <c r="V134" i="1" s="1"/>
  <c r="Q136" i="1" l="1"/>
  <c r="U135" i="1"/>
  <c r="V135" i="1" s="1"/>
  <c r="Q137" i="1" l="1"/>
  <c r="U136" i="1"/>
  <c r="V136" i="1" s="1"/>
  <c r="Q138" i="1" l="1"/>
  <c r="U137" i="1"/>
  <c r="V137" i="1" s="1"/>
  <c r="Q139" i="1" l="1"/>
  <c r="U138" i="1"/>
  <c r="V138" i="1" s="1"/>
  <c r="Q140" i="1" l="1"/>
  <c r="U139" i="1"/>
  <c r="V139" i="1" s="1"/>
  <c r="Q141" i="1" l="1"/>
  <c r="U140" i="1"/>
  <c r="V140" i="1" s="1"/>
  <c r="Q142" i="1" l="1"/>
  <c r="U141" i="1"/>
  <c r="V141" i="1" s="1"/>
  <c r="Q143" i="1" l="1"/>
  <c r="U142" i="1"/>
  <c r="V142" i="1" s="1"/>
  <c r="Q144" i="1" l="1"/>
  <c r="U143" i="1"/>
  <c r="V143" i="1" s="1"/>
  <c r="Q145" i="1" l="1"/>
  <c r="U144" i="1"/>
  <c r="V144" i="1" s="1"/>
  <c r="Q146" i="1" l="1"/>
  <c r="U145" i="1"/>
  <c r="V145" i="1" s="1"/>
  <c r="Q147" i="1" l="1"/>
  <c r="U146" i="1"/>
  <c r="V146" i="1" s="1"/>
  <c r="Q148" i="1" l="1"/>
  <c r="U147" i="1"/>
  <c r="V147" i="1" s="1"/>
  <c r="Q149" i="1" l="1"/>
  <c r="U148" i="1"/>
  <c r="V148" i="1" s="1"/>
  <c r="Q150" i="1" l="1"/>
  <c r="U149" i="1"/>
  <c r="V149" i="1" s="1"/>
  <c r="Q151" i="1" l="1"/>
  <c r="U150" i="1"/>
  <c r="V150" i="1" s="1"/>
  <c r="Q152" i="1" l="1"/>
  <c r="U151" i="1"/>
  <c r="V151" i="1" s="1"/>
  <c r="Q153" i="1" l="1"/>
  <c r="U152" i="1"/>
  <c r="V152" i="1" s="1"/>
  <c r="Q154" i="1" l="1"/>
  <c r="U153" i="1"/>
  <c r="V153" i="1" s="1"/>
  <c r="Q155" i="1" l="1"/>
  <c r="U154" i="1"/>
  <c r="V154" i="1" s="1"/>
  <c r="Q156" i="1" l="1"/>
  <c r="U155" i="1"/>
  <c r="V155" i="1" s="1"/>
  <c r="Q157" i="1" l="1"/>
  <c r="U156" i="1"/>
  <c r="V156" i="1" s="1"/>
  <c r="Q158" i="1" l="1"/>
  <c r="U157" i="1"/>
  <c r="V157" i="1" s="1"/>
  <c r="Q159" i="1" l="1"/>
  <c r="U158" i="1"/>
  <c r="V158" i="1" s="1"/>
  <c r="Q160" i="1" l="1"/>
  <c r="U159" i="1"/>
  <c r="V159" i="1" s="1"/>
  <c r="Q161" i="1" l="1"/>
  <c r="U160" i="1"/>
  <c r="V160" i="1" s="1"/>
  <c r="Q162" i="1" l="1"/>
  <c r="U161" i="1"/>
  <c r="V161" i="1" s="1"/>
  <c r="Q163" i="1" l="1"/>
  <c r="U162" i="1"/>
  <c r="V162" i="1" s="1"/>
  <c r="Q164" i="1" l="1"/>
  <c r="U163" i="1"/>
  <c r="V163" i="1" s="1"/>
  <c r="Q165" i="1" l="1"/>
  <c r="U164" i="1"/>
  <c r="V164" i="1" s="1"/>
  <c r="Q166" i="1" l="1"/>
  <c r="U165" i="1"/>
  <c r="V165" i="1" s="1"/>
  <c r="Q167" i="1" l="1"/>
  <c r="U166" i="1"/>
  <c r="V166" i="1" s="1"/>
  <c r="Q168" i="1" l="1"/>
  <c r="U167" i="1"/>
  <c r="V167" i="1" s="1"/>
  <c r="Q169" i="1" l="1"/>
  <c r="U168" i="1"/>
  <c r="V168" i="1" s="1"/>
  <c r="Q170" i="1" l="1"/>
  <c r="U169" i="1"/>
  <c r="V169" i="1" s="1"/>
  <c r="Q171" i="1" l="1"/>
  <c r="U170" i="1"/>
  <c r="V170" i="1" s="1"/>
  <c r="Q172" i="1" l="1"/>
  <c r="U171" i="1"/>
  <c r="V171" i="1" s="1"/>
  <c r="Q173" i="1" l="1"/>
  <c r="U172" i="1"/>
  <c r="V172" i="1" s="1"/>
  <c r="Q174" i="1" l="1"/>
  <c r="U173" i="1"/>
  <c r="V173" i="1" s="1"/>
  <c r="Q175" i="1" l="1"/>
  <c r="U174" i="1"/>
  <c r="V174" i="1" s="1"/>
  <c r="Q176" i="1" l="1"/>
  <c r="U175" i="1"/>
  <c r="V175" i="1" s="1"/>
  <c r="Q177" i="1" l="1"/>
  <c r="U176" i="1"/>
  <c r="V176" i="1" s="1"/>
  <c r="Q178" i="1" l="1"/>
  <c r="U177" i="1"/>
  <c r="V177" i="1" s="1"/>
  <c r="Q179" i="1" l="1"/>
  <c r="U178" i="1"/>
  <c r="V178" i="1" s="1"/>
  <c r="Q180" i="1" l="1"/>
  <c r="U179" i="1"/>
  <c r="V179" i="1" s="1"/>
  <c r="Q181" i="1" l="1"/>
  <c r="U180" i="1"/>
  <c r="V180" i="1" s="1"/>
  <c r="Q182" i="1" l="1"/>
  <c r="U181" i="1"/>
  <c r="V181" i="1" s="1"/>
  <c r="Q183" i="1" l="1"/>
  <c r="U182" i="1"/>
  <c r="V182" i="1" s="1"/>
  <c r="Q184" i="1" l="1"/>
  <c r="U183" i="1"/>
  <c r="V183" i="1" s="1"/>
  <c r="Q185" i="1" l="1"/>
  <c r="U184" i="1"/>
  <c r="V184" i="1" s="1"/>
  <c r="Q186" i="1" l="1"/>
  <c r="U185" i="1"/>
  <c r="V185" i="1" s="1"/>
  <c r="Q187" i="1" l="1"/>
  <c r="U186" i="1"/>
  <c r="V186" i="1" s="1"/>
  <c r="Q188" i="1" l="1"/>
  <c r="U187" i="1"/>
  <c r="V187" i="1" s="1"/>
  <c r="Q189" i="1" l="1"/>
  <c r="U188" i="1"/>
  <c r="V188" i="1" s="1"/>
  <c r="Q190" i="1" l="1"/>
  <c r="U189" i="1"/>
  <c r="V189" i="1" s="1"/>
  <c r="Q191" i="1" l="1"/>
  <c r="U190" i="1"/>
  <c r="V190" i="1" s="1"/>
  <c r="Q192" i="1" l="1"/>
  <c r="U191" i="1"/>
  <c r="V191" i="1" s="1"/>
  <c r="Q193" i="1" l="1"/>
  <c r="U192" i="1"/>
  <c r="V192" i="1" s="1"/>
  <c r="Q194" i="1" l="1"/>
  <c r="U193" i="1"/>
  <c r="V193" i="1" s="1"/>
  <c r="Q195" i="1" l="1"/>
  <c r="U194" i="1"/>
  <c r="V194" i="1" s="1"/>
  <c r="Q196" i="1" l="1"/>
  <c r="U195" i="1"/>
  <c r="V195" i="1" s="1"/>
  <c r="Q197" i="1" l="1"/>
  <c r="U196" i="1"/>
  <c r="V196" i="1" s="1"/>
  <c r="Q198" i="1" l="1"/>
  <c r="U197" i="1"/>
  <c r="V197" i="1" s="1"/>
  <c r="Q199" i="1" l="1"/>
  <c r="U198" i="1"/>
  <c r="V198" i="1" s="1"/>
  <c r="Q200" i="1" l="1"/>
  <c r="U199" i="1"/>
  <c r="V199" i="1" s="1"/>
  <c r="Q201" i="1" l="1"/>
  <c r="U200" i="1"/>
  <c r="V200" i="1" s="1"/>
  <c r="Q202" i="1" l="1"/>
  <c r="U201" i="1"/>
  <c r="V201" i="1" s="1"/>
  <c r="Q203" i="1" l="1"/>
  <c r="U202" i="1"/>
  <c r="V202" i="1" s="1"/>
  <c r="Q204" i="1" l="1"/>
  <c r="U203" i="1"/>
  <c r="V203" i="1" s="1"/>
  <c r="Q205" i="1" l="1"/>
  <c r="U204" i="1"/>
  <c r="V204" i="1" s="1"/>
  <c r="Q206" i="1" l="1"/>
  <c r="U205" i="1"/>
  <c r="V205" i="1" s="1"/>
  <c r="Q207" i="1" l="1"/>
  <c r="U206" i="1"/>
  <c r="V206" i="1" s="1"/>
  <c r="Q208" i="1" l="1"/>
  <c r="U207" i="1"/>
  <c r="V207" i="1" s="1"/>
  <c r="Q209" i="1" l="1"/>
  <c r="U208" i="1"/>
  <c r="V208" i="1" s="1"/>
  <c r="Q210" i="1" l="1"/>
  <c r="U209" i="1"/>
  <c r="V209" i="1" s="1"/>
  <c r="Q211" i="1" l="1"/>
  <c r="U210" i="1"/>
  <c r="V210" i="1" s="1"/>
  <c r="Q212" i="1" l="1"/>
  <c r="U211" i="1"/>
  <c r="V211" i="1" s="1"/>
  <c r="Q213" i="1" l="1"/>
  <c r="U212" i="1"/>
  <c r="V212" i="1" s="1"/>
  <c r="Q214" i="1" l="1"/>
  <c r="U213" i="1"/>
  <c r="V213" i="1" s="1"/>
  <c r="Q215" i="1" l="1"/>
  <c r="U214" i="1"/>
  <c r="V214" i="1" s="1"/>
  <c r="Q216" i="1" l="1"/>
  <c r="U215" i="1"/>
  <c r="V215" i="1" s="1"/>
  <c r="Q217" i="1" l="1"/>
  <c r="U216" i="1"/>
  <c r="V216" i="1" s="1"/>
  <c r="U217" i="1" l="1"/>
  <c r="V217" i="1" s="1"/>
  <c r="Q218" i="1"/>
  <c r="Q219" i="1" l="1"/>
  <c r="U218" i="1"/>
  <c r="V218" i="1" s="1"/>
  <c r="Q220" i="1" l="1"/>
  <c r="U219" i="1"/>
  <c r="V219" i="1" s="1"/>
  <c r="Q221" i="1" l="1"/>
  <c r="U220" i="1"/>
  <c r="V220" i="1" s="1"/>
  <c r="Q222" i="1" l="1"/>
  <c r="U221" i="1"/>
  <c r="V221" i="1" s="1"/>
  <c r="Q223" i="1" l="1"/>
  <c r="U222" i="1"/>
  <c r="V222" i="1" s="1"/>
  <c r="Q224" i="1" l="1"/>
  <c r="U223" i="1"/>
  <c r="V223" i="1" s="1"/>
  <c r="Q225" i="1" l="1"/>
  <c r="U224" i="1"/>
  <c r="V224" i="1" s="1"/>
  <c r="Q226" i="1" l="1"/>
  <c r="U225" i="1"/>
  <c r="V225" i="1" s="1"/>
  <c r="Q227" i="1" l="1"/>
  <c r="U226" i="1"/>
  <c r="V226" i="1" s="1"/>
  <c r="Q228" i="1" l="1"/>
  <c r="U227" i="1"/>
  <c r="V227" i="1" s="1"/>
  <c r="Q229" i="1" l="1"/>
  <c r="U228" i="1"/>
  <c r="V228" i="1" s="1"/>
  <c r="Q230" i="1" l="1"/>
  <c r="U229" i="1"/>
  <c r="V229" i="1" s="1"/>
  <c r="Q231" i="1" l="1"/>
  <c r="U230" i="1"/>
  <c r="V230" i="1" s="1"/>
  <c r="Q232" i="1" l="1"/>
  <c r="U231" i="1"/>
  <c r="V231" i="1" s="1"/>
  <c r="Q233" i="1" l="1"/>
  <c r="U232" i="1"/>
  <c r="V232" i="1" s="1"/>
  <c r="Q234" i="1" l="1"/>
  <c r="U233" i="1"/>
  <c r="V233" i="1" s="1"/>
  <c r="Q235" i="1" l="1"/>
  <c r="U234" i="1"/>
  <c r="V234" i="1" s="1"/>
  <c r="Q236" i="1" l="1"/>
  <c r="U235" i="1"/>
  <c r="V235" i="1" s="1"/>
  <c r="Q237" i="1" l="1"/>
  <c r="U236" i="1"/>
  <c r="V236" i="1" s="1"/>
  <c r="Q238" i="1" l="1"/>
  <c r="U237" i="1"/>
  <c r="V237" i="1" s="1"/>
  <c r="Q239" i="1" l="1"/>
  <c r="U238" i="1"/>
  <c r="V238" i="1" s="1"/>
  <c r="Q240" i="1" l="1"/>
  <c r="U239" i="1"/>
  <c r="V239" i="1" s="1"/>
  <c r="Q241" i="1" l="1"/>
  <c r="U240" i="1"/>
  <c r="V240" i="1" s="1"/>
  <c r="Q242" i="1" l="1"/>
  <c r="U241" i="1"/>
  <c r="V241" i="1" s="1"/>
  <c r="Q243" i="1" l="1"/>
  <c r="U242" i="1"/>
  <c r="V242" i="1" s="1"/>
  <c r="Q244" i="1" l="1"/>
  <c r="U243" i="1"/>
  <c r="V243" i="1" s="1"/>
  <c r="Q245" i="1" l="1"/>
  <c r="U244" i="1"/>
  <c r="V244" i="1" s="1"/>
  <c r="Q246" i="1" l="1"/>
  <c r="U245" i="1"/>
  <c r="V245" i="1" s="1"/>
  <c r="Q247" i="1" l="1"/>
  <c r="U246" i="1"/>
  <c r="V246" i="1" s="1"/>
  <c r="Q248" i="1" l="1"/>
  <c r="U247" i="1"/>
  <c r="V247" i="1" s="1"/>
  <c r="Q249" i="1" l="1"/>
  <c r="U248" i="1"/>
  <c r="V248" i="1" s="1"/>
  <c r="Q250" i="1" l="1"/>
  <c r="U249" i="1"/>
  <c r="V249" i="1" s="1"/>
  <c r="Q251" i="1" l="1"/>
  <c r="U250" i="1"/>
  <c r="V250" i="1" s="1"/>
  <c r="Q252" i="1" l="1"/>
  <c r="U251" i="1"/>
  <c r="V251" i="1" s="1"/>
  <c r="Q253" i="1" l="1"/>
  <c r="U252" i="1"/>
  <c r="V252" i="1" s="1"/>
  <c r="Q254" i="1" l="1"/>
  <c r="U253" i="1"/>
  <c r="V253" i="1" s="1"/>
  <c r="Q255" i="1" l="1"/>
  <c r="U254" i="1"/>
  <c r="V254" i="1" s="1"/>
  <c r="Q256" i="1" l="1"/>
  <c r="U255" i="1"/>
  <c r="V255" i="1" s="1"/>
  <c r="Q257" i="1" l="1"/>
  <c r="U256" i="1"/>
  <c r="V256" i="1" s="1"/>
  <c r="Q258" i="1" l="1"/>
  <c r="U257" i="1"/>
  <c r="V257" i="1" s="1"/>
  <c r="Q259" i="1" l="1"/>
  <c r="U258" i="1"/>
  <c r="V258" i="1" s="1"/>
  <c r="Q260" i="1" l="1"/>
  <c r="U259" i="1"/>
  <c r="V259" i="1" s="1"/>
  <c r="Q261" i="1" l="1"/>
  <c r="U260" i="1"/>
  <c r="V260" i="1" s="1"/>
  <c r="Q262" i="1" l="1"/>
  <c r="U261" i="1"/>
  <c r="V261" i="1" s="1"/>
  <c r="Q263" i="1" l="1"/>
  <c r="U262" i="1"/>
  <c r="V262" i="1" s="1"/>
  <c r="Q264" i="1" l="1"/>
  <c r="U263" i="1"/>
  <c r="V263" i="1" s="1"/>
  <c r="Q265" i="1" l="1"/>
  <c r="U264" i="1"/>
  <c r="V264" i="1" s="1"/>
  <c r="Q266" i="1" l="1"/>
  <c r="U265" i="1"/>
  <c r="V265" i="1" s="1"/>
  <c r="Q267" i="1" l="1"/>
  <c r="U266" i="1"/>
  <c r="V266" i="1" s="1"/>
  <c r="Q268" i="1" l="1"/>
  <c r="U267" i="1"/>
  <c r="V267" i="1" s="1"/>
  <c r="Q269" i="1" l="1"/>
  <c r="U268" i="1"/>
  <c r="V268" i="1" s="1"/>
  <c r="Q270" i="1" l="1"/>
  <c r="U269" i="1"/>
  <c r="V269" i="1" s="1"/>
  <c r="Q271" i="1" l="1"/>
  <c r="U270" i="1"/>
  <c r="V270" i="1" s="1"/>
  <c r="Q272" i="1" l="1"/>
  <c r="U271" i="1"/>
  <c r="V271" i="1" s="1"/>
  <c r="Q273" i="1" l="1"/>
  <c r="U272" i="1"/>
  <c r="V272" i="1" s="1"/>
  <c r="Q274" i="1" l="1"/>
  <c r="U273" i="1"/>
  <c r="V273" i="1" s="1"/>
  <c r="Q275" i="1" l="1"/>
  <c r="U274" i="1"/>
  <c r="V274" i="1" s="1"/>
  <c r="Q276" i="1" l="1"/>
  <c r="U275" i="1"/>
  <c r="V275" i="1" s="1"/>
  <c r="Q277" i="1" l="1"/>
  <c r="U276" i="1"/>
  <c r="V276" i="1" s="1"/>
  <c r="Q278" i="1" l="1"/>
  <c r="U277" i="1"/>
  <c r="V277" i="1" s="1"/>
  <c r="Q279" i="1" l="1"/>
  <c r="U278" i="1"/>
  <c r="V278" i="1" s="1"/>
  <c r="Q280" i="1" l="1"/>
  <c r="U279" i="1"/>
  <c r="V279" i="1" s="1"/>
  <c r="Q281" i="1" l="1"/>
  <c r="U280" i="1"/>
  <c r="V280" i="1" s="1"/>
  <c r="Q282" i="1" l="1"/>
  <c r="U281" i="1"/>
  <c r="V281" i="1" s="1"/>
  <c r="Q283" i="1" l="1"/>
  <c r="U282" i="1"/>
  <c r="V282" i="1" s="1"/>
  <c r="Q284" i="1" l="1"/>
  <c r="U283" i="1"/>
  <c r="V283" i="1" s="1"/>
  <c r="Q285" i="1" l="1"/>
  <c r="U284" i="1"/>
  <c r="V284" i="1" s="1"/>
  <c r="Q286" i="1" l="1"/>
  <c r="U285" i="1"/>
  <c r="V285" i="1" s="1"/>
  <c r="Q287" i="1" l="1"/>
  <c r="U286" i="1"/>
  <c r="V286" i="1" s="1"/>
  <c r="Q288" i="1" l="1"/>
  <c r="U287" i="1"/>
  <c r="V287" i="1" s="1"/>
  <c r="Q289" i="1" l="1"/>
  <c r="U288" i="1"/>
  <c r="V288" i="1" s="1"/>
  <c r="Q290" i="1" l="1"/>
  <c r="U289" i="1"/>
  <c r="V289" i="1" s="1"/>
  <c r="Q291" i="1" l="1"/>
  <c r="U290" i="1"/>
  <c r="V290" i="1" s="1"/>
  <c r="Q292" i="1" l="1"/>
  <c r="U291" i="1"/>
  <c r="V291" i="1" s="1"/>
  <c r="Q293" i="1" l="1"/>
  <c r="U292" i="1"/>
  <c r="V292" i="1" s="1"/>
  <c r="Q294" i="1" l="1"/>
  <c r="U293" i="1"/>
  <c r="V293" i="1" s="1"/>
  <c r="Q295" i="1" l="1"/>
  <c r="U294" i="1"/>
  <c r="V294" i="1" s="1"/>
  <c r="Q296" i="1" l="1"/>
  <c r="U295" i="1"/>
  <c r="V295" i="1" s="1"/>
  <c r="Q297" i="1" l="1"/>
  <c r="U296" i="1"/>
  <c r="V296" i="1" s="1"/>
  <c r="Q298" i="1" l="1"/>
  <c r="U297" i="1"/>
  <c r="V297" i="1" s="1"/>
  <c r="Q299" i="1" l="1"/>
  <c r="U298" i="1"/>
  <c r="V298" i="1" s="1"/>
  <c r="Q300" i="1" l="1"/>
  <c r="U299" i="1"/>
  <c r="V299" i="1" s="1"/>
  <c r="Q301" i="1" l="1"/>
  <c r="U300" i="1"/>
  <c r="V300" i="1" s="1"/>
  <c r="W300" i="1" l="1"/>
  <c r="Q302" i="1"/>
  <c r="U301" i="1"/>
  <c r="V301" i="1" s="1"/>
  <c r="W301" i="1" l="1"/>
  <c r="Q303" i="1"/>
  <c r="U302" i="1"/>
  <c r="V302" i="1" s="1"/>
  <c r="W302" i="1" l="1"/>
  <c r="Q304" i="1"/>
  <c r="U303" i="1"/>
  <c r="V303" i="1" s="1"/>
  <c r="W303" i="1" l="1"/>
  <c r="Q305" i="1"/>
  <c r="U304" i="1"/>
  <c r="V304" i="1" s="1"/>
  <c r="W304" i="1" l="1"/>
  <c r="Q306" i="1"/>
  <c r="U305" i="1"/>
  <c r="V305" i="1" s="1"/>
  <c r="W305" i="1" l="1"/>
  <c r="Q307" i="1"/>
  <c r="U306" i="1"/>
  <c r="V306" i="1" s="1"/>
  <c r="W306" i="1" l="1"/>
  <c r="Q308" i="1"/>
  <c r="U307" i="1"/>
  <c r="V307" i="1" s="1"/>
  <c r="W307" i="1" l="1"/>
  <c r="Q309" i="1"/>
  <c r="U308" i="1"/>
  <c r="V308" i="1" s="1"/>
  <c r="W308" i="1" l="1"/>
  <c r="Q310" i="1"/>
  <c r="U309" i="1"/>
  <c r="V309" i="1" s="1"/>
  <c r="W309" i="1" l="1"/>
  <c r="Q311" i="1"/>
  <c r="U310" i="1"/>
  <c r="V310" i="1" s="1"/>
  <c r="W310" i="1" l="1"/>
  <c r="Q312" i="1"/>
  <c r="U311" i="1"/>
  <c r="V311" i="1" s="1"/>
  <c r="W311" i="1" l="1"/>
  <c r="Q313" i="1"/>
  <c r="U312" i="1"/>
  <c r="V312" i="1" s="1"/>
  <c r="W312" i="1" l="1"/>
  <c r="Q314" i="1"/>
  <c r="U313" i="1"/>
  <c r="V313" i="1" s="1"/>
  <c r="W313" i="1" l="1"/>
  <c r="Q315" i="1"/>
  <c r="U314" i="1"/>
  <c r="V314" i="1" s="1"/>
  <c r="W314" i="1" l="1"/>
  <c r="Q316" i="1"/>
  <c r="U315" i="1"/>
  <c r="V315" i="1" s="1"/>
  <c r="W315" i="1" l="1"/>
  <c r="Q317" i="1"/>
  <c r="U316" i="1"/>
  <c r="V316" i="1" s="1"/>
  <c r="W316" i="1" l="1"/>
  <c r="Q318" i="1"/>
  <c r="U317" i="1"/>
  <c r="V317" i="1" s="1"/>
  <c r="W317" i="1" l="1"/>
  <c r="Q319" i="1"/>
  <c r="U318" i="1"/>
  <c r="V318" i="1" s="1"/>
  <c r="W318" i="1" l="1"/>
  <c r="Q320" i="1"/>
  <c r="U319" i="1"/>
  <c r="V319" i="1" s="1"/>
  <c r="W319" i="1" l="1"/>
  <c r="Q321" i="1"/>
  <c r="U320" i="1"/>
  <c r="V320" i="1" s="1"/>
  <c r="W320" i="1" l="1"/>
  <c r="Q322" i="1"/>
  <c r="U321" i="1"/>
  <c r="V321" i="1" s="1"/>
  <c r="W321" i="1" l="1"/>
  <c r="Q323" i="1"/>
  <c r="U322" i="1"/>
  <c r="V322" i="1" s="1"/>
  <c r="W322" i="1" l="1"/>
  <c r="Q324" i="1"/>
  <c r="U323" i="1"/>
  <c r="V323" i="1" s="1"/>
  <c r="W323" i="1" l="1"/>
  <c r="Q325" i="1"/>
  <c r="U324" i="1"/>
  <c r="V324" i="1" s="1"/>
  <c r="W324" i="1" l="1"/>
  <c r="Q326" i="1"/>
  <c r="U325" i="1"/>
  <c r="V325" i="1" s="1"/>
  <c r="W325" i="1" l="1"/>
  <c r="Q327" i="1"/>
  <c r="U326" i="1"/>
  <c r="V326" i="1" s="1"/>
  <c r="W326" i="1" l="1"/>
  <c r="Q328" i="1"/>
  <c r="U327" i="1"/>
  <c r="V327" i="1" s="1"/>
  <c r="W327" i="1" l="1"/>
  <c r="Q329" i="1"/>
  <c r="U328" i="1"/>
  <c r="V328" i="1" s="1"/>
  <c r="W328" i="1" l="1"/>
  <c r="Q330" i="1"/>
  <c r="U329" i="1"/>
  <c r="V329" i="1" s="1"/>
  <c r="W329" i="1" l="1"/>
  <c r="Q331" i="1"/>
  <c r="U330" i="1"/>
  <c r="V330" i="1" s="1"/>
  <c r="W330" i="1" l="1"/>
  <c r="Q332" i="1"/>
  <c r="U331" i="1"/>
  <c r="V331" i="1" s="1"/>
  <c r="W331" i="1" l="1"/>
  <c r="Q333" i="1"/>
  <c r="U332" i="1"/>
  <c r="V332" i="1" s="1"/>
  <c r="W332" i="1" l="1"/>
  <c r="Q334" i="1"/>
  <c r="U333" i="1"/>
  <c r="V333" i="1" s="1"/>
  <c r="W333" i="1" l="1"/>
  <c r="Q335" i="1"/>
  <c r="U334" i="1"/>
  <c r="V334" i="1" s="1"/>
  <c r="W334" i="1" l="1"/>
  <c r="Q336" i="1"/>
  <c r="U335" i="1"/>
  <c r="V335" i="1" s="1"/>
  <c r="W335" i="1" l="1"/>
  <c r="Q337" i="1"/>
  <c r="U336" i="1"/>
  <c r="V336" i="1" s="1"/>
  <c r="W336" i="1" l="1"/>
  <c r="Q338" i="1"/>
  <c r="U337" i="1"/>
  <c r="V337" i="1" s="1"/>
  <c r="W337" i="1" l="1"/>
  <c r="Q339" i="1"/>
  <c r="U338" i="1"/>
  <c r="V338" i="1" s="1"/>
  <c r="W338" i="1" l="1"/>
  <c r="Q340" i="1"/>
  <c r="U339" i="1"/>
  <c r="V339" i="1" s="1"/>
  <c r="W339" i="1" l="1"/>
  <c r="Q341" i="1"/>
  <c r="U340" i="1"/>
  <c r="V340" i="1" s="1"/>
  <c r="W340" i="1" l="1"/>
  <c r="Q342" i="1"/>
  <c r="U341" i="1"/>
  <c r="V341" i="1" s="1"/>
  <c r="W341" i="1" l="1"/>
  <c r="Q343" i="1"/>
  <c r="U342" i="1"/>
  <c r="V342" i="1" s="1"/>
  <c r="W342" i="1" l="1"/>
  <c r="Q344" i="1"/>
  <c r="U343" i="1"/>
  <c r="V343" i="1" s="1"/>
  <c r="W343" i="1" l="1"/>
  <c r="Q345" i="1"/>
  <c r="U344" i="1"/>
  <c r="V344" i="1" s="1"/>
  <c r="W344" i="1" l="1"/>
  <c r="Q346" i="1"/>
  <c r="U345" i="1"/>
  <c r="V345" i="1" s="1"/>
  <c r="W345" i="1" l="1"/>
  <c r="Q347" i="1"/>
  <c r="U346" i="1"/>
  <c r="V346" i="1" s="1"/>
  <c r="W346" i="1" l="1"/>
  <c r="Q348" i="1"/>
  <c r="U347" i="1"/>
  <c r="V347" i="1" s="1"/>
  <c r="W347" i="1" l="1"/>
  <c r="Q349" i="1"/>
  <c r="U348" i="1"/>
  <c r="V348" i="1" s="1"/>
  <c r="W348" i="1" l="1"/>
  <c r="Q350" i="1"/>
  <c r="U349" i="1"/>
  <c r="V349" i="1" s="1"/>
  <c r="W349" i="1" l="1"/>
  <c r="Q351" i="1"/>
  <c r="U350" i="1"/>
  <c r="V350" i="1" s="1"/>
  <c r="W350" i="1" l="1"/>
  <c r="Q352" i="1"/>
  <c r="U351" i="1"/>
  <c r="V351" i="1" s="1"/>
  <c r="W351" i="1" l="1"/>
  <c r="Q353" i="1"/>
  <c r="U352" i="1"/>
  <c r="V352" i="1" s="1"/>
  <c r="W352" i="1" l="1"/>
  <c r="Q354" i="1"/>
  <c r="U353" i="1"/>
  <c r="V353" i="1" s="1"/>
  <c r="W353" i="1" l="1"/>
  <c r="Q355" i="1"/>
  <c r="U354" i="1"/>
  <c r="V354" i="1" s="1"/>
  <c r="W354" i="1" l="1"/>
  <c r="Q356" i="1"/>
  <c r="U355" i="1"/>
  <c r="V355" i="1" s="1"/>
  <c r="W355" i="1" l="1"/>
  <c r="Q357" i="1"/>
  <c r="U356" i="1"/>
  <c r="V356" i="1" s="1"/>
  <c r="W356" i="1" l="1"/>
  <c r="Q358" i="1"/>
  <c r="U357" i="1"/>
  <c r="V357" i="1" s="1"/>
  <c r="W357" i="1" l="1"/>
  <c r="Q359" i="1"/>
  <c r="U358" i="1"/>
  <c r="V358" i="1" s="1"/>
  <c r="W358" i="1" l="1"/>
  <c r="Q360" i="1"/>
  <c r="U359" i="1"/>
  <c r="V359" i="1" s="1"/>
  <c r="W359" i="1" l="1"/>
  <c r="Q361" i="1"/>
  <c r="U360" i="1"/>
  <c r="V360" i="1" s="1"/>
  <c r="W360" i="1" l="1"/>
  <c r="Q362" i="1"/>
  <c r="U361" i="1"/>
  <c r="V361" i="1" s="1"/>
  <c r="W361" i="1" l="1"/>
  <c r="Q363" i="1"/>
  <c r="U362" i="1"/>
  <c r="V362" i="1" s="1"/>
  <c r="W362" i="1" l="1"/>
  <c r="Q364" i="1"/>
  <c r="U363" i="1"/>
  <c r="V363" i="1" s="1"/>
  <c r="W363" i="1" l="1"/>
  <c r="Q365" i="1"/>
  <c r="U364" i="1"/>
  <c r="V364" i="1" s="1"/>
  <c r="W364" i="1" l="1"/>
  <c r="Q366" i="1"/>
  <c r="U365" i="1"/>
  <c r="V365" i="1" s="1"/>
  <c r="W365" i="1" l="1"/>
  <c r="Q367" i="1"/>
  <c r="U366" i="1"/>
  <c r="V366" i="1" s="1"/>
  <c r="W366" i="1" l="1"/>
  <c r="Q368" i="1"/>
  <c r="U367" i="1"/>
  <c r="V367" i="1" s="1"/>
  <c r="W367" i="1" l="1"/>
  <c r="Q369" i="1"/>
  <c r="U368" i="1"/>
  <c r="V368" i="1" s="1"/>
  <c r="W368" i="1" l="1"/>
  <c r="Q370" i="1"/>
  <c r="U369" i="1"/>
  <c r="V369" i="1" s="1"/>
  <c r="W369" i="1" l="1"/>
  <c r="Q371" i="1"/>
  <c r="U370" i="1"/>
  <c r="V370" i="1" s="1"/>
  <c r="W370" i="1" l="1"/>
  <c r="Q372" i="1"/>
  <c r="U371" i="1"/>
  <c r="V371" i="1" s="1"/>
  <c r="W371" i="1" l="1"/>
  <c r="Q373" i="1"/>
  <c r="U372" i="1"/>
  <c r="V372" i="1" s="1"/>
  <c r="W372" i="1" l="1"/>
  <c r="Q374" i="1"/>
  <c r="U373" i="1"/>
  <c r="V373" i="1" s="1"/>
  <c r="W373" i="1" l="1"/>
  <c r="Q375" i="1"/>
  <c r="U374" i="1"/>
  <c r="V374" i="1" s="1"/>
  <c r="W374" i="1" l="1"/>
  <c r="Q376" i="1"/>
  <c r="U375" i="1"/>
  <c r="V375" i="1" s="1"/>
  <c r="W375" i="1" l="1"/>
  <c r="Q377" i="1"/>
  <c r="U376" i="1"/>
  <c r="V376" i="1" s="1"/>
  <c r="W376" i="1" l="1"/>
  <c r="Q378" i="1"/>
  <c r="U377" i="1"/>
  <c r="V377" i="1" s="1"/>
  <c r="W377" i="1" l="1"/>
  <c r="Q379" i="1"/>
  <c r="U378" i="1"/>
  <c r="V378" i="1" s="1"/>
  <c r="W378" i="1" l="1"/>
  <c r="Q380" i="1"/>
  <c r="U379" i="1"/>
  <c r="V379" i="1" s="1"/>
  <c r="W379" i="1" l="1"/>
  <c r="Q381" i="1"/>
  <c r="U380" i="1"/>
  <c r="V380" i="1" s="1"/>
  <c r="W380" i="1" l="1"/>
  <c r="Q382" i="1"/>
  <c r="U381" i="1"/>
  <c r="V381" i="1" s="1"/>
  <c r="W381" i="1" l="1"/>
  <c r="Q383" i="1"/>
  <c r="U382" i="1"/>
  <c r="V382" i="1" s="1"/>
  <c r="W382" i="1" l="1"/>
  <c r="Q384" i="1"/>
  <c r="U383" i="1"/>
  <c r="V383" i="1" s="1"/>
  <c r="W383" i="1" l="1"/>
  <c r="Q385" i="1"/>
  <c r="U384" i="1"/>
  <c r="V384" i="1" s="1"/>
  <c r="W384" i="1" l="1"/>
  <c r="Q386" i="1"/>
  <c r="U385" i="1"/>
  <c r="V385" i="1" s="1"/>
  <c r="W385" i="1" l="1"/>
  <c r="Q387" i="1"/>
  <c r="U386" i="1"/>
  <c r="V386" i="1" s="1"/>
  <c r="W386" i="1" l="1"/>
  <c r="Q388" i="1"/>
  <c r="U387" i="1"/>
  <c r="V387" i="1" s="1"/>
  <c r="W387" i="1" l="1"/>
  <c r="Q389" i="1"/>
  <c r="U388" i="1"/>
  <c r="V388" i="1" s="1"/>
  <c r="W388" i="1" l="1"/>
  <c r="Q390" i="1"/>
  <c r="U389" i="1"/>
  <c r="V389" i="1" s="1"/>
  <c r="W389" i="1" l="1"/>
  <c r="Q391" i="1"/>
  <c r="U390" i="1"/>
  <c r="V390" i="1" s="1"/>
  <c r="W390" i="1" l="1"/>
  <c r="Q392" i="1"/>
  <c r="U391" i="1"/>
  <c r="V391" i="1" s="1"/>
  <c r="W391" i="1" l="1"/>
  <c r="Q393" i="1"/>
  <c r="U392" i="1"/>
  <c r="V392" i="1" s="1"/>
  <c r="W392" i="1" l="1"/>
  <c r="Q394" i="1"/>
  <c r="U393" i="1"/>
  <c r="V393" i="1" s="1"/>
  <c r="W393" i="1" l="1"/>
  <c r="Q395" i="1"/>
  <c r="U394" i="1"/>
  <c r="V394" i="1" s="1"/>
  <c r="W394" i="1" l="1"/>
  <c r="Q396" i="1"/>
  <c r="U395" i="1"/>
  <c r="V395" i="1" s="1"/>
  <c r="W395" i="1" l="1"/>
  <c r="Q397" i="1"/>
  <c r="U396" i="1"/>
  <c r="V396" i="1" s="1"/>
  <c r="W396" i="1" l="1"/>
  <c r="Q398" i="1"/>
  <c r="U397" i="1"/>
  <c r="V397" i="1" s="1"/>
  <c r="W397" i="1" l="1"/>
  <c r="Q399" i="1"/>
  <c r="U398" i="1"/>
  <c r="V398" i="1" s="1"/>
  <c r="W398" i="1" l="1"/>
  <c r="Q400" i="1"/>
  <c r="U399" i="1"/>
  <c r="V399" i="1" s="1"/>
  <c r="W399" i="1" l="1"/>
  <c r="Q401" i="1"/>
  <c r="U400" i="1"/>
  <c r="V400" i="1" s="1"/>
  <c r="W400" i="1" l="1"/>
  <c r="Q402" i="1"/>
  <c r="U401" i="1"/>
  <c r="V401" i="1" s="1"/>
  <c r="W401" i="1" l="1"/>
  <c r="Q403" i="1"/>
  <c r="U402" i="1"/>
  <c r="V402" i="1" s="1"/>
  <c r="W402" i="1" l="1"/>
  <c r="Q404" i="1"/>
  <c r="U403" i="1"/>
  <c r="V403" i="1" s="1"/>
  <c r="W403" i="1" l="1"/>
  <c r="Q405" i="1"/>
  <c r="U404" i="1"/>
  <c r="V404" i="1" s="1"/>
  <c r="W404" i="1" l="1"/>
  <c r="Q406" i="1"/>
  <c r="U405" i="1"/>
  <c r="V405" i="1" s="1"/>
  <c r="W405" i="1" l="1"/>
  <c r="Q407" i="1"/>
  <c r="U406" i="1"/>
  <c r="V406" i="1" s="1"/>
  <c r="W406" i="1" l="1"/>
  <c r="Q408" i="1"/>
  <c r="U407" i="1"/>
  <c r="V407" i="1" s="1"/>
  <c r="W407" i="1" l="1"/>
  <c r="Q409" i="1"/>
  <c r="U408" i="1"/>
  <c r="V408" i="1" s="1"/>
  <c r="W408" i="1" l="1"/>
  <c r="Q410" i="1"/>
  <c r="U409" i="1"/>
  <c r="V409" i="1" s="1"/>
  <c r="W409" i="1" l="1"/>
  <c r="Q411" i="1"/>
  <c r="U410" i="1"/>
  <c r="V410" i="1" s="1"/>
  <c r="W410" i="1" l="1"/>
  <c r="Q412" i="1"/>
  <c r="U411" i="1"/>
  <c r="V411" i="1" s="1"/>
  <c r="W411" i="1" l="1"/>
  <c r="Q413" i="1"/>
  <c r="U412" i="1"/>
  <c r="V412" i="1" s="1"/>
  <c r="W412" i="1" l="1"/>
  <c r="Q414" i="1"/>
  <c r="U413" i="1"/>
  <c r="V413" i="1" s="1"/>
  <c r="W413" i="1" l="1"/>
  <c r="Q415" i="1"/>
  <c r="U414" i="1"/>
  <c r="V414" i="1" s="1"/>
  <c r="W414" i="1" l="1"/>
  <c r="Q416" i="1"/>
  <c r="U415" i="1"/>
  <c r="V415" i="1" s="1"/>
  <c r="W415" i="1" l="1"/>
  <c r="Q417" i="1"/>
  <c r="U416" i="1"/>
  <c r="V416" i="1" s="1"/>
  <c r="W416" i="1" l="1"/>
  <c r="Q418" i="1"/>
  <c r="U417" i="1"/>
  <c r="V417" i="1" s="1"/>
  <c r="W417" i="1" l="1"/>
  <c r="Q419" i="1"/>
  <c r="U418" i="1"/>
  <c r="V418" i="1" s="1"/>
  <c r="W418" i="1" l="1"/>
  <c r="Q420" i="1"/>
  <c r="U419" i="1"/>
  <c r="V419" i="1" s="1"/>
  <c r="W419" i="1" l="1"/>
  <c r="Q421" i="1"/>
  <c r="U420" i="1"/>
  <c r="V420" i="1" s="1"/>
  <c r="W420" i="1" l="1"/>
  <c r="Q422" i="1"/>
  <c r="U421" i="1"/>
  <c r="V421" i="1" s="1"/>
  <c r="W421" i="1" l="1"/>
  <c r="Q423" i="1"/>
  <c r="U422" i="1"/>
  <c r="V422" i="1" s="1"/>
  <c r="W422" i="1" l="1"/>
  <c r="Q424" i="1"/>
  <c r="U423" i="1"/>
  <c r="V423" i="1" s="1"/>
  <c r="W423" i="1" l="1"/>
  <c r="Q425" i="1"/>
  <c r="U424" i="1"/>
  <c r="V424" i="1" s="1"/>
  <c r="W424" i="1" l="1"/>
  <c r="Q426" i="1"/>
  <c r="U425" i="1"/>
  <c r="V425" i="1" s="1"/>
  <c r="W425" i="1" l="1"/>
  <c r="Q427" i="1"/>
  <c r="U426" i="1"/>
  <c r="V426" i="1" s="1"/>
  <c r="W426" i="1" l="1"/>
  <c r="Q428" i="1"/>
  <c r="U427" i="1"/>
  <c r="V427" i="1" s="1"/>
  <c r="W427" i="1" l="1"/>
  <c r="Q429" i="1"/>
  <c r="U428" i="1"/>
  <c r="V428" i="1" s="1"/>
  <c r="W428" i="1" l="1"/>
  <c r="Q430" i="1"/>
  <c r="U429" i="1"/>
  <c r="V429" i="1" s="1"/>
  <c r="W429" i="1" l="1"/>
  <c r="Q431" i="1"/>
  <c r="U430" i="1"/>
  <c r="V430" i="1" s="1"/>
  <c r="W430" i="1" l="1"/>
  <c r="Q432" i="1"/>
  <c r="U431" i="1"/>
  <c r="V431" i="1" s="1"/>
  <c r="W431" i="1" l="1"/>
  <c r="Q433" i="1"/>
  <c r="U432" i="1"/>
  <c r="V432" i="1" s="1"/>
  <c r="W432" i="1" l="1"/>
  <c r="Q434" i="1"/>
  <c r="U433" i="1"/>
  <c r="V433" i="1" s="1"/>
  <c r="W433" i="1" l="1"/>
  <c r="Q435" i="1"/>
  <c r="U434" i="1"/>
  <c r="V434" i="1" s="1"/>
  <c r="W434" i="1" l="1"/>
  <c r="Q436" i="1"/>
  <c r="U435" i="1"/>
  <c r="V435" i="1" s="1"/>
  <c r="W435" i="1" l="1"/>
  <c r="Q437" i="1"/>
  <c r="U436" i="1"/>
  <c r="V436" i="1" s="1"/>
  <c r="W436" i="1" l="1"/>
  <c r="Q438" i="1"/>
  <c r="U437" i="1"/>
  <c r="V437" i="1" s="1"/>
  <c r="W437" i="1" l="1"/>
  <c r="Q439" i="1"/>
  <c r="U438" i="1"/>
  <c r="V438" i="1" s="1"/>
  <c r="W438" i="1" l="1"/>
  <c r="Q440" i="1"/>
  <c r="U439" i="1"/>
  <c r="V439" i="1" s="1"/>
  <c r="W439" i="1" l="1"/>
  <c r="Q441" i="1"/>
  <c r="U440" i="1"/>
  <c r="V440" i="1" s="1"/>
  <c r="W440" i="1" l="1"/>
  <c r="Q442" i="1"/>
  <c r="U441" i="1"/>
  <c r="V441" i="1" s="1"/>
  <c r="W441" i="1" l="1"/>
  <c r="Q443" i="1"/>
  <c r="U442" i="1"/>
  <c r="V442" i="1" s="1"/>
  <c r="W442" i="1" l="1"/>
  <c r="Q444" i="1"/>
  <c r="U443" i="1"/>
  <c r="V443" i="1" s="1"/>
  <c r="W443" i="1" l="1"/>
  <c r="Q445" i="1"/>
  <c r="U444" i="1"/>
  <c r="V444" i="1" s="1"/>
  <c r="W444" i="1" l="1"/>
  <c r="Q446" i="1"/>
  <c r="U445" i="1"/>
  <c r="V445" i="1" s="1"/>
  <c r="W445" i="1" l="1"/>
  <c r="Q447" i="1"/>
  <c r="U446" i="1"/>
  <c r="V446" i="1" s="1"/>
  <c r="W446" i="1" l="1"/>
  <c r="Q448" i="1"/>
  <c r="U447" i="1"/>
  <c r="V447" i="1" s="1"/>
  <c r="W447" i="1" l="1"/>
  <c r="Q449" i="1"/>
  <c r="U448" i="1"/>
  <c r="V448" i="1" s="1"/>
  <c r="W448" i="1" l="1"/>
  <c r="Q450" i="1"/>
  <c r="U449" i="1"/>
  <c r="V449" i="1" s="1"/>
  <c r="W449" i="1" l="1"/>
  <c r="Q451" i="1"/>
  <c r="U450" i="1"/>
  <c r="V450" i="1" s="1"/>
  <c r="W450" i="1" l="1"/>
  <c r="Q452" i="1"/>
  <c r="U451" i="1"/>
  <c r="V451" i="1" s="1"/>
  <c r="W451" i="1" l="1"/>
  <c r="Q453" i="1"/>
  <c r="U452" i="1"/>
  <c r="V452" i="1" s="1"/>
  <c r="W452" i="1" l="1"/>
  <c r="Q454" i="1"/>
  <c r="U453" i="1"/>
  <c r="V453" i="1" s="1"/>
  <c r="W453" i="1" l="1"/>
  <c r="Q455" i="1"/>
  <c r="U454" i="1"/>
  <c r="V454" i="1" s="1"/>
  <c r="W454" i="1" l="1"/>
  <c r="Q456" i="1"/>
  <c r="U455" i="1"/>
  <c r="V455" i="1" s="1"/>
  <c r="W455" i="1" l="1"/>
  <c r="Q457" i="1"/>
  <c r="U456" i="1"/>
  <c r="V456" i="1" s="1"/>
  <c r="W456" i="1" l="1"/>
  <c r="Q458" i="1"/>
  <c r="U457" i="1"/>
  <c r="V457" i="1" s="1"/>
  <c r="W457" i="1" l="1"/>
  <c r="Q459" i="1"/>
  <c r="U458" i="1"/>
  <c r="V458" i="1" s="1"/>
  <c r="W458" i="1" l="1"/>
  <c r="Q460" i="1"/>
  <c r="U459" i="1"/>
  <c r="V459" i="1" s="1"/>
  <c r="W459" i="1" l="1"/>
  <c r="Q461" i="1"/>
  <c r="U460" i="1"/>
  <c r="V460" i="1" s="1"/>
  <c r="W460" i="1" l="1"/>
  <c r="Q462" i="1"/>
  <c r="U461" i="1"/>
  <c r="V461" i="1" s="1"/>
  <c r="W461" i="1" l="1"/>
  <c r="Q463" i="1"/>
  <c r="U462" i="1"/>
  <c r="V462" i="1" s="1"/>
  <c r="W462" i="1" l="1"/>
  <c r="Q464" i="1"/>
  <c r="U463" i="1"/>
  <c r="V463" i="1" s="1"/>
  <c r="W463" i="1" l="1"/>
  <c r="Q465" i="1"/>
  <c r="U464" i="1"/>
  <c r="V464" i="1" s="1"/>
  <c r="W464" i="1" l="1"/>
  <c r="Q466" i="1"/>
  <c r="U465" i="1"/>
  <c r="V465" i="1" s="1"/>
  <c r="W465" i="1" l="1"/>
  <c r="Q467" i="1"/>
  <c r="U466" i="1"/>
  <c r="V466" i="1" s="1"/>
  <c r="W466" i="1" l="1"/>
  <c r="Q468" i="1"/>
  <c r="U467" i="1"/>
  <c r="V467" i="1" s="1"/>
  <c r="W467" i="1" l="1"/>
  <c r="Q469" i="1"/>
  <c r="U468" i="1"/>
  <c r="V468" i="1" s="1"/>
  <c r="W468" i="1" l="1"/>
  <c r="Q470" i="1"/>
  <c r="U469" i="1"/>
  <c r="V469" i="1" s="1"/>
  <c r="W469" i="1" l="1"/>
  <c r="Q471" i="1"/>
  <c r="U470" i="1"/>
  <c r="V470" i="1" s="1"/>
  <c r="W470" i="1" l="1"/>
  <c r="Q472" i="1"/>
  <c r="U471" i="1"/>
  <c r="V471" i="1" s="1"/>
  <c r="W471" i="1" l="1"/>
  <c r="Q473" i="1"/>
  <c r="U472" i="1"/>
  <c r="V472" i="1" s="1"/>
  <c r="W472" i="1" l="1"/>
  <c r="Q474" i="1"/>
  <c r="U473" i="1"/>
  <c r="V473" i="1" s="1"/>
  <c r="W473" i="1" l="1"/>
  <c r="Q475" i="1"/>
  <c r="U474" i="1"/>
  <c r="V474" i="1" s="1"/>
  <c r="W474" i="1" l="1"/>
  <c r="Q476" i="1"/>
  <c r="U475" i="1"/>
  <c r="V475" i="1" s="1"/>
  <c r="W475" i="1" l="1"/>
  <c r="Q477" i="1"/>
  <c r="U476" i="1"/>
  <c r="V476" i="1" s="1"/>
  <c r="W476" i="1" l="1"/>
  <c r="Q478" i="1"/>
  <c r="U477" i="1"/>
  <c r="V477" i="1" s="1"/>
  <c r="W477" i="1" l="1"/>
  <c r="Q479" i="1"/>
  <c r="U478" i="1"/>
  <c r="V478" i="1" s="1"/>
  <c r="W478" i="1" l="1"/>
  <c r="Q480" i="1"/>
  <c r="U479" i="1"/>
  <c r="V479" i="1" s="1"/>
  <c r="W479" i="1" l="1"/>
  <c r="Q481" i="1"/>
  <c r="U480" i="1"/>
  <c r="V480" i="1" s="1"/>
  <c r="W480" i="1" l="1"/>
  <c r="Q482" i="1"/>
  <c r="U481" i="1"/>
  <c r="V481" i="1" s="1"/>
  <c r="W481" i="1" l="1"/>
  <c r="Q483" i="1"/>
  <c r="U482" i="1"/>
  <c r="V482" i="1" s="1"/>
  <c r="W482" i="1" l="1"/>
  <c r="Q484" i="1"/>
  <c r="U483" i="1"/>
  <c r="V483" i="1" s="1"/>
  <c r="W483" i="1" l="1"/>
  <c r="Q485" i="1"/>
  <c r="U484" i="1"/>
  <c r="V484" i="1" s="1"/>
  <c r="W484" i="1" l="1"/>
  <c r="Q486" i="1"/>
  <c r="U485" i="1"/>
  <c r="V485" i="1" s="1"/>
  <c r="W485" i="1" l="1"/>
  <c r="Q487" i="1"/>
  <c r="U486" i="1"/>
  <c r="V486" i="1" s="1"/>
  <c r="W486" i="1" l="1"/>
  <c r="Q488" i="1"/>
  <c r="U487" i="1"/>
  <c r="V487" i="1" s="1"/>
  <c r="W487" i="1" l="1"/>
  <c r="Q489" i="1"/>
  <c r="U488" i="1"/>
  <c r="V488" i="1" s="1"/>
  <c r="W488" i="1" l="1"/>
  <c r="Q490" i="1"/>
  <c r="U489" i="1"/>
  <c r="V489" i="1" s="1"/>
  <c r="W489" i="1" l="1"/>
  <c r="Q491" i="1"/>
  <c r="U490" i="1"/>
  <c r="V490" i="1" s="1"/>
  <c r="W490" i="1" l="1"/>
  <c r="Q492" i="1"/>
  <c r="U491" i="1"/>
  <c r="V491" i="1" s="1"/>
  <c r="W491" i="1" l="1"/>
  <c r="Q493" i="1"/>
  <c r="U492" i="1"/>
  <c r="V492" i="1" s="1"/>
  <c r="W492" i="1" l="1"/>
  <c r="Q494" i="1"/>
  <c r="U493" i="1"/>
  <c r="V493" i="1" s="1"/>
  <c r="W493" i="1" l="1"/>
  <c r="Q495" i="1"/>
  <c r="U494" i="1"/>
  <c r="V494" i="1" s="1"/>
  <c r="W494" i="1" l="1"/>
  <c r="Q496" i="1"/>
  <c r="U495" i="1"/>
  <c r="V495" i="1" s="1"/>
  <c r="W495" i="1" l="1"/>
  <c r="Q497" i="1"/>
  <c r="U496" i="1"/>
  <c r="V496" i="1" s="1"/>
  <c r="W496" i="1" l="1"/>
  <c r="Q498" i="1"/>
  <c r="U497" i="1"/>
  <c r="V497" i="1" s="1"/>
  <c r="W497" i="1" l="1"/>
  <c r="Q499" i="1"/>
  <c r="U498" i="1"/>
  <c r="V498" i="1" s="1"/>
  <c r="W498" i="1" l="1"/>
  <c r="Q500" i="1"/>
  <c r="U499" i="1"/>
  <c r="V499" i="1" s="1"/>
  <c r="W499" i="1" l="1"/>
  <c r="Q501" i="1"/>
  <c r="U500" i="1"/>
  <c r="V500" i="1" s="1"/>
  <c r="W500" i="1" l="1"/>
  <c r="Q502" i="1"/>
  <c r="U501" i="1"/>
  <c r="V501" i="1" s="1"/>
  <c r="W501" i="1" l="1"/>
  <c r="Q503" i="1"/>
  <c r="U502" i="1"/>
  <c r="V502" i="1" s="1"/>
  <c r="W502" i="1" l="1"/>
  <c r="Q504" i="1"/>
  <c r="U503" i="1"/>
  <c r="V503" i="1" s="1"/>
  <c r="W503" i="1" l="1"/>
  <c r="Q505" i="1"/>
  <c r="U504" i="1"/>
  <c r="V504" i="1" s="1"/>
  <c r="W504" i="1" l="1"/>
  <c r="Q506" i="1"/>
  <c r="U505" i="1"/>
  <c r="V505" i="1" s="1"/>
  <c r="W505" i="1" l="1"/>
  <c r="Q507" i="1"/>
  <c r="U506" i="1"/>
  <c r="V506" i="1" s="1"/>
  <c r="W506" i="1" l="1"/>
  <c r="Q508" i="1"/>
  <c r="U507" i="1"/>
  <c r="V507" i="1" s="1"/>
  <c r="W507" i="1" l="1"/>
  <c r="Q509" i="1"/>
  <c r="U508" i="1"/>
  <c r="V508" i="1" s="1"/>
  <c r="W508" i="1" l="1"/>
  <c r="Q510" i="1"/>
  <c r="U509" i="1"/>
  <c r="V509" i="1" s="1"/>
  <c r="W509" i="1" l="1"/>
  <c r="Q511" i="1"/>
  <c r="U510" i="1"/>
  <c r="V510" i="1" s="1"/>
  <c r="W510" i="1" l="1"/>
  <c r="Q512" i="1"/>
  <c r="U511" i="1"/>
  <c r="V511" i="1" s="1"/>
  <c r="W511" i="1" l="1"/>
  <c r="Q513" i="1"/>
  <c r="U512" i="1"/>
  <c r="V512" i="1" s="1"/>
  <c r="W512" i="1" l="1"/>
  <c r="Q514" i="1"/>
  <c r="U513" i="1"/>
  <c r="V513" i="1" s="1"/>
  <c r="W513" i="1" l="1"/>
  <c r="Q515" i="1"/>
  <c r="U514" i="1"/>
  <c r="V514" i="1" s="1"/>
  <c r="W514" i="1" l="1"/>
  <c r="Q516" i="1"/>
  <c r="U515" i="1"/>
  <c r="V515" i="1" s="1"/>
  <c r="W515" i="1" l="1"/>
  <c r="Q517" i="1"/>
  <c r="U516" i="1"/>
  <c r="V516" i="1" s="1"/>
  <c r="W516" i="1" l="1"/>
  <c r="Q518" i="1"/>
  <c r="U517" i="1"/>
  <c r="V517" i="1" s="1"/>
  <c r="W517" i="1" l="1"/>
  <c r="Q519" i="1"/>
  <c r="U518" i="1"/>
  <c r="V518" i="1" s="1"/>
  <c r="W518" i="1" l="1"/>
  <c r="Q520" i="1"/>
  <c r="U519" i="1"/>
  <c r="V519" i="1" s="1"/>
  <c r="W519" i="1" l="1"/>
  <c r="Q521" i="1"/>
  <c r="U520" i="1"/>
  <c r="V520" i="1" s="1"/>
  <c r="W520" i="1" l="1"/>
  <c r="Q522" i="1"/>
  <c r="U521" i="1"/>
  <c r="V521" i="1" s="1"/>
  <c r="W521" i="1" l="1"/>
  <c r="Q523" i="1"/>
  <c r="U522" i="1"/>
  <c r="V522" i="1" s="1"/>
  <c r="W522" i="1" l="1"/>
  <c r="Q524" i="1"/>
  <c r="U523" i="1"/>
  <c r="V523" i="1" s="1"/>
  <c r="W523" i="1" l="1"/>
  <c r="Q525" i="1"/>
  <c r="U524" i="1"/>
  <c r="V524" i="1" s="1"/>
  <c r="W524" i="1" l="1"/>
  <c r="Q526" i="1"/>
  <c r="U525" i="1"/>
  <c r="V525" i="1" s="1"/>
  <c r="W525" i="1" l="1"/>
  <c r="Q527" i="1"/>
  <c r="U526" i="1"/>
  <c r="V526" i="1" s="1"/>
  <c r="W526" i="1" l="1"/>
  <c r="Q528" i="1"/>
  <c r="U527" i="1"/>
  <c r="V527" i="1" s="1"/>
  <c r="W527" i="1" l="1"/>
  <c r="Q529" i="1"/>
  <c r="U528" i="1"/>
  <c r="V528" i="1" s="1"/>
  <c r="W528" i="1" l="1"/>
  <c r="Q530" i="1"/>
  <c r="U529" i="1"/>
  <c r="V529" i="1" s="1"/>
  <c r="W529" i="1" l="1"/>
  <c r="Q531" i="1"/>
  <c r="U530" i="1"/>
  <c r="V530" i="1" s="1"/>
  <c r="W530" i="1" l="1"/>
  <c r="Q532" i="1"/>
  <c r="U531" i="1"/>
  <c r="V531" i="1" s="1"/>
  <c r="W531" i="1" l="1"/>
  <c r="Q533" i="1"/>
  <c r="U532" i="1"/>
  <c r="V532" i="1" s="1"/>
  <c r="W532" i="1" l="1"/>
  <c r="Q534" i="1"/>
  <c r="U533" i="1"/>
  <c r="V533" i="1" s="1"/>
  <c r="W533" i="1" l="1"/>
  <c r="Q535" i="1"/>
  <c r="U534" i="1"/>
  <c r="V534" i="1" s="1"/>
  <c r="W534" i="1" l="1"/>
  <c r="Q536" i="1"/>
  <c r="U535" i="1"/>
  <c r="V535" i="1" s="1"/>
  <c r="W535" i="1" l="1"/>
  <c r="Q537" i="1"/>
  <c r="U536" i="1"/>
  <c r="V536" i="1" s="1"/>
  <c r="W536" i="1" l="1"/>
  <c r="Q538" i="1"/>
  <c r="U537" i="1"/>
  <c r="V537" i="1" s="1"/>
  <c r="W537" i="1" l="1"/>
  <c r="Q539" i="1"/>
  <c r="U538" i="1"/>
  <c r="V538" i="1" s="1"/>
  <c r="W538" i="1" l="1"/>
  <c r="Q540" i="1"/>
  <c r="U539" i="1"/>
  <c r="V539" i="1" s="1"/>
  <c r="W539" i="1" l="1"/>
  <c r="Q541" i="1"/>
  <c r="U540" i="1"/>
  <c r="V540" i="1" s="1"/>
  <c r="W540" i="1" l="1"/>
  <c r="Q542" i="1"/>
  <c r="U541" i="1"/>
  <c r="V541" i="1" s="1"/>
  <c r="W541" i="1" l="1"/>
  <c r="Q543" i="1"/>
  <c r="U542" i="1"/>
  <c r="V542" i="1" s="1"/>
  <c r="W542" i="1" l="1"/>
  <c r="Q544" i="1"/>
  <c r="U543" i="1"/>
  <c r="V543" i="1" s="1"/>
  <c r="W543" i="1" l="1"/>
  <c r="Q545" i="1"/>
  <c r="U544" i="1"/>
  <c r="V544" i="1" s="1"/>
  <c r="W544" i="1" l="1"/>
  <c r="Q546" i="1"/>
  <c r="U545" i="1"/>
  <c r="V545" i="1" s="1"/>
  <c r="W545" i="1" l="1"/>
  <c r="Q547" i="1"/>
  <c r="U546" i="1"/>
  <c r="V546" i="1" s="1"/>
  <c r="W546" i="1" l="1"/>
  <c r="Q548" i="1"/>
  <c r="U547" i="1"/>
  <c r="V547" i="1" s="1"/>
  <c r="W547" i="1" l="1"/>
  <c r="Q549" i="1"/>
  <c r="U548" i="1"/>
  <c r="V548" i="1" s="1"/>
  <c r="W548" i="1" l="1"/>
  <c r="Q550" i="1"/>
  <c r="U549" i="1"/>
  <c r="V549" i="1" s="1"/>
  <c r="W549" i="1" l="1"/>
  <c r="Q551" i="1"/>
  <c r="U550" i="1"/>
  <c r="V550" i="1" s="1"/>
  <c r="W550" i="1" l="1"/>
  <c r="Q552" i="1"/>
  <c r="U551" i="1"/>
  <c r="V551" i="1" s="1"/>
  <c r="W551" i="1" l="1"/>
  <c r="Q553" i="1"/>
  <c r="U552" i="1"/>
  <c r="V552" i="1" s="1"/>
  <c r="W552" i="1" l="1"/>
  <c r="Q554" i="1"/>
  <c r="U553" i="1"/>
  <c r="V553" i="1" s="1"/>
  <c r="W553" i="1" l="1"/>
  <c r="Q555" i="1"/>
  <c r="U554" i="1"/>
  <c r="V554" i="1" s="1"/>
  <c r="W554" i="1" l="1"/>
  <c r="Q556" i="1"/>
  <c r="U555" i="1"/>
  <c r="V555" i="1" s="1"/>
  <c r="W555" i="1" l="1"/>
  <c r="Q557" i="1"/>
  <c r="U556" i="1"/>
  <c r="V556" i="1" s="1"/>
  <c r="W556" i="1" l="1"/>
  <c r="Q558" i="1"/>
  <c r="U557" i="1"/>
  <c r="V557" i="1" s="1"/>
  <c r="W557" i="1" l="1"/>
  <c r="Q559" i="1"/>
  <c r="U558" i="1"/>
  <c r="V558" i="1" s="1"/>
  <c r="W558" i="1" l="1"/>
  <c r="Q560" i="1"/>
  <c r="U559" i="1"/>
  <c r="V559" i="1" s="1"/>
  <c r="W559" i="1" l="1"/>
  <c r="Q561" i="1"/>
  <c r="U560" i="1"/>
  <c r="V560" i="1" s="1"/>
  <c r="W560" i="1" l="1"/>
  <c r="Q562" i="1"/>
  <c r="U561" i="1"/>
  <c r="V561" i="1" s="1"/>
  <c r="W561" i="1" l="1"/>
  <c r="Q563" i="1"/>
  <c r="U562" i="1"/>
  <c r="V562" i="1" s="1"/>
  <c r="W562" i="1" l="1"/>
  <c r="Q564" i="1"/>
  <c r="U563" i="1"/>
  <c r="V563" i="1" s="1"/>
  <c r="W563" i="1" l="1"/>
  <c r="Q565" i="1"/>
  <c r="U564" i="1"/>
  <c r="V564" i="1" s="1"/>
  <c r="W564" i="1" l="1"/>
  <c r="Q566" i="1"/>
  <c r="U565" i="1"/>
  <c r="V565" i="1" s="1"/>
  <c r="W565" i="1" l="1"/>
  <c r="Q567" i="1"/>
  <c r="U566" i="1"/>
  <c r="V566" i="1" s="1"/>
  <c r="W566" i="1" l="1"/>
  <c r="Q568" i="1"/>
  <c r="U567" i="1"/>
  <c r="V567" i="1" s="1"/>
  <c r="W567" i="1" l="1"/>
  <c r="Q569" i="1"/>
  <c r="U568" i="1"/>
  <c r="V568" i="1" s="1"/>
  <c r="W568" i="1" l="1"/>
  <c r="Q570" i="1"/>
  <c r="U569" i="1"/>
  <c r="V569" i="1" s="1"/>
  <c r="W569" i="1" l="1"/>
  <c r="Q571" i="1"/>
  <c r="U570" i="1"/>
  <c r="V570" i="1" s="1"/>
  <c r="W570" i="1" l="1"/>
  <c r="Q572" i="1"/>
  <c r="U571" i="1"/>
  <c r="V571" i="1" s="1"/>
  <c r="W571" i="1" l="1"/>
  <c r="Q573" i="1"/>
  <c r="U572" i="1"/>
  <c r="V572" i="1" s="1"/>
  <c r="W572" i="1" l="1"/>
  <c r="Q574" i="1"/>
  <c r="U573" i="1"/>
  <c r="V573" i="1" s="1"/>
  <c r="W573" i="1" l="1"/>
  <c r="Q575" i="1"/>
  <c r="U574" i="1"/>
  <c r="V574" i="1" s="1"/>
  <c r="W574" i="1" l="1"/>
  <c r="Q576" i="1"/>
  <c r="U575" i="1"/>
  <c r="V575" i="1" s="1"/>
  <c r="W575" i="1" l="1"/>
  <c r="Q577" i="1"/>
  <c r="U576" i="1"/>
  <c r="V576" i="1" s="1"/>
  <c r="W576" i="1" l="1"/>
  <c r="Q578" i="1"/>
  <c r="U577" i="1"/>
  <c r="V577" i="1" s="1"/>
  <c r="W577" i="1" l="1"/>
  <c r="Q579" i="1"/>
  <c r="U578" i="1"/>
  <c r="V578" i="1" s="1"/>
  <c r="W578" i="1" l="1"/>
  <c r="Q580" i="1"/>
  <c r="U579" i="1"/>
  <c r="V579" i="1" s="1"/>
  <c r="W579" i="1" l="1"/>
  <c r="Q581" i="1"/>
  <c r="U580" i="1"/>
  <c r="V580" i="1" s="1"/>
  <c r="W580" i="1" l="1"/>
  <c r="Q582" i="1"/>
  <c r="U581" i="1"/>
  <c r="V581" i="1" s="1"/>
  <c r="W581" i="1" l="1"/>
  <c r="Q583" i="1"/>
  <c r="U582" i="1"/>
  <c r="V582" i="1" s="1"/>
  <c r="W582" i="1" l="1"/>
  <c r="Q584" i="1"/>
  <c r="U583" i="1"/>
  <c r="V583" i="1" s="1"/>
  <c r="W583" i="1" l="1"/>
  <c r="Q585" i="1"/>
  <c r="U584" i="1"/>
  <c r="V584" i="1" s="1"/>
  <c r="W584" i="1" l="1"/>
  <c r="Q586" i="1"/>
  <c r="U585" i="1"/>
  <c r="V585" i="1" s="1"/>
  <c r="W585" i="1" l="1"/>
  <c r="Q587" i="1"/>
  <c r="U586" i="1"/>
  <c r="V586" i="1" s="1"/>
  <c r="W586" i="1" l="1"/>
  <c r="Q588" i="1"/>
  <c r="U587" i="1"/>
  <c r="V587" i="1" s="1"/>
  <c r="W587" i="1" l="1"/>
  <c r="Q589" i="1"/>
  <c r="U588" i="1"/>
  <c r="V588" i="1" s="1"/>
  <c r="W588" i="1" l="1"/>
  <c r="Q590" i="1"/>
  <c r="U589" i="1"/>
  <c r="V589" i="1" s="1"/>
  <c r="W589" i="1" l="1"/>
  <c r="Q591" i="1"/>
  <c r="U590" i="1"/>
  <c r="V590" i="1" s="1"/>
  <c r="W590" i="1" l="1"/>
  <c r="Q592" i="1"/>
  <c r="U591" i="1"/>
  <c r="V591" i="1" s="1"/>
  <c r="W591" i="1" l="1"/>
  <c r="Q593" i="1"/>
  <c r="U592" i="1"/>
  <c r="V592" i="1" s="1"/>
  <c r="W592" i="1" l="1"/>
  <c r="Q594" i="1"/>
  <c r="U593" i="1"/>
  <c r="V593" i="1" s="1"/>
  <c r="W593" i="1" l="1"/>
  <c r="Q595" i="1"/>
  <c r="U594" i="1"/>
  <c r="V594" i="1" s="1"/>
  <c r="W594" i="1" l="1"/>
  <c r="Q596" i="1"/>
  <c r="U595" i="1"/>
  <c r="V595" i="1" s="1"/>
  <c r="W595" i="1" l="1"/>
  <c r="Q597" i="1"/>
  <c r="U596" i="1"/>
  <c r="V596" i="1" s="1"/>
  <c r="W596" i="1" l="1"/>
  <c r="Q598" i="1"/>
  <c r="U597" i="1"/>
  <c r="V597" i="1" s="1"/>
  <c r="W597" i="1" l="1"/>
  <c r="Q599" i="1"/>
  <c r="U598" i="1"/>
  <c r="V598" i="1" s="1"/>
  <c r="W598" i="1" l="1"/>
  <c r="Q600" i="1"/>
  <c r="U599" i="1"/>
  <c r="V599" i="1" s="1"/>
  <c r="W599" i="1" l="1"/>
  <c r="Q601" i="1"/>
  <c r="U600" i="1"/>
  <c r="V600" i="1" s="1"/>
  <c r="W600" i="1" l="1"/>
  <c r="Q602" i="1"/>
  <c r="U601" i="1"/>
  <c r="V601" i="1" s="1"/>
  <c r="W601" i="1" l="1"/>
  <c r="Q603" i="1"/>
  <c r="U602" i="1"/>
  <c r="V602" i="1" s="1"/>
  <c r="W602" i="1" l="1"/>
  <c r="Q604" i="1"/>
  <c r="U603" i="1"/>
  <c r="V603" i="1" s="1"/>
  <c r="W603" i="1" l="1"/>
  <c r="Q605" i="1"/>
  <c r="U604" i="1"/>
  <c r="V604" i="1" s="1"/>
  <c r="W604" i="1" l="1"/>
  <c r="Q606" i="1"/>
  <c r="U605" i="1"/>
  <c r="V605" i="1" s="1"/>
  <c r="W605" i="1" l="1"/>
  <c r="Q607" i="1"/>
  <c r="U606" i="1"/>
  <c r="V606" i="1" s="1"/>
  <c r="W606" i="1" l="1"/>
  <c r="Q608" i="1"/>
  <c r="U607" i="1"/>
  <c r="V607" i="1" s="1"/>
  <c r="W607" i="1" l="1"/>
  <c r="Q609" i="1"/>
  <c r="U608" i="1"/>
  <c r="V608" i="1" s="1"/>
  <c r="W608" i="1" l="1"/>
  <c r="Q610" i="1"/>
  <c r="U609" i="1"/>
  <c r="V609" i="1" s="1"/>
  <c r="W609" i="1" l="1"/>
  <c r="Q611" i="1"/>
  <c r="U610" i="1"/>
  <c r="V610" i="1" s="1"/>
  <c r="W610" i="1" l="1"/>
  <c r="Q612" i="1"/>
  <c r="U611" i="1"/>
  <c r="V611" i="1" s="1"/>
  <c r="W611" i="1" l="1"/>
  <c r="Q613" i="1"/>
  <c r="U612" i="1"/>
  <c r="V612" i="1" s="1"/>
  <c r="W612" i="1" l="1"/>
  <c r="Q614" i="1"/>
  <c r="U613" i="1"/>
  <c r="V613" i="1" s="1"/>
  <c r="W613" i="1" l="1"/>
  <c r="Q615" i="1"/>
  <c r="U614" i="1"/>
  <c r="V614" i="1" s="1"/>
  <c r="W614" i="1" l="1"/>
  <c r="Q616" i="1"/>
  <c r="U615" i="1"/>
  <c r="V615" i="1" s="1"/>
  <c r="W615" i="1" l="1"/>
  <c r="Q617" i="1"/>
  <c r="U616" i="1"/>
  <c r="V616" i="1" s="1"/>
  <c r="W616" i="1" l="1"/>
  <c r="Q618" i="1"/>
  <c r="U617" i="1"/>
  <c r="V617" i="1" s="1"/>
  <c r="W617" i="1" l="1"/>
  <c r="Q619" i="1"/>
  <c r="U618" i="1"/>
  <c r="V618" i="1" s="1"/>
  <c r="W618" i="1" l="1"/>
  <c r="Q620" i="1"/>
  <c r="U619" i="1"/>
  <c r="V619" i="1" s="1"/>
  <c r="W619" i="1" l="1"/>
  <c r="Q621" i="1"/>
  <c r="U620" i="1"/>
  <c r="V620" i="1" s="1"/>
  <c r="W620" i="1" l="1"/>
  <c r="Q622" i="1"/>
  <c r="U621" i="1"/>
  <c r="V621" i="1" s="1"/>
  <c r="W621" i="1" l="1"/>
  <c r="Q623" i="1"/>
  <c r="U622" i="1"/>
  <c r="V622" i="1" s="1"/>
  <c r="W622" i="1" l="1"/>
  <c r="Q624" i="1"/>
  <c r="U623" i="1"/>
  <c r="V623" i="1" s="1"/>
  <c r="W623" i="1" l="1"/>
  <c r="Q625" i="1"/>
  <c r="U624" i="1"/>
  <c r="V624" i="1" s="1"/>
  <c r="W624" i="1" l="1"/>
  <c r="Q626" i="1"/>
  <c r="U625" i="1"/>
  <c r="V625" i="1" s="1"/>
  <c r="W625" i="1" l="1"/>
  <c r="Q627" i="1"/>
  <c r="U626" i="1"/>
  <c r="V626" i="1" s="1"/>
  <c r="W626" i="1" l="1"/>
  <c r="Q628" i="1"/>
  <c r="U627" i="1"/>
  <c r="V627" i="1" s="1"/>
  <c r="W627" i="1" l="1"/>
  <c r="Q629" i="1"/>
  <c r="U628" i="1"/>
  <c r="V628" i="1" s="1"/>
  <c r="W628" i="1" l="1"/>
  <c r="Q630" i="1"/>
  <c r="U629" i="1"/>
  <c r="V629" i="1" s="1"/>
  <c r="W629" i="1" l="1"/>
  <c r="Q631" i="1"/>
  <c r="U630" i="1"/>
  <c r="V630" i="1" s="1"/>
  <c r="W630" i="1" l="1"/>
  <c r="Q632" i="1"/>
  <c r="U631" i="1"/>
  <c r="V631" i="1" s="1"/>
  <c r="W631" i="1" l="1"/>
  <c r="Q633" i="1"/>
  <c r="U632" i="1"/>
  <c r="V632" i="1" s="1"/>
  <c r="W632" i="1" l="1"/>
  <c r="Q634" i="1"/>
  <c r="U633" i="1"/>
  <c r="V633" i="1" s="1"/>
  <c r="W633" i="1" l="1"/>
  <c r="Q635" i="1"/>
  <c r="U634" i="1"/>
  <c r="V634" i="1" s="1"/>
  <c r="W634" i="1" l="1"/>
  <c r="Q636" i="1"/>
  <c r="U635" i="1"/>
  <c r="V635" i="1" s="1"/>
  <c r="W635" i="1" l="1"/>
  <c r="Q637" i="1"/>
  <c r="U636" i="1"/>
  <c r="V636" i="1" s="1"/>
  <c r="W636" i="1" l="1"/>
  <c r="Q638" i="1"/>
  <c r="U637" i="1"/>
  <c r="V637" i="1" s="1"/>
  <c r="W637" i="1" l="1"/>
  <c r="Q639" i="1"/>
  <c r="U638" i="1"/>
  <c r="V638" i="1" s="1"/>
  <c r="W638" i="1" l="1"/>
  <c r="Q640" i="1"/>
  <c r="U639" i="1"/>
  <c r="V639" i="1" s="1"/>
  <c r="W639" i="1" l="1"/>
  <c r="Q641" i="1"/>
  <c r="U640" i="1"/>
  <c r="V640" i="1" s="1"/>
  <c r="W640" i="1" l="1"/>
  <c r="Q642" i="1"/>
  <c r="U641" i="1"/>
  <c r="V641" i="1" s="1"/>
  <c r="W641" i="1" l="1"/>
  <c r="Q643" i="1"/>
  <c r="U642" i="1"/>
  <c r="V642" i="1" s="1"/>
  <c r="W642" i="1" l="1"/>
  <c r="Q644" i="1"/>
  <c r="U643" i="1"/>
  <c r="V643" i="1" s="1"/>
  <c r="W643" i="1" l="1"/>
  <c r="Q645" i="1"/>
  <c r="U644" i="1"/>
  <c r="V644" i="1" s="1"/>
  <c r="W644" i="1" l="1"/>
  <c r="Q646" i="1"/>
  <c r="U645" i="1"/>
  <c r="V645" i="1" s="1"/>
  <c r="W645" i="1" l="1"/>
  <c r="Q647" i="1"/>
  <c r="U646" i="1"/>
  <c r="V646" i="1" s="1"/>
  <c r="W646" i="1" l="1"/>
  <c r="Q648" i="1"/>
  <c r="U647" i="1"/>
  <c r="V647" i="1" s="1"/>
  <c r="W647" i="1" l="1"/>
  <c r="Q649" i="1"/>
  <c r="U648" i="1"/>
  <c r="V648" i="1" s="1"/>
  <c r="W648" i="1" l="1"/>
  <c r="Q650" i="1"/>
  <c r="U649" i="1"/>
  <c r="V649" i="1" s="1"/>
  <c r="W649" i="1" l="1"/>
  <c r="Q651" i="1"/>
  <c r="U650" i="1"/>
  <c r="V650" i="1" s="1"/>
  <c r="W650" i="1" l="1"/>
  <c r="Q652" i="1"/>
  <c r="U651" i="1"/>
  <c r="V651" i="1" s="1"/>
  <c r="W651" i="1" l="1"/>
  <c r="Q653" i="1"/>
  <c r="U652" i="1"/>
  <c r="V652" i="1" s="1"/>
  <c r="W652" i="1" l="1"/>
  <c r="Q654" i="1"/>
  <c r="U653" i="1"/>
  <c r="V653" i="1" s="1"/>
  <c r="W653" i="1" l="1"/>
  <c r="Q655" i="1"/>
  <c r="U654" i="1"/>
  <c r="V654" i="1" s="1"/>
  <c r="W654" i="1" l="1"/>
  <c r="Q656" i="1"/>
  <c r="U655" i="1"/>
  <c r="V655" i="1" s="1"/>
  <c r="W655" i="1" l="1"/>
  <c r="Q657" i="1"/>
  <c r="U656" i="1"/>
  <c r="V656" i="1" s="1"/>
  <c r="W656" i="1" l="1"/>
  <c r="Q658" i="1"/>
  <c r="U657" i="1"/>
  <c r="V657" i="1" s="1"/>
  <c r="W657" i="1" l="1"/>
  <c r="Q659" i="1"/>
  <c r="U658" i="1"/>
  <c r="V658" i="1" s="1"/>
  <c r="W658" i="1" l="1"/>
  <c r="Q660" i="1"/>
  <c r="U659" i="1"/>
  <c r="V659" i="1" s="1"/>
  <c r="W659" i="1" l="1"/>
  <c r="Q661" i="1"/>
  <c r="U660" i="1"/>
  <c r="V660" i="1" s="1"/>
  <c r="W660" i="1" l="1"/>
  <c r="Q662" i="1"/>
  <c r="U661" i="1"/>
  <c r="V661" i="1" s="1"/>
  <c r="W661" i="1" l="1"/>
  <c r="Q663" i="1"/>
  <c r="U662" i="1"/>
  <c r="V662" i="1" s="1"/>
  <c r="W662" i="1" l="1"/>
  <c r="Q664" i="1"/>
  <c r="U663" i="1"/>
  <c r="V663" i="1" s="1"/>
  <c r="W663" i="1" l="1"/>
  <c r="Q665" i="1"/>
  <c r="U664" i="1"/>
  <c r="V664" i="1" s="1"/>
  <c r="W664" i="1" l="1"/>
  <c r="Q666" i="1"/>
  <c r="U665" i="1"/>
  <c r="V665" i="1" s="1"/>
  <c r="W665" i="1" l="1"/>
  <c r="Q667" i="1"/>
  <c r="U666" i="1"/>
  <c r="V666" i="1" s="1"/>
  <c r="W666" i="1" l="1"/>
  <c r="Q668" i="1"/>
  <c r="U667" i="1"/>
  <c r="V667" i="1" s="1"/>
  <c r="W667" i="1" l="1"/>
  <c r="Q669" i="1"/>
  <c r="U668" i="1"/>
  <c r="V668" i="1" s="1"/>
  <c r="W668" i="1" l="1"/>
  <c r="Q670" i="1"/>
  <c r="U669" i="1"/>
  <c r="V669" i="1" s="1"/>
  <c r="W669" i="1" l="1"/>
  <c r="Q671" i="1"/>
  <c r="U670" i="1"/>
  <c r="V670" i="1" s="1"/>
  <c r="W670" i="1" l="1"/>
  <c r="Q672" i="1"/>
  <c r="U671" i="1"/>
  <c r="V671" i="1" s="1"/>
  <c r="W671" i="1" l="1"/>
  <c r="Q673" i="1"/>
  <c r="U672" i="1"/>
  <c r="V672" i="1" s="1"/>
  <c r="W672" i="1" l="1"/>
  <c r="Q674" i="1"/>
  <c r="U673" i="1"/>
  <c r="V673" i="1" s="1"/>
  <c r="W673" i="1" l="1"/>
  <c r="Q675" i="1"/>
  <c r="U674" i="1"/>
  <c r="V674" i="1" s="1"/>
  <c r="W674" i="1" l="1"/>
  <c r="Q676" i="1"/>
  <c r="U675" i="1"/>
  <c r="V675" i="1" s="1"/>
  <c r="W675" i="1" l="1"/>
  <c r="Q677" i="1"/>
  <c r="U676" i="1"/>
  <c r="V676" i="1" s="1"/>
  <c r="W676" i="1" l="1"/>
  <c r="Q678" i="1"/>
  <c r="U677" i="1"/>
  <c r="V677" i="1" s="1"/>
  <c r="W677" i="1" l="1"/>
  <c r="Q679" i="1"/>
  <c r="U678" i="1"/>
  <c r="V678" i="1" s="1"/>
  <c r="W678" i="1" l="1"/>
  <c r="Q680" i="1"/>
  <c r="U679" i="1"/>
  <c r="V679" i="1" s="1"/>
  <c r="W679" i="1" l="1"/>
  <c r="Q681" i="1"/>
  <c r="U680" i="1"/>
  <c r="V680" i="1" s="1"/>
  <c r="W680" i="1" l="1"/>
  <c r="Q682" i="1"/>
  <c r="U681" i="1"/>
  <c r="V681" i="1" s="1"/>
  <c r="W681" i="1" l="1"/>
  <c r="Q683" i="1"/>
  <c r="U682" i="1"/>
  <c r="V682" i="1" s="1"/>
  <c r="W682" i="1" l="1"/>
  <c r="Q684" i="1"/>
  <c r="U683" i="1"/>
  <c r="V683" i="1" s="1"/>
  <c r="W683" i="1" l="1"/>
  <c r="Q685" i="1"/>
  <c r="U684" i="1"/>
  <c r="V684" i="1" s="1"/>
  <c r="W684" i="1" l="1"/>
  <c r="Q686" i="1"/>
  <c r="U685" i="1"/>
  <c r="V685" i="1" s="1"/>
  <c r="W685" i="1" l="1"/>
  <c r="Q687" i="1"/>
  <c r="U686" i="1"/>
  <c r="V686" i="1" s="1"/>
  <c r="W686" i="1" l="1"/>
  <c r="Q688" i="1"/>
  <c r="U687" i="1"/>
  <c r="V687" i="1" s="1"/>
  <c r="W687" i="1" l="1"/>
  <c r="Q689" i="1"/>
  <c r="U688" i="1"/>
  <c r="V688" i="1" s="1"/>
  <c r="W688" i="1" l="1"/>
  <c r="Q690" i="1"/>
  <c r="U689" i="1"/>
  <c r="V689" i="1" s="1"/>
  <c r="W689" i="1" l="1"/>
  <c r="Q691" i="1"/>
  <c r="U690" i="1"/>
  <c r="V690" i="1" s="1"/>
  <c r="W690" i="1" l="1"/>
  <c r="Q692" i="1"/>
  <c r="U691" i="1"/>
  <c r="V691" i="1" s="1"/>
  <c r="W691" i="1" l="1"/>
  <c r="Q693" i="1"/>
  <c r="U692" i="1"/>
  <c r="V692" i="1" s="1"/>
  <c r="W692" i="1" l="1"/>
  <c r="Q694" i="1"/>
  <c r="U693" i="1"/>
  <c r="V693" i="1" s="1"/>
  <c r="W693" i="1" l="1"/>
  <c r="Q695" i="1"/>
  <c r="U694" i="1"/>
  <c r="V694" i="1" s="1"/>
  <c r="W694" i="1" l="1"/>
  <c r="Q696" i="1"/>
  <c r="U695" i="1"/>
  <c r="V695" i="1" s="1"/>
  <c r="W695" i="1" l="1"/>
  <c r="Q697" i="1"/>
  <c r="U696" i="1"/>
  <c r="V696" i="1" s="1"/>
  <c r="W696" i="1" l="1"/>
  <c r="Q698" i="1"/>
  <c r="U697" i="1"/>
  <c r="V697" i="1" s="1"/>
  <c r="W697" i="1" l="1"/>
  <c r="Q699" i="1"/>
  <c r="U698" i="1"/>
  <c r="V698" i="1" s="1"/>
  <c r="W698" i="1" l="1"/>
  <c r="Q700" i="1"/>
  <c r="U699" i="1"/>
  <c r="V699" i="1" s="1"/>
  <c r="W699" i="1" l="1"/>
  <c r="Q701" i="1"/>
  <c r="U700" i="1"/>
  <c r="V700" i="1" s="1"/>
  <c r="W700" i="1" l="1"/>
  <c r="Q702" i="1"/>
  <c r="U701" i="1"/>
  <c r="V701" i="1" s="1"/>
  <c r="W701" i="1" l="1"/>
  <c r="Q703" i="1"/>
  <c r="U702" i="1"/>
  <c r="V702" i="1" s="1"/>
  <c r="W702" i="1" l="1"/>
  <c r="Q704" i="1"/>
  <c r="U703" i="1"/>
  <c r="V703" i="1" s="1"/>
  <c r="W703" i="1" l="1"/>
  <c r="Q705" i="1"/>
  <c r="U704" i="1"/>
  <c r="V704" i="1" s="1"/>
  <c r="W704" i="1" l="1"/>
  <c r="Q706" i="1"/>
  <c r="U705" i="1"/>
  <c r="V705" i="1" s="1"/>
  <c r="W705" i="1" l="1"/>
  <c r="Q707" i="1"/>
  <c r="U706" i="1"/>
  <c r="V706" i="1" s="1"/>
  <c r="W706" i="1" l="1"/>
  <c r="Q708" i="1"/>
  <c r="U707" i="1"/>
  <c r="V707" i="1" s="1"/>
  <c r="W707" i="1" l="1"/>
  <c r="Q709" i="1"/>
  <c r="U708" i="1"/>
  <c r="V708" i="1" s="1"/>
  <c r="W708" i="1" l="1"/>
  <c r="Q710" i="1"/>
  <c r="U709" i="1"/>
  <c r="V709" i="1" s="1"/>
  <c r="W709" i="1" l="1"/>
  <c r="Q711" i="1"/>
  <c r="U710" i="1"/>
  <c r="V710" i="1" s="1"/>
  <c r="W710" i="1" l="1"/>
  <c r="Q712" i="1"/>
  <c r="U711" i="1"/>
  <c r="V711" i="1" s="1"/>
  <c r="W711" i="1" l="1"/>
  <c r="Q713" i="1"/>
  <c r="U712" i="1"/>
  <c r="V712" i="1" s="1"/>
  <c r="W712" i="1" l="1"/>
  <c r="Q714" i="1"/>
  <c r="U713" i="1"/>
  <c r="V713" i="1" s="1"/>
  <c r="W713" i="1" l="1"/>
  <c r="Q715" i="1"/>
  <c r="U714" i="1"/>
  <c r="V714" i="1" s="1"/>
  <c r="W714" i="1" l="1"/>
  <c r="Q716" i="1"/>
  <c r="U715" i="1"/>
  <c r="V715" i="1" s="1"/>
  <c r="W715" i="1" l="1"/>
  <c r="Q717" i="1"/>
  <c r="U716" i="1"/>
  <c r="V716" i="1" s="1"/>
  <c r="W716" i="1" l="1"/>
  <c r="Q718" i="1"/>
  <c r="U717" i="1"/>
  <c r="V717" i="1" s="1"/>
  <c r="W717" i="1" l="1"/>
  <c r="Q719" i="1"/>
  <c r="U718" i="1"/>
  <c r="V718" i="1" s="1"/>
  <c r="W718" i="1" l="1"/>
  <c r="Q720" i="1"/>
  <c r="U719" i="1"/>
  <c r="V719" i="1" s="1"/>
  <c r="W719" i="1" l="1"/>
  <c r="Q721" i="1"/>
  <c r="U720" i="1"/>
  <c r="V720" i="1" s="1"/>
  <c r="W720" i="1" l="1"/>
  <c r="Q722" i="1"/>
  <c r="U721" i="1"/>
  <c r="V721" i="1" s="1"/>
  <c r="W721" i="1" l="1"/>
  <c r="Q723" i="1"/>
  <c r="U722" i="1"/>
  <c r="V722" i="1" s="1"/>
  <c r="W722" i="1" l="1"/>
  <c r="Q724" i="1"/>
  <c r="U723" i="1"/>
  <c r="V723" i="1" s="1"/>
  <c r="W723" i="1" l="1"/>
  <c r="Q725" i="1"/>
  <c r="U724" i="1"/>
  <c r="V724" i="1" s="1"/>
  <c r="W724" i="1" l="1"/>
  <c r="Q726" i="1"/>
  <c r="U725" i="1"/>
  <c r="V725" i="1" s="1"/>
  <c r="W725" i="1" l="1"/>
  <c r="Q727" i="1"/>
  <c r="U726" i="1"/>
  <c r="V726" i="1" s="1"/>
  <c r="W726" i="1" l="1"/>
  <c r="Q728" i="1"/>
  <c r="U727" i="1"/>
  <c r="V727" i="1" s="1"/>
  <c r="W727" i="1" l="1"/>
  <c r="Q729" i="1"/>
  <c r="U728" i="1"/>
  <c r="V728" i="1" s="1"/>
  <c r="W728" i="1" l="1"/>
  <c r="Q730" i="1"/>
  <c r="U729" i="1"/>
  <c r="V729" i="1" s="1"/>
  <c r="W729" i="1" l="1"/>
  <c r="Q731" i="1"/>
  <c r="U730" i="1"/>
  <c r="V730" i="1" s="1"/>
  <c r="W730" i="1" l="1"/>
  <c r="Q732" i="1"/>
  <c r="U731" i="1"/>
  <c r="V731" i="1" s="1"/>
  <c r="W731" i="1" l="1"/>
  <c r="Q733" i="1"/>
  <c r="U732" i="1"/>
  <c r="V732" i="1" s="1"/>
  <c r="W732" i="1" l="1"/>
  <c r="Q734" i="1"/>
  <c r="U733" i="1"/>
  <c r="V733" i="1" s="1"/>
  <c r="W733" i="1" l="1"/>
  <c r="Q735" i="1"/>
  <c r="U734" i="1"/>
  <c r="V734" i="1" s="1"/>
  <c r="W734" i="1" l="1"/>
  <c r="Q736" i="1"/>
  <c r="U735" i="1"/>
  <c r="V735" i="1" s="1"/>
  <c r="W735" i="1" l="1"/>
  <c r="Q737" i="1"/>
  <c r="U736" i="1"/>
  <c r="V736" i="1" s="1"/>
  <c r="W736" i="1" l="1"/>
  <c r="Q738" i="1"/>
  <c r="U737" i="1"/>
  <c r="V737" i="1" s="1"/>
  <c r="W737" i="1" l="1"/>
  <c r="Q739" i="1"/>
  <c r="U738" i="1"/>
  <c r="V738" i="1" s="1"/>
  <c r="W738" i="1" l="1"/>
  <c r="Q740" i="1"/>
  <c r="U739" i="1"/>
  <c r="V739" i="1" s="1"/>
  <c r="W739" i="1" l="1"/>
  <c r="Q741" i="1"/>
  <c r="U740" i="1"/>
  <c r="V740" i="1" s="1"/>
  <c r="W740" i="1" l="1"/>
  <c r="Q742" i="1"/>
  <c r="U741" i="1"/>
  <c r="V741" i="1" s="1"/>
  <c r="W741" i="1" l="1"/>
  <c r="Q743" i="1"/>
  <c r="U742" i="1"/>
  <c r="V742" i="1" s="1"/>
  <c r="W742" i="1" l="1"/>
  <c r="Q744" i="1"/>
  <c r="U743" i="1"/>
  <c r="V743" i="1" s="1"/>
  <c r="W743" i="1" l="1"/>
  <c r="Q745" i="1"/>
  <c r="U744" i="1"/>
  <c r="V744" i="1" s="1"/>
  <c r="W744" i="1" l="1"/>
  <c r="Q746" i="1"/>
  <c r="U745" i="1"/>
  <c r="V745" i="1" s="1"/>
  <c r="W745" i="1" l="1"/>
  <c r="Q747" i="1"/>
  <c r="U746" i="1"/>
  <c r="V746" i="1" s="1"/>
  <c r="W746" i="1" l="1"/>
  <c r="Q748" i="1"/>
  <c r="U747" i="1"/>
  <c r="V747" i="1" s="1"/>
  <c r="W747" i="1" l="1"/>
  <c r="Q749" i="1"/>
  <c r="U748" i="1"/>
  <c r="V748" i="1" s="1"/>
  <c r="W748" i="1" l="1"/>
  <c r="Q750" i="1"/>
  <c r="U749" i="1"/>
  <c r="V749" i="1" s="1"/>
  <c r="W749" i="1" l="1"/>
  <c r="Q751" i="1"/>
  <c r="U750" i="1"/>
  <c r="V750" i="1" s="1"/>
  <c r="W750" i="1" l="1"/>
  <c r="Q752" i="1"/>
  <c r="U751" i="1"/>
  <c r="V751" i="1" s="1"/>
  <c r="W751" i="1" l="1"/>
  <c r="Q753" i="1"/>
  <c r="U752" i="1"/>
  <c r="V752" i="1" s="1"/>
  <c r="W752" i="1" l="1"/>
  <c r="Q754" i="1"/>
  <c r="U753" i="1"/>
  <c r="V753" i="1" s="1"/>
  <c r="W753" i="1" l="1"/>
  <c r="Q755" i="1"/>
  <c r="U754" i="1"/>
  <c r="V754" i="1" s="1"/>
  <c r="W754" i="1" l="1"/>
  <c r="Q756" i="1"/>
  <c r="U755" i="1"/>
  <c r="V755" i="1" s="1"/>
  <c r="W755" i="1" l="1"/>
  <c r="Q757" i="1"/>
  <c r="U756" i="1"/>
  <c r="V756" i="1" s="1"/>
  <c r="W756" i="1" l="1"/>
  <c r="Q758" i="1"/>
  <c r="U757" i="1"/>
  <c r="V757" i="1" s="1"/>
  <c r="W757" i="1" l="1"/>
  <c r="Q759" i="1"/>
  <c r="U758" i="1"/>
  <c r="V758" i="1" s="1"/>
  <c r="W758" i="1" l="1"/>
  <c r="Q760" i="1"/>
  <c r="U759" i="1"/>
  <c r="V759" i="1" s="1"/>
  <c r="W759" i="1" l="1"/>
  <c r="Q761" i="1"/>
  <c r="U760" i="1"/>
  <c r="V760" i="1" s="1"/>
  <c r="W760" i="1" l="1"/>
  <c r="Q762" i="1"/>
  <c r="U761" i="1"/>
  <c r="V761" i="1" s="1"/>
  <c r="W761" i="1" l="1"/>
  <c r="Q763" i="1"/>
  <c r="U762" i="1"/>
  <c r="V762" i="1" s="1"/>
  <c r="W762" i="1" l="1"/>
  <c r="Q764" i="1"/>
  <c r="U763" i="1"/>
  <c r="V763" i="1" s="1"/>
  <c r="W763" i="1" l="1"/>
  <c r="Q765" i="1"/>
  <c r="U764" i="1"/>
  <c r="V764" i="1" s="1"/>
  <c r="W764" i="1" l="1"/>
  <c r="Q766" i="1"/>
  <c r="U765" i="1"/>
  <c r="V765" i="1" s="1"/>
  <c r="W765" i="1" l="1"/>
  <c r="Q767" i="1"/>
  <c r="U766" i="1"/>
  <c r="V766" i="1" s="1"/>
  <c r="W766" i="1" l="1"/>
  <c r="Q768" i="1"/>
  <c r="U767" i="1"/>
  <c r="V767" i="1" s="1"/>
  <c r="W767" i="1" l="1"/>
  <c r="Q769" i="1"/>
  <c r="U768" i="1"/>
  <c r="V768" i="1" s="1"/>
  <c r="W768" i="1" l="1"/>
  <c r="Q770" i="1"/>
  <c r="U769" i="1"/>
  <c r="V769" i="1" s="1"/>
  <c r="W769" i="1" l="1"/>
  <c r="Q771" i="1"/>
  <c r="U770" i="1"/>
  <c r="V770" i="1" s="1"/>
  <c r="W770" i="1" l="1"/>
  <c r="Q772" i="1"/>
  <c r="U771" i="1"/>
  <c r="V771" i="1" s="1"/>
  <c r="W771" i="1" l="1"/>
  <c r="Q773" i="1"/>
  <c r="U772" i="1"/>
  <c r="V772" i="1" s="1"/>
  <c r="W772" i="1" l="1"/>
  <c r="Q774" i="1"/>
  <c r="U773" i="1"/>
  <c r="V773" i="1" s="1"/>
  <c r="W773" i="1" l="1"/>
  <c r="Q775" i="1"/>
  <c r="U774" i="1"/>
  <c r="V774" i="1" s="1"/>
  <c r="W774" i="1" l="1"/>
  <c r="Q776" i="1"/>
  <c r="U775" i="1"/>
  <c r="V775" i="1" s="1"/>
  <c r="W775" i="1" l="1"/>
  <c r="Q777" i="1"/>
  <c r="U776" i="1"/>
  <c r="V776" i="1" s="1"/>
  <c r="W776" i="1" l="1"/>
  <c r="Q778" i="1"/>
  <c r="U777" i="1"/>
  <c r="V777" i="1" s="1"/>
  <c r="W777" i="1" l="1"/>
  <c r="Q779" i="1"/>
  <c r="U778" i="1"/>
  <c r="V778" i="1" s="1"/>
  <c r="W778" i="1" l="1"/>
  <c r="Q780" i="1"/>
  <c r="U779" i="1"/>
  <c r="V779" i="1" s="1"/>
  <c r="W779" i="1" l="1"/>
  <c r="Q781" i="1"/>
  <c r="U780" i="1"/>
  <c r="V780" i="1" s="1"/>
  <c r="W780" i="1" l="1"/>
  <c r="Q782" i="1"/>
  <c r="U781" i="1"/>
  <c r="V781" i="1" s="1"/>
  <c r="W781" i="1" l="1"/>
  <c r="Q783" i="1"/>
  <c r="U782" i="1"/>
  <c r="V782" i="1" s="1"/>
  <c r="W782" i="1" l="1"/>
  <c r="Q784" i="1"/>
  <c r="U783" i="1"/>
  <c r="V783" i="1" s="1"/>
  <c r="W783" i="1" l="1"/>
  <c r="Q785" i="1"/>
  <c r="U784" i="1"/>
  <c r="V784" i="1" s="1"/>
  <c r="W784" i="1" l="1"/>
  <c r="Q786" i="1"/>
  <c r="U785" i="1"/>
  <c r="V785" i="1" s="1"/>
  <c r="W785" i="1" l="1"/>
  <c r="Q787" i="1"/>
  <c r="U786" i="1"/>
  <c r="V786" i="1" s="1"/>
  <c r="W786" i="1" l="1"/>
  <c r="Q788" i="1"/>
  <c r="U787" i="1"/>
  <c r="V787" i="1" s="1"/>
  <c r="W787" i="1" l="1"/>
  <c r="Q789" i="1"/>
  <c r="U788" i="1"/>
  <c r="V788" i="1" s="1"/>
  <c r="W788" i="1" l="1"/>
  <c r="Q790" i="1"/>
  <c r="U789" i="1"/>
  <c r="V789" i="1" s="1"/>
  <c r="W789" i="1" l="1"/>
  <c r="Q791" i="1"/>
  <c r="U790" i="1"/>
  <c r="V790" i="1" s="1"/>
  <c r="W790" i="1" l="1"/>
  <c r="Q792" i="1"/>
  <c r="U791" i="1"/>
  <c r="V791" i="1" s="1"/>
  <c r="W791" i="1" l="1"/>
  <c r="Q793" i="1"/>
  <c r="U792" i="1"/>
  <c r="V792" i="1" s="1"/>
  <c r="W792" i="1" l="1"/>
  <c r="Q794" i="1"/>
  <c r="U793" i="1"/>
  <c r="V793" i="1" s="1"/>
  <c r="W793" i="1" l="1"/>
  <c r="Q795" i="1"/>
  <c r="U794" i="1"/>
  <c r="V794" i="1" s="1"/>
  <c r="W794" i="1" l="1"/>
  <c r="Q796" i="1"/>
  <c r="U795" i="1"/>
  <c r="V795" i="1" s="1"/>
  <c r="W795" i="1" l="1"/>
  <c r="Q797" i="1"/>
  <c r="U796" i="1"/>
  <c r="V796" i="1" s="1"/>
  <c r="W796" i="1" l="1"/>
  <c r="Q798" i="1"/>
  <c r="U797" i="1"/>
  <c r="V797" i="1" s="1"/>
  <c r="W797" i="1" l="1"/>
  <c r="Q799" i="1"/>
  <c r="U798" i="1"/>
  <c r="V798" i="1" s="1"/>
  <c r="W798" i="1" l="1"/>
  <c r="Q800" i="1"/>
  <c r="U799" i="1"/>
  <c r="V799" i="1" s="1"/>
  <c r="W799" i="1" l="1"/>
  <c r="Q801" i="1"/>
  <c r="U800" i="1"/>
  <c r="V800" i="1" s="1"/>
  <c r="W800" i="1" l="1"/>
  <c r="Q802" i="1"/>
  <c r="U801" i="1"/>
  <c r="V801" i="1" s="1"/>
  <c r="W801" i="1" l="1"/>
  <c r="Q803" i="1"/>
  <c r="U802" i="1"/>
  <c r="V802" i="1" s="1"/>
  <c r="W802" i="1" l="1"/>
  <c r="Q804" i="1"/>
  <c r="U803" i="1"/>
  <c r="V803" i="1" s="1"/>
  <c r="W803" i="1" l="1"/>
  <c r="Q805" i="1"/>
  <c r="U804" i="1"/>
  <c r="V804" i="1" s="1"/>
  <c r="W804" i="1" l="1"/>
  <c r="Q806" i="1"/>
  <c r="U805" i="1"/>
  <c r="V805" i="1" s="1"/>
  <c r="W805" i="1" l="1"/>
  <c r="Q807" i="1"/>
  <c r="U806" i="1"/>
  <c r="V806" i="1" s="1"/>
  <c r="W806" i="1" l="1"/>
  <c r="Q808" i="1"/>
  <c r="U807" i="1"/>
  <c r="V807" i="1" s="1"/>
  <c r="W807" i="1" l="1"/>
  <c r="Q809" i="1"/>
  <c r="U808" i="1"/>
  <c r="V808" i="1" s="1"/>
  <c r="W808" i="1" l="1"/>
  <c r="Q810" i="1"/>
  <c r="U809" i="1"/>
  <c r="V809" i="1" s="1"/>
  <c r="W809" i="1" l="1"/>
  <c r="Q811" i="1"/>
  <c r="U810" i="1"/>
  <c r="V810" i="1" s="1"/>
  <c r="W810" i="1" l="1"/>
  <c r="Q812" i="1"/>
  <c r="U811" i="1"/>
  <c r="V811" i="1" s="1"/>
  <c r="W811" i="1" l="1"/>
  <c r="Q813" i="1"/>
  <c r="U812" i="1"/>
  <c r="V812" i="1" s="1"/>
  <c r="W812" i="1" l="1"/>
  <c r="Q814" i="1"/>
  <c r="U813" i="1"/>
  <c r="V813" i="1" s="1"/>
  <c r="W813" i="1" l="1"/>
  <c r="Q815" i="1"/>
  <c r="U814" i="1"/>
  <c r="V814" i="1" s="1"/>
  <c r="W814" i="1" l="1"/>
  <c r="Q816" i="1"/>
  <c r="U815" i="1"/>
  <c r="V815" i="1" s="1"/>
  <c r="W815" i="1" l="1"/>
  <c r="Q817" i="1"/>
  <c r="U816" i="1"/>
  <c r="V816" i="1" s="1"/>
  <c r="W816" i="1" l="1"/>
  <c r="Q818" i="1"/>
  <c r="U817" i="1"/>
  <c r="V817" i="1" s="1"/>
  <c r="W817" i="1" l="1"/>
  <c r="Q819" i="1"/>
  <c r="U818" i="1"/>
  <c r="V818" i="1" s="1"/>
  <c r="W818" i="1" l="1"/>
  <c r="Q820" i="1"/>
  <c r="U819" i="1"/>
  <c r="V819" i="1" s="1"/>
  <c r="W819" i="1" l="1"/>
  <c r="Q821" i="1"/>
  <c r="U820" i="1"/>
  <c r="V820" i="1" s="1"/>
  <c r="W820" i="1" l="1"/>
  <c r="Q822" i="1"/>
  <c r="U821" i="1"/>
  <c r="V821" i="1" s="1"/>
  <c r="W821" i="1" l="1"/>
  <c r="Q823" i="1"/>
  <c r="U822" i="1"/>
  <c r="V822" i="1" s="1"/>
  <c r="W822" i="1" l="1"/>
  <c r="Q824" i="1"/>
  <c r="U823" i="1"/>
  <c r="V823" i="1" s="1"/>
  <c r="W823" i="1" l="1"/>
  <c r="Q825" i="1"/>
  <c r="U824" i="1"/>
  <c r="V824" i="1" s="1"/>
  <c r="W824" i="1" l="1"/>
  <c r="Q826" i="1"/>
  <c r="U825" i="1"/>
  <c r="V825" i="1" s="1"/>
  <c r="W825" i="1" l="1"/>
  <c r="Q827" i="1"/>
  <c r="U826" i="1"/>
  <c r="V826" i="1" s="1"/>
  <c r="W826" i="1" l="1"/>
  <c r="Q828" i="1"/>
  <c r="U827" i="1"/>
  <c r="V827" i="1" s="1"/>
  <c r="W827" i="1" l="1"/>
  <c r="Q829" i="1"/>
  <c r="U828" i="1"/>
  <c r="V828" i="1" s="1"/>
  <c r="W828" i="1" l="1"/>
  <c r="Q830" i="1"/>
  <c r="U829" i="1"/>
  <c r="V829" i="1" s="1"/>
  <c r="W829" i="1" l="1"/>
  <c r="Q831" i="1"/>
  <c r="U830" i="1"/>
  <c r="V830" i="1" s="1"/>
  <c r="W830" i="1" l="1"/>
  <c r="Q832" i="1"/>
  <c r="U831" i="1"/>
  <c r="V831" i="1" s="1"/>
  <c r="W831" i="1" l="1"/>
  <c r="Q833" i="1"/>
  <c r="U832" i="1"/>
  <c r="V832" i="1" s="1"/>
  <c r="W832" i="1" l="1"/>
  <c r="Q834" i="1"/>
  <c r="U833" i="1"/>
  <c r="V833" i="1" s="1"/>
  <c r="W833" i="1" l="1"/>
  <c r="Q835" i="1"/>
  <c r="U834" i="1"/>
  <c r="V834" i="1" s="1"/>
  <c r="W834" i="1" l="1"/>
  <c r="Q836" i="1"/>
  <c r="U835" i="1"/>
  <c r="V835" i="1" s="1"/>
  <c r="W835" i="1" l="1"/>
  <c r="Q837" i="1"/>
  <c r="U836" i="1"/>
  <c r="V836" i="1" s="1"/>
  <c r="W836" i="1" l="1"/>
  <c r="Q838" i="1"/>
  <c r="U837" i="1"/>
  <c r="V837" i="1" s="1"/>
  <c r="W837" i="1" l="1"/>
  <c r="Q839" i="1"/>
  <c r="U838" i="1"/>
  <c r="V838" i="1" s="1"/>
  <c r="W838" i="1" l="1"/>
  <c r="Q840" i="1"/>
  <c r="U839" i="1"/>
  <c r="V839" i="1" s="1"/>
  <c r="W839" i="1" l="1"/>
  <c r="Q841" i="1"/>
  <c r="U840" i="1"/>
  <c r="V840" i="1" s="1"/>
  <c r="W840" i="1" l="1"/>
  <c r="Q842" i="1"/>
  <c r="U841" i="1"/>
  <c r="V841" i="1" s="1"/>
  <c r="W841" i="1" l="1"/>
  <c r="Q843" i="1"/>
  <c r="U842" i="1"/>
  <c r="V842" i="1" s="1"/>
  <c r="W842" i="1" l="1"/>
  <c r="Q844" i="1"/>
  <c r="U843" i="1"/>
  <c r="V843" i="1" s="1"/>
  <c r="W843" i="1" l="1"/>
  <c r="Q845" i="1"/>
  <c r="U844" i="1"/>
  <c r="V844" i="1" s="1"/>
  <c r="W844" i="1" l="1"/>
  <c r="Q846" i="1"/>
  <c r="U845" i="1"/>
  <c r="V845" i="1" s="1"/>
  <c r="W845" i="1" l="1"/>
  <c r="Q847" i="1"/>
  <c r="U846" i="1"/>
  <c r="V846" i="1" s="1"/>
  <c r="W846" i="1" l="1"/>
  <c r="Q848" i="1"/>
  <c r="U847" i="1"/>
  <c r="V847" i="1" s="1"/>
  <c r="W847" i="1" l="1"/>
  <c r="Q849" i="1"/>
  <c r="U848" i="1"/>
  <c r="V848" i="1" s="1"/>
  <c r="W848" i="1" l="1"/>
  <c r="Q850" i="1"/>
  <c r="U849" i="1"/>
  <c r="V849" i="1" s="1"/>
  <c r="W849" i="1" l="1"/>
  <c r="Q851" i="1"/>
  <c r="U850" i="1"/>
  <c r="V850" i="1" s="1"/>
  <c r="W850" i="1" l="1"/>
  <c r="Q852" i="1"/>
  <c r="U851" i="1"/>
  <c r="V851" i="1" s="1"/>
  <c r="W851" i="1" l="1"/>
  <c r="Q853" i="1"/>
  <c r="U852" i="1"/>
  <c r="V852" i="1" s="1"/>
  <c r="W852" i="1" l="1"/>
  <c r="Q854" i="1"/>
  <c r="U853" i="1"/>
  <c r="V853" i="1" s="1"/>
  <c r="W853" i="1" l="1"/>
  <c r="Q855" i="1"/>
  <c r="U854" i="1"/>
  <c r="V854" i="1" s="1"/>
  <c r="W854" i="1" l="1"/>
  <c r="Q856" i="1"/>
  <c r="U855" i="1"/>
  <c r="V855" i="1" s="1"/>
  <c r="W855" i="1" l="1"/>
  <c r="Q857" i="1"/>
  <c r="U856" i="1"/>
  <c r="V856" i="1" s="1"/>
  <c r="W856" i="1" l="1"/>
  <c r="Q858" i="1"/>
  <c r="U857" i="1"/>
  <c r="V857" i="1" s="1"/>
  <c r="W857" i="1" l="1"/>
  <c r="Q859" i="1"/>
  <c r="U858" i="1"/>
  <c r="V858" i="1" s="1"/>
  <c r="W858" i="1" l="1"/>
  <c r="Q860" i="1"/>
  <c r="U859" i="1"/>
  <c r="V859" i="1" s="1"/>
  <c r="W859" i="1" l="1"/>
  <c r="Q861" i="1"/>
  <c r="U860" i="1"/>
  <c r="V860" i="1" s="1"/>
  <c r="W860" i="1" l="1"/>
  <c r="Q862" i="1"/>
  <c r="U861" i="1"/>
  <c r="V861" i="1" s="1"/>
  <c r="W861" i="1" l="1"/>
  <c r="Q863" i="1"/>
  <c r="U862" i="1"/>
  <c r="V862" i="1" s="1"/>
  <c r="W862" i="1" l="1"/>
  <c r="Q864" i="1"/>
  <c r="U863" i="1"/>
  <c r="V863" i="1" s="1"/>
  <c r="W863" i="1" l="1"/>
  <c r="Q865" i="1"/>
  <c r="U864" i="1"/>
  <c r="V864" i="1" s="1"/>
  <c r="W864" i="1" l="1"/>
  <c r="Q866" i="1"/>
  <c r="U865" i="1"/>
  <c r="V865" i="1" s="1"/>
  <c r="W865" i="1" l="1"/>
  <c r="Q867" i="1"/>
  <c r="U866" i="1"/>
  <c r="V866" i="1" s="1"/>
  <c r="W866" i="1" l="1"/>
  <c r="Q868" i="1"/>
  <c r="U867" i="1"/>
  <c r="V867" i="1" s="1"/>
  <c r="W867" i="1" l="1"/>
  <c r="Q869" i="1"/>
  <c r="U868" i="1"/>
  <c r="V868" i="1" s="1"/>
  <c r="W868" i="1" l="1"/>
  <c r="Q870" i="1"/>
  <c r="U869" i="1"/>
  <c r="V869" i="1" s="1"/>
  <c r="W869" i="1" l="1"/>
  <c r="Q871" i="1"/>
  <c r="U870" i="1"/>
  <c r="V870" i="1" s="1"/>
  <c r="W870" i="1" l="1"/>
  <c r="Q872" i="1"/>
  <c r="U871" i="1"/>
  <c r="V871" i="1" s="1"/>
  <c r="W871" i="1" l="1"/>
  <c r="Q873" i="1"/>
  <c r="U872" i="1"/>
  <c r="V872" i="1" s="1"/>
  <c r="W872" i="1" l="1"/>
  <c r="Q874" i="1"/>
  <c r="U873" i="1"/>
  <c r="V873" i="1" s="1"/>
  <c r="W873" i="1" l="1"/>
  <c r="Q875" i="1"/>
  <c r="U874" i="1"/>
  <c r="V874" i="1" s="1"/>
  <c r="W874" i="1" l="1"/>
  <c r="Q876" i="1"/>
  <c r="U875" i="1"/>
  <c r="V875" i="1" s="1"/>
  <c r="W875" i="1" l="1"/>
  <c r="Q877" i="1"/>
  <c r="U876" i="1"/>
  <c r="V876" i="1" s="1"/>
  <c r="W876" i="1" l="1"/>
  <c r="Q878" i="1"/>
  <c r="U877" i="1"/>
  <c r="V877" i="1" s="1"/>
  <c r="W877" i="1" l="1"/>
  <c r="Q879" i="1"/>
  <c r="U878" i="1"/>
  <c r="V878" i="1" s="1"/>
  <c r="W878" i="1" l="1"/>
  <c r="Q880" i="1"/>
  <c r="U879" i="1"/>
  <c r="V879" i="1" s="1"/>
  <c r="W879" i="1" l="1"/>
  <c r="Q881" i="1"/>
  <c r="U880" i="1"/>
  <c r="V880" i="1" s="1"/>
  <c r="W880" i="1" l="1"/>
  <c r="Q882" i="1"/>
  <c r="U881" i="1"/>
  <c r="V881" i="1" s="1"/>
  <c r="W881" i="1" l="1"/>
  <c r="Q883" i="1"/>
  <c r="U882" i="1"/>
  <c r="V882" i="1" s="1"/>
  <c r="W882" i="1" l="1"/>
  <c r="Q884" i="1"/>
  <c r="U883" i="1"/>
  <c r="V883" i="1" s="1"/>
  <c r="W883" i="1" l="1"/>
  <c r="Q885" i="1"/>
  <c r="U884" i="1"/>
  <c r="V884" i="1" s="1"/>
  <c r="W884" i="1" l="1"/>
  <c r="Q886" i="1"/>
  <c r="U885" i="1"/>
  <c r="V885" i="1" s="1"/>
  <c r="W885" i="1" l="1"/>
  <c r="Q887" i="1"/>
  <c r="U886" i="1"/>
  <c r="V886" i="1" s="1"/>
  <c r="W886" i="1" l="1"/>
  <c r="Q888" i="1"/>
  <c r="U887" i="1"/>
  <c r="V887" i="1" s="1"/>
  <c r="W887" i="1" l="1"/>
  <c r="Q889" i="1"/>
  <c r="U888" i="1"/>
  <c r="V888" i="1" s="1"/>
  <c r="W888" i="1" l="1"/>
  <c r="Q890" i="1"/>
  <c r="U889" i="1"/>
  <c r="V889" i="1" s="1"/>
  <c r="W889" i="1" l="1"/>
  <c r="Q891" i="1"/>
  <c r="U890" i="1"/>
  <c r="V890" i="1" s="1"/>
  <c r="W890" i="1" l="1"/>
  <c r="Q892" i="1"/>
  <c r="U891" i="1"/>
  <c r="V891" i="1" s="1"/>
  <c r="W891" i="1" l="1"/>
  <c r="Q893" i="1"/>
  <c r="U892" i="1"/>
  <c r="V892" i="1" s="1"/>
  <c r="W892" i="1" l="1"/>
  <c r="Q894" i="1"/>
  <c r="U893" i="1"/>
  <c r="V893" i="1" s="1"/>
  <c r="W893" i="1" l="1"/>
  <c r="Q895" i="1"/>
  <c r="U894" i="1"/>
  <c r="V894" i="1" s="1"/>
  <c r="W894" i="1" l="1"/>
  <c r="Q896" i="1"/>
  <c r="U895" i="1"/>
  <c r="V895" i="1" s="1"/>
  <c r="W895" i="1" l="1"/>
  <c r="Q897" i="1"/>
  <c r="U896" i="1"/>
  <c r="V896" i="1" s="1"/>
  <c r="W896" i="1" l="1"/>
  <c r="Q898" i="1"/>
  <c r="U897" i="1"/>
  <c r="V897" i="1" s="1"/>
  <c r="W897" i="1" l="1"/>
  <c r="Q899" i="1"/>
  <c r="U898" i="1"/>
  <c r="V898" i="1" s="1"/>
  <c r="W898" i="1" l="1"/>
  <c r="Q900" i="1"/>
  <c r="U899" i="1"/>
  <c r="V899" i="1" s="1"/>
  <c r="W899" i="1" l="1"/>
  <c r="Q901" i="1"/>
  <c r="U900" i="1"/>
  <c r="V900" i="1" s="1"/>
  <c r="W900" i="1" l="1"/>
  <c r="Q902" i="1"/>
  <c r="U901" i="1"/>
  <c r="V901" i="1" s="1"/>
  <c r="W901" i="1" l="1"/>
  <c r="Q903" i="1"/>
  <c r="U902" i="1"/>
  <c r="V902" i="1" s="1"/>
  <c r="W902" i="1" l="1"/>
  <c r="Q904" i="1"/>
  <c r="U903" i="1"/>
  <c r="V903" i="1" s="1"/>
  <c r="W903" i="1" l="1"/>
  <c r="Q905" i="1"/>
  <c r="U904" i="1"/>
  <c r="V904" i="1" s="1"/>
  <c r="W904" i="1" l="1"/>
  <c r="Q906" i="1"/>
  <c r="U905" i="1"/>
  <c r="V905" i="1" s="1"/>
  <c r="W905" i="1" l="1"/>
  <c r="Q907" i="1"/>
  <c r="U906" i="1"/>
  <c r="V906" i="1" s="1"/>
  <c r="W906" i="1" l="1"/>
  <c r="Q908" i="1"/>
  <c r="U907" i="1"/>
  <c r="V907" i="1" s="1"/>
  <c r="W907" i="1" l="1"/>
  <c r="Q909" i="1"/>
  <c r="U908" i="1"/>
  <c r="V908" i="1" s="1"/>
  <c r="W908" i="1" l="1"/>
  <c r="Q910" i="1"/>
  <c r="U909" i="1"/>
  <c r="V909" i="1" s="1"/>
  <c r="W909" i="1" l="1"/>
  <c r="Q911" i="1"/>
  <c r="U910" i="1"/>
  <c r="V910" i="1" s="1"/>
  <c r="W910" i="1" l="1"/>
  <c r="Q912" i="1"/>
  <c r="U911" i="1"/>
  <c r="V911" i="1" s="1"/>
  <c r="W911" i="1" l="1"/>
  <c r="Q913" i="1"/>
  <c r="U912" i="1"/>
  <c r="V912" i="1" s="1"/>
  <c r="W912" i="1" l="1"/>
  <c r="Q914" i="1"/>
  <c r="U913" i="1"/>
  <c r="V913" i="1" s="1"/>
  <c r="W913" i="1" l="1"/>
  <c r="Q915" i="1"/>
  <c r="U914" i="1"/>
  <c r="V914" i="1" s="1"/>
  <c r="W914" i="1" l="1"/>
  <c r="Q916" i="1"/>
  <c r="U915" i="1"/>
  <c r="V915" i="1" s="1"/>
  <c r="W915" i="1" l="1"/>
  <c r="Q917" i="1"/>
  <c r="U916" i="1"/>
  <c r="V916" i="1" s="1"/>
  <c r="W916" i="1" l="1"/>
  <c r="Q918" i="1"/>
  <c r="U917" i="1"/>
  <c r="V917" i="1" s="1"/>
  <c r="W917" i="1" l="1"/>
  <c r="Q919" i="1"/>
  <c r="U918" i="1"/>
  <c r="V918" i="1" s="1"/>
  <c r="W918" i="1" l="1"/>
  <c r="Q920" i="1"/>
  <c r="U919" i="1"/>
  <c r="V919" i="1" s="1"/>
  <c r="W919" i="1" l="1"/>
  <c r="Q921" i="1"/>
  <c r="U920" i="1"/>
  <c r="V920" i="1" s="1"/>
  <c r="W920" i="1" l="1"/>
  <c r="Q922" i="1"/>
  <c r="U921" i="1"/>
  <c r="V921" i="1" s="1"/>
  <c r="W921" i="1" l="1"/>
  <c r="Q923" i="1"/>
  <c r="U922" i="1"/>
  <c r="V922" i="1" s="1"/>
  <c r="W922" i="1" l="1"/>
  <c r="Q924" i="1"/>
  <c r="U923" i="1"/>
  <c r="V923" i="1" s="1"/>
  <c r="W923" i="1" l="1"/>
  <c r="Q925" i="1"/>
  <c r="U924" i="1"/>
  <c r="V924" i="1" s="1"/>
  <c r="W924" i="1" l="1"/>
  <c r="Q926" i="1"/>
  <c r="U925" i="1"/>
  <c r="V925" i="1" s="1"/>
  <c r="W925" i="1" l="1"/>
  <c r="Q927" i="1"/>
  <c r="U926" i="1"/>
  <c r="V926" i="1" s="1"/>
  <c r="W926" i="1" l="1"/>
  <c r="Q928" i="1"/>
  <c r="U927" i="1"/>
  <c r="V927" i="1" s="1"/>
  <c r="W927" i="1" l="1"/>
  <c r="Q929" i="1"/>
  <c r="U928" i="1"/>
  <c r="V928" i="1" s="1"/>
  <c r="W928" i="1" l="1"/>
  <c r="Q930" i="1"/>
  <c r="U929" i="1"/>
  <c r="V929" i="1" s="1"/>
  <c r="W929" i="1" l="1"/>
  <c r="Q931" i="1"/>
  <c r="U930" i="1"/>
  <c r="V930" i="1" s="1"/>
  <c r="W930" i="1" l="1"/>
  <c r="Q932" i="1"/>
  <c r="U931" i="1"/>
  <c r="V931" i="1" s="1"/>
  <c r="W931" i="1" l="1"/>
  <c r="Q933" i="1"/>
  <c r="U932" i="1"/>
  <c r="V932" i="1" s="1"/>
  <c r="W932" i="1" l="1"/>
  <c r="Q934" i="1"/>
  <c r="U933" i="1"/>
  <c r="V933" i="1" s="1"/>
  <c r="W933" i="1" l="1"/>
  <c r="Q935" i="1"/>
  <c r="U934" i="1"/>
  <c r="V934" i="1" s="1"/>
  <c r="W934" i="1" l="1"/>
  <c r="Q936" i="1"/>
  <c r="U935" i="1"/>
  <c r="V935" i="1" s="1"/>
  <c r="W935" i="1" l="1"/>
  <c r="Q937" i="1"/>
  <c r="U936" i="1"/>
  <c r="V936" i="1" s="1"/>
  <c r="W936" i="1" l="1"/>
  <c r="Q938" i="1"/>
  <c r="U937" i="1"/>
  <c r="V937" i="1" s="1"/>
  <c r="W937" i="1" l="1"/>
  <c r="Q939" i="1"/>
  <c r="U938" i="1"/>
  <c r="V938" i="1" s="1"/>
  <c r="W938" i="1" l="1"/>
  <c r="Q940" i="1"/>
  <c r="U939" i="1"/>
  <c r="V939" i="1" s="1"/>
  <c r="W939" i="1" l="1"/>
  <c r="Q941" i="1"/>
  <c r="U940" i="1"/>
  <c r="V940" i="1" s="1"/>
  <c r="W940" i="1" l="1"/>
  <c r="Q942" i="1"/>
  <c r="U941" i="1"/>
  <c r="V941" i="1" s="1"/>
  <c r="W941" i="1" l="1"/>
  <c r="Q943" i="1"/>
  <c r="U942" i="1"/>
  <c r="V942" i="1" s="1"/>
  <c r="W942" i="1" l="1"/>
  <c r="Q944" i="1"/>
  <c r="U943" i="1"/>
  <c r="V943" i="1" s="1"/>
  <c r="W943" i="1" l="1"/>
  <c r="Q945" i="1"/>
  <c r="U944" i="1"/>
  <c r="V944" i="1" s="1"/>
  <c r="W944" i="1" l="1"/>
  <c r="Q946" i="1"/>
  <c r="U945" i="1"/>
  <c r="V945" i="1" s="1"/>
  <c r="W945" i="1" l="1"/>
  <c r="Q947" i="1"/>
  <c r="U946" i="1"/>
  <c r="V946" i="1" s="1"/>
  <c r="W946" i="1" l="1"/>
  <c r="Q948" i="1"/>
  <c r="U947" i="1"/>
  <c r="V947" i="1" s="1"/>
  <c r="W947" i="1" l="1"/>
  <c r="Q949" i="1"/>
  <c r="U948" i="1"/>
  <c r="V948" i="1" s="1"/>
  <c r="W948" i="1" l="1"/>
  <c r="Q950" i="1"/>
  <c r="U949" i="1"/>
  <c r="V949" i="1" s="1"/>
  <c r="W949" i="1" l="1"/>
  <c r="Q951" i="1"/>
  <c r="U950" i="1"/>
  <c r="V950" i="1" s="1"/>
  <c r="W950" i="1" l="1"/>
  <c r="Q952" i="1"/>
  <c r="U951" i="1"/>
  <c r="V951" i="1" s="1"/>
  <c r="W951" i="1" l="1"/>
  <c r="Q953" i="1"/>
  <c r="U952" i="1"/>
  <c r="V952" i="1" s="1"/>
  <c r="W952" i="1" l="1"/>
  <c r="Q954" i="1"/>
  <c r="U953" i="1"/>
  <c r="V953" i="1" s="1"/>
  <c r="W953" i="1" l="1"/>
  <c r="Q955" i="1"/>
  <c r="U954" i="1"/>
  <c r="V954" i="1" s="1"/>
  <c r="W954" i="1" l="1"/>
  <c r="Q956" i="1"/>
  <c r="U955" i="1"/>
  <c r="V955" i="1" s="1"/>
  <c r="W955" i="1" l="1"/>
  <c r="Q957" i="1"/>
  <c r="U956" i="1"/>
  <c r="V956" i="1" s="1"/>
  <c r="W956" i="1" l="1"/>
  <c r="Q958" i="1"/>
  <c r="U957" i="1"/>
  <c r="V957" i="1" s="1"/>
  <c r="W957" i="1" l="1"/>
  <c r="Q959" i="1"/>
  <c r="U958" i="1"/>
  <c r="V958" i="1" s="1"/>
  <c r="W958" i="1" l="1"/>
  <c r="Q960" i="1"/>
  <c r="U959" i="1"/>
  <c r="V959" i="1" s="1"/>
  <c r="W959" i="1" l="1"/>
  <c r="Q961" i="1"/>
  <c r="U960" i="1"/>
  <c r="V960" i="1" s="1"/>
  <c r="W960" i="1" l="1"/>
  <c r="Q962" i="1"/>
  <c r="U961" i="1"/>
  <c r="V961" i="1" s="1"/>
  <c r="W961" i="1" l="1"/>
  <c r="Q963" i="1"/>
  <c r="U962" i="1"/>
  <c r="V962" i="1" s="1"/>
  <c r="W962" i="1" l="1"/>
  <c r="Q964" i="1"/>
  <c r="U963" i="1"/>
  <c r="V963" i="1" s="1"/>
  <c r="W963" i="1" l="1"/>
  <c r="Q965" i="1"/>
  <c r="U964" i="1"/>
  <c r="V964" i="1" s="1"/>
  <c r="W964" i="1" l="1"/>
  <c r="Q966" i="1"/>
  <c r="U965" i="1"/>
  <c r="V965" i="1" s="1"/>
  <c r="W965" i="1" l="1"/>
  <c r="Q967" i="1"/>
  <c r="U966" i="1"/>
  <c r="V966" i="1" s="1"/>
  <c r="W966" i="1" l="1"/>
  <c r="Q968" i="1"/>
  <c r="U967" i="1"/>
  <c r="V967" i="1" s="1"/>
  <c r="W967" i="1" l="1"/>
  <c r="Q969" i="1"/>
  <c r="U968" i="1"/>
  <c r="V968" i="1" s="1"/>
  <c r="W968" i="1" l="1"/>
  <c r="Q970" i="1"/>
  <c r="U969" i="1"/>
  <c r="V969" i="1" s="1"/>
  <c r="W969" i="1" l="1"/>
  <c r="Q971" i="1"/>
  <c r="U970" i="1"/>
  <c r="V970" i="1" s="1"/>
  <c r="W970" i="1" l="1"/>
  <c r="Q972" i="1"/>
  <c r="U971" i="1"/>
  <c r="V971" i="1" s="1"/>
  <c r="W971" i="1" l="1"/>
  <c r="Q973" i="1"/>
  <c r="U972" i="1"/>
  <c r="V972" i="1" s="1"/>
  <c r="W972" i="1" l="1"/>
  <c r="Q974" i="1"/>
  <c r="U973" i="1"/>
  <c r="V973" i="1" s="1"/>
  <c r="W973" i="1" l="1"/>
  <c r="Q975" i="1"/>
  <c r="U974" i="1"/>
  <c r="V974" i="1" s="1"/>
  <c r="W974" i="1" l="1"/>
  <c r="Q976" i="1"/>
  <c r="U975" i="1"/>
  <c r="V975" i="1" s="1"/>
  <c r="W975" i="1" l="1"/>
  <c r="Q977" i="1"/>
  <c r="U976" i="1"/>
  <c r="V976" i="1" s="1"/>
  <c r="W976" i="1" l="1"/>
  <c r="Q978" i="1"/>
  <c r="U977" i="1"/>
  <c r="V977" i="1" s="1"/>
  <c r="W977" i="1" l="1"/>
  <c r="Q979" i="1"/>
  <c r="U978" i="1"/>
  <c r="V978" i="1" s="1"/>
  <c r="W978" i="1" l="1"/>
  <c r="Q980" i="1"/>
  <c r="U979" i="1"/>
  <c r="V979" i="1" s="1"/>
  <c r="W979" i="1" l="1"/>
  <c r="Q981" i="1"/>
  <c r="U980" i="1"/>
  <c r="V980" i="1" s="1"/>
  <c r="W980" i="1" l="1"/>
  <c r="Q982" i="1"/>
  <c r="U981" i="1"/>
  <c r="V981" i="1" s="1"/>
  <c r="W981" i="1" l="1"/>
  <c r="Q983" i="1"/>
  <c r="U982" i="1"/>
  <c r="V982" i="1" s="1"/>
  <c r="W982" i="1" l="1"/>
  <c r="Q984" i="1"/>
  <c r="U983" i="1"/>
  <c r="V983" i="1" s="1"/>
  <c r="W983" i="1" l="1"/>
  <c r="Q985" i="1"/>
  <c r="U984" i="1"/>
  <c r="V984" i="1" s="1"/>
  <c r="W984" i="1" l="1"/>
  <c r="Q986" i="1"/>
  <c r="U985" i="1"/>
  <c r="V985" i="1" s="1"/>
  <c r="W985" i="1" l="1"/>
  <c r="Q987" i="1"/>
  <c r="U986" i="1"/>
  <c r="V986" i="1" s="1"/>
  <c r="W986" i="1" l="1"/>
  <c r="Q988" i="1"/>
  <c r="U987" i="1"/>
  <c r="V987" i="1" s="1"/>
  <c r="W987" i="1" l="1"/>
  <c r="Q989" i="1"/>
  <c r="U988" i="1"/>
  <c r="V988" i="1" s="1"/>
  <c r="W988" i="1" l="1"/>
  <c r="Q990" i="1"/>
  <c r="U989" i="1"/>
  <c r="V989" i="1" s="1"/>
  <c r="W989" i="1" l="1"/>
  <c r="Q991" i="1"/>
  <c r="U990" i="1"/>
  <c r="V990" i="1" s="1"/>
  <c r="W990" i="1" l="1"/>
  <c r="Q992" i="1"/>
  <c r="U991" i="1"/>
  <c r="V991" i="1" s="1"/>
  <c r="W991" i="1" l="1"/>
  <c r="Q993" i="1"/>
  <c r="U992" i="1"/>
  <c r="V992" i="1" s="1"/>
  <c r="W992" i="1" l="1"/>
  <c r="Q994" i="1"/>
  <c r="U993" i="1"/>
  <c r="V993" i="1" s="1"/>
  <c r="W993" i="1" l="1"/>
  <c r="Q995" i="1"/>
  <c r="U994" i="1"/>
  <c r="V994" i="1" s="1"/>
  <c r="W994" i="1" l="1"/>
  <c r="Q996" i="1"/>
  <c r="U995" i="1"/>
  <c r="V995" i="1" s="1"/>
  <c r="W995" i="1" l="1"/>
  <c r="Q997" i="1"/>
  <c r="U996" i="1"/>
  <c r="V996" i="1" s="1"/>
  <c r="W996" i="1" l="1"/>
  <c r="Q998" i="1"/>
  <c r="U997" i="1"/>
  <c r="V997" i="1" s="1"/>
  <c r="W997" i="1" l="1"/>
  <c r="Q999" i="1"/>
  <c r="U998" i="1"/>
  <c r="V998" i="1" s="1"/>
  <c r="W998" i="1" l="1"/>
  <c r="Q1000" i="1"/>
  <c r="U999" i="1"/>
  <c r="V999" i="1" s="1"/>
  <c r="W999" i="1" l="1"/>
  <c r="Q1001" i="1"/>
  <c r="U1000" i="1"/>
  <c r="V1000" i="1" s="1"/>
  <c r="W1000" i="1" l="1"/>
  <c r="Q1002" i="1"/>
  <c r="U1001" i="1"/>
  <c r="V1001" i="1" s="1"/>
  <c r="W1001" i="1" l="1"/>
  <c r="Q1003" i="1"/>
  <c r="U1002" i="1"/>
  <c r="V1002" i="1" s="1"/>
  <c r="W1002" i="1" l="1"/>
  <c r="Q1004" i="1"/>
  <c r="U1003" i="1"/>
  <c r="V1003" i="1" s="1"/>
  <c r="W1003" i="1" l="1"/>
  <c r="Q1005" i="1"/>
  <c r="U1004" i="1"/>
  <c r="V1004" i="1" s="1"/>
  <c r="W1004" i="1" l="1"/>
  <c r="Q1006" i="1"/>
  <c r="U1005" i="1"/>
  <c r="V1005" i="1" s="1"/>
  <c r="W1005" i="1" l="1"/>
  <c r="Q1007" i="1"/>
  <c r="U1006" i="1"/>
  <c r="V1006" i="1" s="1"/>
  <c r="W1006" i="1" l="1"/>
  <c r="Q1008" i="1"/>
  <c r="U1007" i="1"/>
  <c r="V1007" i="1" s="1"/>
  <c r="W1007" i="1" l="1"/>
  <c r="Q1009" i="1"/>
  <c r="U1008" i="1"/>
  <c r="V1008" i="1" s="1"/>
  <c r="W1008" i="1" l="1"/>
  <c r="Q1010" i="1"/>
  <c r="U1009" i="1"/>
  <c r="V1009" i="1" s="1"/>
  <c r="W1009" i="1" l="1"/>
  <c r="Q1011" i="1"/>
  <c r="U1010" i="1"/>
  <c r="V1010" i="1" s="1"/>
  <c r="W1010" i="1" l="1"/>
  <c r="Q1012" i="1"/>
  <c r="U1011" i="1"/>
  <c r="V1011" i="1" s="1"/>
  <c r="W1011" i="1" l="1"/>
  <c r="Q1013" i="1"/>
  <c r="U1012" i="1"/>
  <c r="V1012" i="1" s="1"/>
  <c r="W1012" i="1" l="1"/>
  <c r="Q1014" i="1"/>
  <c r="U1013" i="1"/>
  <c r="V1013" i="1" s="1"/>
  <c r="W1013" i="1" l="1"/>
  <c r="Q1015" i="1"/>
  <c r="U1014" i="1"/>
  <c r="V1014" i="1" s="1"/>
  <c r="W1014" i="1" l="1"/>
  <c r="Q1016" i="1"/>
  <c r="U1015" i="1"/>
  <c r="V1015" i="1" s="1"/>
  <c r="W1015" i="1" l="1"/>
  <c r="Q1017" i="1"/>
  <c r="U1016" i="1"/>
  <c r="V1016" i="1" s="1"/>
  <c r="W1016" i="1" l="1"/>
  <c r="Q1018" i="1"/>
  <c r="U1017" i="1"/>
  <c r="V1017" i="1" s="1"/>
  <c r="W1017" i="1" l="1"/>
  <c r="Q1019" i="1"/>
  <c r="U1018" i="1"/>
  <c r="V1018" i="1" s="1"/>
  <c r="W1018" i="1" l="1"/>
  <c r="Q1020" i="1"/>
  <c r="U1019" i="1"/>
  <c r="V1019" i="1" s="1"/>
  <c r="W1019" i="1" l="1"/>
  <c r="Q1021" i="1"/>
  <c r="U1020" i="1"/>
  <c r="V1020" i="1" s="1"/>
  <c r="W1020" i="1" l="1"/>
  <c r="Q1022" i="1"/>
  <c r="U1021" i="1"/>
  <c r="V1021" i="1" s="1"/>
  <c r="W1021" i="1" l="1"/>
  <c r="Q1023" i="1"/>
  <c r="U1022" i="1"/>
  <c r="V1022" i="1" s="1"/>
  <c r="W1022" i="1" l="1"/>
  <c r="Q1024" i="1"/>
  <c r="U1023" i="1"/>
  <c r="V1023" i="1" s="1"/>
  <c r="W1023" i="1" l="1"/>
  <c r="Q1025" i="1"/>
  <c r="U1024" i="1"/>
  <c r="V1024" i="1" s="1"/>
  <c r="W1024" i="1" l="1"/>
  <c r="Q1026" i="1"/>
  <c r="U1025" i="1"/>
  <c r="V1025" i="1" s="1"/>
  <c r="W1025" i="1" l="1"/>
  <c r="Q1027" i="1"/>
  <c r="U1026" i="1"/>
  <c r="V1026" i="1" s="1"/>
  <c r="W1026" i="1" l="1"/>
  <c r="Q1028" i="1"/>
  <c r="U1027" i="1"/>
  <c r="V1027" i="1" s="1"/>
  <c r="W1027" i="1" l="1"/>
  <c r="Q1029" i="1"/>
  <c r="U1028" i="1"/>
  <c r="V1028" i="1" s="1"/>
  <c r="W1028" i="1" l="1"/>
  <c r="Q1030" i="1"/>
  <c r="U1029" i="1"/>
  <c r="V1029" i="1" s="1"/>
  <c r="W1029" i="1" l="1"/>
  <c r="Q1031" i="1"/>
  <c r="U1030" i="1"/>
  <c r="V1030" i="1" s="1"/>
  <c r="W1030" i="1" l="1"/>
  <c r="Q1032" i="1"/>
  <c r="U1031" i="1"/>
  <c r="V1031" i="1" s="1"/>
  <c r="W1031" i="1" l="1"/>
  <c r="Q1033" i="1"/>
  <c r="U1032" i="1"/>
  <c r="V1032" i="1" s="1"/>
  <c r="W1032" i="1" l="1"/>
  <c r="Q1034" i="1"/>
  <c r="U1033" i="1"/>
  <c r="V1033" i="1" s="1"/>
  <c r="W1033" i="1" l="1"/>
  <c r="Q1035" i="1"/>
  <c r="U1034" i="1"/>
  <c r="V1034" i="1" s="1"/>
  <c r="W1034" i="1" l="1"/>
  <c r="Q1036" i="1"/>
  <c r="U1035" i="1"/>
  <c r="V1035" i="1" s="1"/>
  <c r="W1035" i="1" l="1"/>
  <c r="Q1037" i="1"/>
  <c r="U1036" i="1"/>
  <c r="V1036" i="1" s="1"/>
  <c r="W1036" i="1" l="1"/>
  <c r="Q1038" i="1"/>
  <c r="U1037" i="1"/>
  <c r="V1037" i="1" s="1"/>
  <c r="W1037" i="1" l="1"/>
  <c r="Q1039" i="1"/>
  <c r="U1038" i="1"/>
  <c r="V1038" i="1" s="1"/>
  <c r="W1038" i="1" l="1"/>
  <c r="Q1040" i="1"/>
  <c r="U1039" i="1"/>
  <c r="V1039" i="1" s="1"/>
  <c r="W1039" i="1" l="1"/>
  <c r="Q1041" i="1"/>
  <c r="U1040" i="1"/>
  <c r="V1040" i="1" s="1"/>
  <c r="W1040" i="1" l="1"/>
  <c r="Q1042" i="1"/>
  <c r="U1041" i="1"/>
  <c r="V1041" i="1" s="1"/>
  <c r="W1041" i="1" l="1"/>
  <c r="Q1043" i="1"/>
  <c r="U1042" i="1"/>
  <c r="V1042" i="1" s="1"/>
  <c r="W1042" i="1" l="1"/>
  <c r="Q1044" i="1"/>
  <c r="U1043" i="1"/>
  <c r="V1043" i="1" s="1"/>
  <c r="W1043" i="1" l="1"/>
  <c r="Q1045" i="1"/>
  <c r="U1044" i="1"/>
  <c r="V1044" i="1" s="1"/>
  <c r="W1044" i="1" l="1"/>
  <c r="Q1046" i="1"/>
  <c r="U1045" i="1"/>
  <c r="V1045" i="1" s="1"/>
  <c r="W1045" i="1" l="1"/>
  <c r="Q1047" i="1"/>
  <c r="U1046" i="1"/>
  <c r="V1046" i="1" s="1"/>
  <c r="W1046" i="1" l="1"/>
  <c r="Q1048" i="1"/>
  <c r="U1047" i="1"/>
  <c r="V1047" i="1" s="1"/>
  <c r="W1047" i="1" l="1"/>
  <c r="Q1049" i="1"/>
  <c r="U1048" i="1"/>
  <c r="V1048" i="1" s="1"/>
  <c r="W1048" i="1" l="1"/>
  <c r="Q1050" i="1"/>
  <c r="U1049" i="1"/>
  <c r="V1049" i="1" s="1"/>
  <c r="W1049" i="1" l="1"/>
  <c r="Q1051" i="1"/>
  <c r="U1050" i="1"/>
  <c r="V1050" i="1" s="1"/>
  <c r="W1050" i="1" l="1"/>
  <c r="Q1052" i="1"/>
  <c r="U1051" i="1"/>
  <c r="V1051" i="1" s="1"/>
  <c r="W1051" i="1" l="1"/>
  <c r="Q1053" i="1"/>
  <c r="U1052" i="1"/>
  <c r="V1052" i="1" s="1"/>
  <c r="W1052" i="1" l="1"/>
  <c r="Q1054" i="1"/>
  <c r="U1053" i="1"/>
  <c r="V1053" i="1" s="1"/>
  <c r="W1053" i="1" l="1"/>
  <c r="Q1055" i="1"/>
  <c r="U1054" i="1"/>
  <c r="V1054" i="1" s="1"/>
  <c r="W1054" i="1" l="1"/>
  <c r="Q1056" i="1"/>
  <c r="U1055" i="1"/>
  <c r="V1055" i="1" s="1"/>
  <c r="W1055" i="1" l="1"/>
  <c r="Q1057" i="1"/>
  <c r="U1056" i="1"/>
  <c r="V1056" i="1" s="1"/>
  <c r="W1056" i="1" l="1"/>
  <c r="Q1058" i="1"/>
  <c r="U1057" i="1"/>
  <c r="V1057" i="1" s="1"/>
  <c r="W1057" i="1" l="1"/>
  <c r="Q1059" i="1"/>
  <c r="U1058" i="1"/>
  <c r="V1058" i="1" s="1"/>
  <c r="W1058" i="1" l="1"/>
  <c r="Q1060" i="1"/>
  <c r="U1059" i="1"/>
  <c r="V1059" i="1" s="1"/>
  <c r="W1059" i="1" l="1"/>
  <c r="Q1061" i="1"/>
  <c r="U1060" i="1"/>
  <c r="V1060" i="1" s="1"/>
  <c r="W1060" i="1" l="1"/>
  <c r="Q1062" i="1"/>
  <c r="U1061" i="1"/>
  <c r="V1061" i="1" s="1"/>
  <c r="W1061" i="1" l="1"/>
  <c r="Q1063" i="1"/>
  <c r="U1062" i="1"/>
  <c r="V1062" i="1" s="1"/>
  <c r="W1062" i="1" l="1"/>
  <c r="Q1064" i="1"/>
  <c r="U1063" i="1"/>
  <c r="V1063" i="1" s="1"/>
  <c r="W1063" i="1" l="1"/>
  <c r="Q1065" i="1"/>
  <c r="U1064" i="1"/>
  <c r="V1064" i="1" s="1"/>
  <c r="W1064" i="1" l="1"/>
  <c r="Q1066" i="1"/>
  <c r="U1065" i="1"/>
  <c r="V1065" i="1" s="1"/>
  <c r="W1065" i="1" l="1"/>
  <c r="Q1067" i="1"/>
  <c r="U1066" i="1"/>
  <c r="V1066" i="1" s="1"/>
  <c r="W1066" i="1" l="1"/>
  <c r="Q1068" i="1"/>
  <c r="U1067" i="1"/>
  <c r="V1067" i="1" s="1"/>
  <c r="W1067" i="1" l="1"/>
  <c r="Q1069" i="1"/>
  <c r="U1068" i="1"/>
  <c r="V1068" i="1" s="1"/>
  <c r="W1068" i="1" l="1"/>
  <c r="Q1070" i="1"/>
  <c r="U1069" i="1"/>
  <c r="V1069" i="1" s="1"/>
  <c r="W1069" i="1" l="1"/>
  <c r="Q1071" i="1"/>
  <c r="U1070" i="1"/>
  <c r="V1070" i="1" s="1"/>
  <c r="W1070" i="1" l="1"/>
  <c r="Q1072" i="1"/>
  <c r="U1071" i="1"/>
  <c r="V1071" i="1" s="1"/>
  <c r="W1071" i="1" l="1"/>
  <c r="Q1073" i="1"/>
  <c r="U1072" i="1"/>
  <c r="V1072" i="1" s="1"/>
  <c r="W1072" i="1" l="1"/>
  <c r="Q1074" i="1"/>
  <c r="U1073" i="1"/>
  <c r="V1073" i="1" s="1"/>
  <c r="W1073" i="1" l="1"/>
  <c r="Q1075" i="1"/>
  <c r="U1074" i="1"/>
  <c r="V1074" i="1" s="1"/>
  <c r="W1074" i="1" l="1"/>
  <c r="Q1076" i="1"/>
  <c r="U1075" i="1"/>
  <c r="V1075" i="1" s="1"/>
  <c r="W1075" i="1" l="1"/>
  <c r="Q1077" i="1"/>
  <c r="U1076" i="1"/>
  <c r="V1076" i="1" s="1"/>
  <c r="W1076" i="1" l="1"/>
  <c r="Q1078" i="1"/>
  <c r="U1077" i="1"/>
  <c r="V1077" i="1" s="1"/>
  <c r="W1077" i="1" l="1"/>
  <c r="Q1079" i="1"/>
  <c r="U1078" i="1"/>
  <c r="V1078" i="1" s="1"/>
  <c r="W1078" i="1" l="1"/>
  <c r="Q1080" i="1"/>
  <c r="U1079" i="1"/>
  <c r="V1079" i="1" s="1"/>
  <c r="W1079" i="1" l="1"/>
  <c r="Q1081" i="1"/>
  <c r="U1080" i="1"/>
  <c r="V1080" i="1" s="1"/>
  <c r="W1080" i="1" l="1"/>
  <c r="Q1082" i="1"/>
  <c r="U1081" i="1"/>
  <c r="V1081" i="1" s="1"/>
  <c r="W1081" i="1" l="1"/>
  <c r="Q1083" i="1"/>
  <c r="U1082" i="1"/>
  <c r="V1082" i="1" s="1"/>
  <c r="W1082" i="1" l="1"/>
  <c r="Q1084" i="1"/>
  <c r="U1083" i="1"/>
  <c r="V1083" i="1" s="1"/>
  <c r="W1083" i="1" l="1"/>
  <c r="Q1085" i="1"/>
  <c r="U1084" i="1"/>
  <c r="V1084" i="1" s="1"/>
  <c r="W1084" i="1" l="1"/>
  <c r="Q1086" i="1"/>
  <c r="U1085" i="1"/>
  <c r="V1085" i="1" s="1"/>
  <c r="W1085" i="1" l="1"/>
  <c r="Q1087" i="1"/>
  <c r="U1086" i="1"/>
  <c r="V1086" i="1" s="1"/>
  <c r="W1086" i="1" l="1"/>
  <c r="Q1088" i="1"/>
  <c r="U1087" i="1"/>
  <c r="V1087" i="1" s="1"/>
  <c r="W1087" i="1" l="1"/>
  <c r="Q1089" i="1"/>
  <c r="U1088" i="1"/>
  <c r="V1088" i="1" s="1"/>
  <c r="W1088" i="1" l="1"/>
  <c r="Q1090" i="1"/>
  <c r="U1089" i="1"/>
  <c r="V1089" i="1" s="1"/>
  <c r="W1089" i="1" l="1"/>
  <c r="Q1091" i="1"/>
  <c r="U1090" i="1"/>
  <c r="V1090" i="1" s="1"/>
  <c r="W1090" i="1" l="1"/>
  <c r="Q1092" i="1"/>
  <c r="U1091" i="1"/>
  <c r="V1091" i="1" s="1"/>
  <c r="W1091" i="1" l="1"/>
  <c r="Q1093" i="1"/>
  <c r="U1092" i="1"/>
  <c r="V1092" i="1" s="1"/>
  <c r="W1092" i="1" l="1"/>
  <c r="Q1094" i="1"/>
  <c r="U1093" i="1"/>
  <c r="V1093" i="1" s="1"/>
  <c r="W1093" i="1" l="1"/>
  <c r="Q1095" i="1"/>
  <c r="U1094" i="1"/>
  <c r="V1094" i="1" s="1"/>
  <c r="W1094" i="1" l="1"/>
  <c r="Q1096" i="1"/>
  <c r="U1095" i="1"/>
  <c r="V1095" i="1" s="1"/>
  <c r="W1095" i="1" l="1"/>
  <c r="Q1097" i="1"/>
  <c r="U1096" i="1"/>
  <c r="V1096" i="1" s="1"/>
  <c r="W1096" i="1" l="1"/>
  <c r="Q1098" i="1"/>
  <c r="U1097" i="1"/>
  <c r="V1097" i="1" s="1"/>
  <c r="W1097" i="1" l="1"/>
  <c r="Q1099" i="1"/>
  <c r="U1098" i="1"/>
  <c r="V1098" i="1" s="1"/>
  <c r="W1098" i="1" l="1"/>
  <c r="Q1100" i="1"/>
  <c r="U1099" i="1"/>
  <c r="V1099" i="1" s="1"/>
  <c r="W1099" i="1" l="1"/>
  <c r="Q1101" i="1"/>
  <c r="U1100" i="1"/>
  <c r="V1100" i="1" s="1"/>
  <c r="W1100" i="1" l="1"/>
  <c r="Q1102" i="1"/>
  <c r="U1101" i="1"/>
  <c r="V1101" i="1" s="1"/>
  <c r="W1101" i="1" l="1"/>
  <c r="Q1103" i="1"/>
  <c r="U1102" i="1"/>
  <c r="V1102" i="1" s="1"/>
  <c r="W1102" i="1" l="1"/>
  <c r="Q1104" i="1"/>
  <c r="U1103" i="1"/>
  <c r="V1103" i="1" s="1"/>
  <c r="W1103" i="1" l="1"/>
  <c r="Q1105" i="1"/>
  <c r="U1104" i="1"/>
  <c r="V1104" i="1" s="1"/>
  <c r="W1104" i="1" l="1"/>
  <c r="Q1106" i="1"/>
  <c r="U1105" i="1"/>
  <c r="V1105" i="1" s="1"/>
  <c r="W1105" i="1" l="1"/>
  <c r="Q1107" i="1"/>
  <c r="U1106" i="1"/>
  <c r="V1106" i="1" s="1"/>
  <c r="W1106" i="1" l="1"/>
  <c r="Q1108" i="1"/>
  <c r="U1107" i="1"/>
  <c r="V1107" i="1" s="1"/>
  <c r="W1107" i="1" l="1"/>
  <c r="Q1109" i="1"/>
  <c r="U1108" i="1"/>
  <c r="V1108" i="1" s="1"/>
  <c r="W1108" i="1" l="1"/>
  <c r="Q1110" i="1"/>
  <c r="U1109" i="1"/>
  <c r="V1109" i="1" s="1"/>
  <c r="W1109" i="1" l="1"/>
  <c r="Q1111" i="1"/>
  <c r="U1110" i="1"/>
  <c r="V1110" i="1" s="1"/>
  <c r="W1110" i="1" l="1"/>
  <c r="Q1112" i="1"/>
  <c r="U1111" i="1"/>
  <c r="V1111" i="1" s="1"/>
  <c r="W1111" i="1" l="1"/>
  <c r="Q1113" i="1"/>
  <c r="U1112" i="1"/>
  <c r="V1112" i="1" s="1"/>
  <c r="W1112" i="1" l="1"/>
  <c r="Q1114" i="1"/>
  <c r="U1113" i="1"/>
  <c r="V1113" i="1" s="1"/>
  <c r="W1113" i="1" l="1"/>
  <c r="Q1115" i="1"/>
  <c r="U1114" i="1"/>
  <c r="V1114" i="1" s="1"/>
  <c r="W1114" i="1" l="1"/>
  <c r="Q1116" i="1"/>
  <c r="U1115" i="1"/>
  <c r="V1115" i="1" s="1"/>
  <c r="W1115" i="1" l="1"/>
  <c r="Q1117" i="1"/>
  <c r="U1116" i="1"/>
  <c r="V1116" i="1" s="1"/>
  <c r="W1116" i="1" l="1"/>
  <c r="Q1118" i="1"/>
  <c r="U1117" i="1"/>
  <c r="V1117" i="1" s="1"/>
  <c r="W1117" i="1" l="1"/>
  <c r="Q1119" i="1"/>
  <c r="U1118" i="1"/>
  <c r="V1118" i="1" s="1"/>
  <c r="W1118" i="1" l="1"/>
  <c r="Q1120" i="1"/>
  <c r="U1119" i="1"/>
  <c r="V1119" i="1" s="1"/>
  <c r="W1119" i="1" l="1"/>
  <c r="Q1121" i="1"/>
  <c r="U1120" i="1"/>
  <c r="V1120" i="1" s="1"/>
  <c r="W1120" i="1" l="1"/>
  <c r="Q1122" i="1"/>
  <c r="U1121" i="1"/>
  <c r="V1121" i="1" s="1"/>
  <c r="W1121" i="1" l="1"/>
  <c r="Q1123" i="1"/>
  <c r="U1122" i="1"/>
  <c r="V1122" i="1" s="1"/>
  <c r="W1122" i="1" l="1"/>
  <c r="Q1124" i="1"/>
  <c r="U1123" i="1"/>
  <c r="V1123" i="1" s="1"/>
  <c r="W1123" i="1" l="1"/>
  <c r="Q1125" i="1"/>
  <c r="U1124" i="1"/>
  <c r="V1124" i="1" s="1"/>
  <c r="W1124" i="1" l="1"/>
  <c r="Q1126" i="1"/>
  <c r="U1125" i="1"/>
  <c r="V1125" i="1" s="1"/>
  <c r="W1125" i="1" l="1"/>
  <c r="Q1127" i="1"/>
  <c r="U1126" i="1"/>
  <c r="V1126" i="1" s="1"/>
  <c r="W1126" i="1" l="1"/>
  <c r="Q1128" i="1"/>
  <c r="U1127" i="1"/>
  <c r="V1127" i="1" s="1"/>
  <c r="W1127" i="1" l="1"/>
  <c r="Q1129" i="1"/>
  <c r="U1128" i="1"/>
  <c r="V1128" i="1" s="1"/>
  <c r="W1128" i="1" l="1"/>
  <c r="Q1130" i="1"/>
  <c r="U1129" i="1"/>
  <c r="V1129" i="1" s="1"/>
  <c r="W1129" i="1" l="1"/>
  <c r="Q1131" i="1"/>
  <c r="U1130" i="1"/>
  <c r="V1130" i="1" s="1"/>
  <c r="W1130" i="1" l="1"/>
  <c r="Q1132" i="1"/>
  <c r="U1131" i="1"/>
  <c r="V1131" i="1" s="1"/>
  <c r="W1131" i="1" l="1"/>
  <c r="Q1133" i="1"/>
  <c r="U1132" i="1"/>
  <c r="V1132" i="1" s="1"/>
  <c r="W1132" i="1" l="1"/>
  <c r="Q1134" i="1"/>
  <c r="U1133" i="1"/>
  <c r="V1133" i="1" s="1"/>
  <c r="W1133" i="1" l="1"/>
  <c r="Q1135" i="1"/>
  <c r="U1134" i="1"/>
  <c r="V1134" i="1" s="1"/>
  <c r="W1134" i="1" l="1"/>
  <c r="Q1136" i="1"/>
  <c r="U1135" i="1"/>
  <c r="V1135" i="1" s="1"/>
  <c r="W1135" i="1" l="1"/>
  <c r="Q1137" i="1"/>
  <c r="U1136" i="1"/>
  <c r="V1136" i="1" s="1"/>
  <c r="W1136" i="1" l="1"/>
  <c r="Q1138" i="1"/>
  <c r="U1137" i="1"/>
  <c r="V1137" i="1" s="1"/>
  <c r="W1137" i="1" l="1"/>
  <c r="Q1139" i="1"/>
  <c r="U1138" i="1"/>
  <c r="V1138" i="1" s="1"/>
  <c r="W1138" i="1" l="1"/>
  <c r="Q1140" i="1"/>
  <c r="U1139" i="1"/>
  <c r="V1139" i="1" s="1"/>
  <c r="W1139" i="1" l="1"/>
  <c r="Q1141" i="1"/>
  <c r="U1140" i="1"/>
  <c r="V1140" i="1" s="1"/>
  <c r="W1140" i="1" l="1"/>
  <c r="Q1142" i="1"/>
  <c r="U1141" i="1"/>
  <c r="V1141" i="1" s="1"/>
  <c r="W1141" i="1" l="1"/>
  <c r="Q1143" i="1"/>
  <c r="U1142" i="1"/>
  <c r="V1142" i="1" s="1"/>
  <c r="W1142" i="1" l="1"/>
  <c r="Q1144" i="1"/>
  <c r="U1143" i="1"/>
  <c r="V1143" i="1" s="1"/>
  <c r="W1143" i="1" l="1"/>
  <c r="Q1145" i="1"/>
  <c r="U1144" i="1"/>
  <c r="V1144" i="1" s="1"/>
  <c r="W1144" i="1" l="1"/>
  <c r="Q1146" i="1"/>
  <c r="U1145" i="1"/>
  <c r="V1145" i="1" s="1"/>
  <c r="W1145" i="1" l="1"/>
  <c r="Q1147" i="1"/>
  <c r="U1146" i="1"/>
  <c r="V1146" i="1" s="1"/>
  <c r="W1146" i="1" l="1"/>
  <c r="Q1148" i="1"/>
  <c r="U1147" i="1"/>
  <c r="V1147" i="1" s="1"/>
  <c r="W1147" i="1" l="1"/>
  <c r="Q1149" i="1"/>
  <c r="U1148" i="1"/>
  <c r="V1148" i="1" s="1"/>
  <c r="W1148" i="1" l="1"/>
  <c r="Q1150" i="1"/>
  <c r="U1149" i="1"/>
  <c r="V1149" i="1" s="1"/>
  <c r="W1149" i="1" l="1"/>
  <c r="Q1151" i="1"/>
  <c r="U1150" i="1"/>
  <c r="V1150" i="1" s="1"/>
  <c r="W1150" i="1" l="1"/>
  <c r="Q1152" i="1"/>
  <c r="U1151" i="1"/>
  <c r="V1151" i="1" s="1"/>
  <c r="W1151" i="1" l="1"/>
  <c r="Q1153" i="1"/>
  <c r="U1152" i="1"/>
  <c r="V1152" i="1" s="1"/>
  <c r="W1152" i="1" l="1"/>
  <c r="Q1154" i="1"/>
  <c r="U1153" i="1"/>
  <c r="V1153" i="1" s="1"/>
  <c r="W1153" i="1" l="1"/>
  <c r="Q1155" i="1"/>
  <c r="U1154" i="1"/>
  <c r="V1154" i="1" s="1"/>
  <c r="W1154" i="1" l="1"/>
  <c r="Q1156" i="1"/>
  <c r="U1155" i="1"/>
  <c r="V1155" i="1" s="1"/>
  <c r="W1155" i="1" l="1"/>
  <c r="Q1157" i="1"/>
  <c r="U1156" i="1"/>
  <c r="V1156" i="1" s="1"/>
  <c r="W1156" i="1" l="1"/>
  <c r="Q1158" i="1"/>
  <c r="U1157" i="1"/>
  <c r="V1157" i="1" s="1"/>
  <c r="W1157" i="1" l="1"/>
  <c r="Q1159" i="1"/>
  <c r="U1158" i="1"/>
  <c r="V1158" i="1" s="1"/>
  <c r="W1158" i="1" l="1"/>
  <c r="Q1160" i="1"/>
  <c r="U1159" i="1"/>
  <c r="V1159" i="1" s="1"/>
  <c r="W1159" i="1" l="1"/>
  <c r="Q1161" i="1"/>
  <c r="U1160" i="1"/>
  <c r="V1160" i="1" s="1"/>
  <c r="W1160" i="1" l="1"/>
  <c r="Q1162" i="1"/>
  <c r="U1161" i="1"/>
  <c r="V1161" i="1" s="1"/>
  <c r="W1161" i="1" l="1"/>
  <c r="Q1163" i="1"/>
  <c r="U1162" i="1"/>
  <c r="V1162" i="1" s="1"/>
  <c r="W1162" i="1" l="1"/>
  <c r="Q1164" i="1"/>
  <c r="U1163" i="1"/>
  <c r="V1163" i="1" s="1"/>
  <c r="W1163" i="1" l="1"/>
  <c r="Q1165" i="1"/>
  <c r="U1164" i="1"/>
  <c r="V1164" i="1" s="1"/>
  <c r="W1164" i="1" l="1"/>
  <c r="Q1166" i="1"/>
  <c r="U1165" i="1"/>
  <c r="V1165" i="1" s="1"/>
  <c r="W1165" i="1" l="1"/>
  <c r="Q1167" i="1"/>
  <c r="U1166" i="1"/>
  <c r="V1166" i="1" s="1"/>
  <c r="W1166" i="1" l="1"/>
  <c r="Q1168" i="1"/>
  <c r="U1167" i="1"/>
  <c r="V1167" i="1" s="1"/>
  <c r="W1167" i="1" l="1"/>
  <c r="Q1169" i="1"/>
  <c r="U1168" i="1"/>
  <c r="V1168" i="1" s="1"/>
  <c r="W1168" i="1" l="1"/>
  <c r="Q1170" i="1"/>
  <c r="U1169" i="1"/>
  <c r="V1169" i="1" s="1"/>
  <c r="W1169" i="1" l="1"/>
  <c r="Q1171" i="1"/>
  <c r="U1170" i="1"/>
  <c r="V1170" i="1" s="1"/>
  <c r="W1170" i="1" l="1"/>
  <c r="Q1172" i="1"/>
  <c r="U1171" i="1"/>
  <c r="V1171" i="1" s="1"/>
  <c r="W1171" i="1" l="1"/>
  <c r="Q1173" i="1"/>
  <c r="U1172" i="1"/>
  <c r="V1172" i="1" s="1"/>
  <c r="W1172" i="1" l="1"/>
  <c r="Q1174" i="1"/>
  <c r="U1173" i="1"/>
  <c r="V1173" i="1" s="1"/>
  <c r="W1173" i="1" l="1"/>
  <c r="Q1175" i="1"/>
  <c r="U1174" i="1"/>
  <c r="V1174" i="1" s="1"/>
  <c r="W1174" i="1" l="1"/>
  <c r="Q1176" i="1"/>
  <c r="U1175" i="1"/>
  <c r="V1175" i="1" s="1"/>
  <c r="W1175" i="1" l="1"/>
  <c r="Q1177" i="1"/>
  <c r="U1176" i="1"/>
  <c r="V1176" i="1" s="1"/>
  <c r="W1176" i="1" l="1"/>
  <c r="Q1178" i="1"/>
  <c r="U1177" i="1"/>
  <c r="V1177" i="1" s="1"/>
  <c r="W1177" i="1" l="1"/>
  <c r="Q1179" i="1"/>
  <c r="U1178" i="1"/>
  <c r="V1178" i="1" s="1"/>
  <c r="W1178" i="1" l="1"/>
  <c r="Q1180" i="1"/>
  <c r="U1179" i="1"/>
  <c r="V1179" i="1" s="1"/>
  <c r="W1179" i="1" l="1"/>
  <c r="Q1181" i="1"/>
  <c r="U1180" i="1"/>
  <c r="V1180" i="1" s="1"/>
  <c r="W1180" i="1" l="1"/>
  <c r="Q1182" i="1"/>
  <c r="U1181" i="1"/>
  <c r="V1181" i="1" s="1"/>
  <c r="W1181" i="1" l="1"/>
  <c r="Q1183" i="1"/>
  <c r="U1182" i="1"/>
  <c r="V1182" i="1" s="1"/>
  <c r="W1182" i="1" l="1"/>
  <c r="Q1184" i="1"/>
  <c r="U1183" i="1"/>
  <c r="V1183" i="1" s="1"/>
  <c r="W1183" i="1" l="1"/>
  <c r="Q1185" i="1"/>
  <c r="U1184" i="1"/>
  <c r="V1184" i="1" s="1"/>
  <c r="W1184" i="1" l="1"/>
  <c r="Q1186" i="1"/>
  <c r="U1185" i="1"/>
  <c r="V1185" i="1" s="1"/>
  <c r="W1185" i="1" l="1"/>
  <c r="Q1187" i="1"/>
  <c r="U1186" i="1"/>
  <c r="V1186" i="1" s="1"/>
  <c r="W1186" i="1" l="1"/>
  <c r="Q1188" i="1"/>
  <c r="U1187" i="1"/>
  <c r="V1187" i="1" s="1"/>
  <c r="W1187" i="1" l="1"/>
  <c r="Q1189" i="1"/>
  <c r="U1188" i="1"/>
  <c r="V1188" i="1" s="1"/>
  <c r="W1188" i="1" l="1"/>
  <c r="Q1190" i="1"/>
  <c r="U1189" i="1"/>
  <c r="V1189" i="1" s="1"/>
  <c r="W1189" i="1" l="1"/>
  <c r="Q1191" i="1"/>
  <c r="U1190" i="1"/>
  <c r="V1190" i="1" s="1"/>
  <c r="W1190" i="1" l="1"/>
  <c r="Q1192" i="1"/>
  <c r="U1191" i="1"/>
  <c r="V1191" i="1" s="1"/>
  <c r="W1191" i="1" l="1"/>
  <c r="Q1193" i="1"/>
  <c r="U1192" i="1"/>
  <c r="V1192" i="1" s="1"/>
  <c r="W1192" i="1" l="1"/>
  <c r="Q1194" i="1"/>
  <c r="U1193" i="1"/>
  <c r="V1193" i="1" s="1"/>
  <c r="W1193" i="1" l="1"/>
  <c r="Q1195" i="1"/>
  <c r="U1194" i="1"/>
  <c r="V1194" i="1" s="1"/>
  <c r="W1194" i="1" l="1"/>
  <c r="Q1196" i="1"/>
  <c r="U1195" i="1"/>
  <c r="V1195" i="1" s="1"/>
  <c r="W1195" i="1" l="1"/>
  <c r="Q1197" i="1"/>
  <c r="U1196" i="1"/>
  <c r="V1196" i="1" s="1"/>
  <c r="W1196" i="1" l="1"/>
  <c r="Q1198" i="1"/>
  <c r="U1197" i="1"/>
  <c r="V1197" i="1" s="1"/>
  <c r="W1197" i="1" l="1"/>
  <c r="Q1199" i="1"/>
  <c r="U1198" i="1"/>
  <c r="V1198" i="1" s="1"/>
  <c r="W1198" i="1" l="1"/>
  <c r="Q1200" i="1"/>
  <c r="U1199" i="1"/>
  <c r="V1199" i="1" s="1"/>
  <c r="W1199" i="1" l="1"/>
  <c r="Q1201" i="1"/>
  <c r="U1200" i="1"/>
  <c r="V1200" i="1" s="1"/>
  <c r="W1200" i="1" l="1"/>
  <c r="Q1202" i="1"/>
  <c r="U1201" i="1"/>
  <c r="V1201" i="1" s="1"/>
  <c r="W1201" i="1" l="1"/>
  <c r="Q1203" i="1"/>
  <c r="U1202" i="1"/>
  <c r="V1202" i="1" s="1"/>
  <c r="W1202" i="1" l="1"/>
  <c r="Q1204" i="1"/>
  <c r="U1203" i="1"/>
  <c r="V1203" i="1" s="1"/>
  <c r="W1203" i="1" l="1"/>
  <c r="Q1205" i="1"/>
  <c r="U1204" i="1"/>
  <c r="V1204" i="1" s="1"/>
  <c r="W1204" i="1" l="1"/>
  <c r="Q1206" i="1"/>
  <c r="U1205" i="1"/>
  <c r="V1205" i="1" s="1"/>
  <c r="W1205" i="1" l="1"/>
  <c r="Q1207" i="1"/>
  <c r="U1206" i="1"/>
  <c r="V1206" i="1" s="1"/>
  <c r="W1206" i="1" l="1"/>
  <c r="Q1208" i="1"/>
  <c r="U1207" i="1"/>
  <c r="V1207" i="1" s="1"/>
  <c r="W1207" i="1" l="1"/>
  <c r="Q1209" i="1"/>
  <c r="U1208" i="1"/>
  <c r="V1208" i="1" s="1"/>
  <c r="W1208" i="1" l="1"/>
  <c r="Q1210" i="1"/>
  <c r="U1209" i="1"/>
  <c r="V1209" i="1" s="1"/>
  <c r="W1209" i="1" l="1"/>
  <c r="Q1211" i="1"/>
  <c r="U1210" i="1"/>
  <c r="V1210" i="1" s="1"/>
  <c r="W1210" i="1" l="1"/>
  <c r="Q1212" i="1"/>
  <c r="U1211" i="1"/>
  <c r="V1211" i="1" s="1"/>
  <c r="W1211" i="1" l="1"/>
  <c r="Q1213" i="1"/>
  <c r="U1212" i="1"/>
  <c r="V1212" i="1" s="1"/>
  <c r="W1212" i="1" l="1"/>
  <c r="Q1214" i="1"/>
  <c r="U1213" i="1"/>
  <c r="V1213" i="1" s="1"/>
  <c r="W1213" i="1" l="1"/>
  <c r="Q1215" i="1"/>
  <c r="U1214" i="1"/>
  <c r="V1214" i="1" s="1"/>
  <c r="W1214" i="1" l="1"/>
  <c r="Q1216" i="1"/>
  <c r="U1215" i="1"/>
  <c r="V1215" i="1" s="1"/>
  <c r="W1215" i="1" l="1"/>
  <c r="Q1217" i="1"/>
  <c r="U1216" i="1"/>
  <c r="V1216" i="1" s="1"/>
  <c r="W1216" i="1" l="1"/>
  <c r="Q1218" i="1"/>
  <c r="U1217" i="1"/>
  <c r="V1217" i="1" s="1"/>
  <c r="W1217" i="1" l="1"/>
  <c r="Q1219" i="1"/>
  <c r="U1218" i="1"/>
  <c r="V1218" i="1" s="1"/>
  <c r="W1218" i="1" l="1"/>
  <c r="Q1220" i="1"/>
  <c r="U1219" i="1"/>
  <c r="V1219" i="1" s="1"/>
  <c r="W1219" i="1" l="1"/>
  <c r="Q1221" i="1"/>
  <c r="U1220" i="1"/>
  <c r="V1220" i="1" s="1"/>
  <c r="W1220" i="1" l="1"/>
  <c r="Q1222" i="1"/>
  <c r="U1221" i="1"/>
  <c r="V1221" i="1" s="1"/>
  <c r="W1221" i="1" l="1"/>
  <c r="Q1223" i="1"/>
  <c r="U1222" i="1"/>
  <c r="V1222" i="1" s="1"/>
  <c r="W1222" i="1" l="1"/>
  <c r="Q1224" i="1"/>
  <c r="U1223" i="1"/>
  <c r="V1223" i="1" s="1"/>
  <c r="W1223" i="1" l="1"/>
  <c r="Q1225" i="1"/>
  <c r="U1224" i="1"/>
  <c r="V1224" i="1" s="1"/>
  <c r="W1224" i="1" l="1"/>
  <c r="Q1226" i="1"/>
  <c r="U1225" i="1"/>
  <c r="V1225" i="1" s="1"/>
  <c r="W1225" i="1" l="1"/>
  <c r="Q1227" i="1"/>
  <c r="U1226" i="1"/>
  <c r="V1226" i="1" s="1"/>
  <c r="W1226" i="1" l="1"/>
  <c r="Q1228" i="1"/>
  <c r="U1227" i="1"/>
  <c r="V1227" i="1" s="1"/>
  <c r="W1227" i="1" l="1"/>
  <c r="Q1229" i="1"/>
  <c r="U1228" i="1"/>
  <c r="V1228" i="1" s="1"/>
  <c r="W1228" i="1" l="1"/>
  <c r="Q1230" i="1"/>
  <c r="U1229" i="1"/>
  <c r="V1229" i="1" s="1"/>
  <c r="W1229" i="1" l="1"/>
  <c r="Q1231" i="1"/>
  <c r="U1230" i="1"/>
  <c r="V1230" i="1" s="1"/>
  <c r="W1230" i="1" l="1"/>
  <c r="Q1232" i="1"/>
  <c r="U1231" i="1"/>
  <c r="V1231" i="1" s="1"/>
  <c r="W1231" i="1" l="1"/>
  <c r="Q1233" i="1"/>
  <c r="U1232" i="1"/>
  <c r="V1232" i="1" s="1"/>
  <c r="W1232" i="1" l="1"/>
  <c r="Q1234" i="1"/>
  <c r="U1233" i="1"/>
  <c r="V1233" i="1" s="1"/>
  <c r="W1233" i="1" l="1"/>
  <c r="Q1235" i="1"/>
  <c r="U1234" i="1"/>
  <c r="V1234" i="1" s="1"/>
  <c r="W1234" i="1" l="1"/>
  <c r="Q1236" i="1"/>
  <c r="U1235" i="1"/>
  <c r="V1235" i="1" s="1"/>
  <c r="W1235" i="1" l="1"/>
  <c r="Q1237" i="1"/>
  <c r="U1236" i="1"/>
  <c r="V1236" i="1" s="1"/>
  <c r="W1236" i="1" l="1"/>
  <c r="Q1238" i="1"/>
  <c r="U1237" i="1"/>
  <c r="V1237" i="1" s="1"/>
  <c r="W1237" i="1" l="1"/>
  <c r="Q1239" i="1"/>
  <c r="U1238" i="1"/>
  <c r="V1238" i="1" s="1"/>
  <c r="W1238" i="1" l="1"/>
  <c r="Q1240" i="1"/>
  <c r="U1239" i="1"/>
  <c r="V1239" i="1" s="1"/>
  <c r="W1239" i="1" l="1"/>
  <c r="Q1241" i="1"/>
  <c r="U1240" i="1"/>
  <c r="V1240" i="1" s="1"/>
  <c r="W1240" i="1" l="1"/>
  <c r="Q1242" i="1"/>
  <c r="U1241" i="1"/>
  <c r="V1241" i="1" s="1"/>
  <c r="W1241" i="1" l="1"/>
  <c r="Q1243" i="1"/>
  <c r="U1242" i="1"/>
  <c r="V1242" i="1" s="1"/>
  <c r="W1242" i="1" l="1"/>
  <c r="Q1244" i="1"/>
  <c r="U1243" i="1"/>
  <c r="V1243" i="1" s="1"/>
  <c r="W1243" i="1" l="1"/>
  <c r="Q1245" i="1"/>
  <c r="U1244" i="1"/>
  <c r="V1244" i="1" s="1"/>
  <c r="W1244" i="1" l="1"/>
  <c r="Q1246" i="1"/>
  <c r="U1245" i="1"/>
  <c r="V1245" i="1" s="1"/>
  <c r="W1245" i="1" l="1"/>
  <c r="Q1247" i="1"/>
  <c r="U1246" i="1"/>
  <c r="V1246" i="1" s="1"/>
  <c r="W1246" i="1" l="1"/>
  <c r="Q1248" i="1"/>
  <c r="U1247" i="1"/>
  <c r="V1247" i="1" s="1"/>
  <c r="W1247" i="1" l="1"/>
  <c r="Q1249" i="1"/>
  <c r="U1248" i="1"/>
  <c r="V1248" i="1" s="1"/>
  <c r="W1248" i="1" l="1"/>
  <c r="Q1250" i="1"/>
  <c r="U1249" i="1"/>
  <c r="V1249" i="1" s="1"/>
  <c r="W1249" i="1" l="1"/>
  <c r="Q1251" i="1"/>
  <c r="U1250" i="1"/>
  <c r="V1250" i="1" s="1"/>
  <c r="W1250" i="1" l="1"/>
  <c r="Q1252" i="1"/>
  <c r="U1251" i="1"/>
  <c r="V1251" i="1" s="1"/>
  <c r="W1251" i="1" l="1"/>
  <c r="Q1253" i="1"/>
  <c r="U1252" i="1"/>
  <c r="V1252" i="1" s="1"/>
  <c r="W1252" i="1" l="1"/>
  <c r="Q1254" i="1"/>
  <c r="U1253" i="1"/>
  <c r="V1253" i="1" s="1"/>
  <c r="W1253" i="1" l="1"/>
  <c r="Q1255" i="1"/>
  <c r="U1254" i="1"/>
  <c r="V1254" i="1" s="1"/>
  <c r="W1254" i="1" l="1"/>
  <c r="Q1256" i="1"/>
  <c r="U1255" i="1"/>
  <c r="V1255" i="1" s="1"/>
  <c r="W1255" i="1" l="1"/>
  <c r="Q1257" i="1"/>
  <c r="U1256" i="1"/>
  <c r="V1256" i="1" s="1"/>
  <c r="W1256" i="1" l="1"/>
  <c r="Q1258" i="1"/>
  <c r="U1257" i="1"/>
  <c r="V1257" i="1" s="1"/>
  <c r="W1257" i="1" l="1"/>
  <c r="Q1259" i="1"/>
  <c r="U1258" i="1"/>
  <c r="V1258" i="1" s="1"/>
  <c r="W1258" i="1" l="1"/>
  <c r="Q1260" i="1"/>
  <c r="U1259" i="1"/>
  <c r="V1259" i="1" s="1"/>
  <c r="W1259" i="1" l="1"/>
  <c r="Q1261" i="1"/>
  <c r="U1260" i="1"/>
  <c r="V1260" i="1" s="1"/>
  <c r="W1260" i="1" l="1"/>
  <c r="Q1262" i="1"/>
  <c r="U1261" i="1"/>
  <c r="V1261" i="1" s="1"/>
  <c r="W1261" i="1" l="1"/>
  <c r="Q1263" i="1"/>
  <c r="U1262" i="1"/>
  <c r="V1262" i="1" s="1"/>
  <c r="W1262" i="1" l="1"/>
  <c r="Q1264" i="1"/>
  <c r="U1263" i="1"/>
  <c r="V1263" i="1" s="1"/>
  <c r="W1263" i="1" l="1"/>
  <c r="Q1265" i="1"/>
  <c r="U1264" i="1"/>
  <c r="V1264" i="1" s="1"/>
  <c r="W1264" i="1" l="1"/>
  <c r="Q1266" i="1"/>
  <c r="U1265" i="1"/>
  <c r="V1265" i="1" s="1"/>
  <c r="W1265" i="1" l="1"/>
  <c r="Q1267" i="1"/>
  <c r="U1266" i="1"/>
  <c r="V1266" i="1" s="1"/>
  <c r="W1266" i="1" l="1"/>
  <c r="Q1268" i="1"/>
  <c r="U1267" i="1"/>
  <c r="V1267" i="1" s="1"/>
  <c r="W1267" i="1" l="1"/>
  <c r="Q1269" i="1"/>
  <c r="U1268" i="1"/>
  <c r="V1268" i="1" s="1"/>
  <c r="W1268" i="1" l="1"/>
  <c r="Q1270" i="1"/>
  <c r="U1269" i="1"/>
  <c r="V1269" i="1" s="1"/>
  <c r="W1269" i="1" l="1"/>
  <c r="Q1271" i="1"/>
  <c r="U1270" i="1"/>
  <c r="V1270" i="1" s="1"/>
  <c r="W1270" i="1" l="1"/>
  <c r="Q1272" i="1"/>
  <c r="U1271" i="1"/>
  <c r="V1271" i="1" s="1"/>
  <c r="W1271" i="1" l="1"/>
  <c r="Q1273" i="1"/>
  <c r="U1272" i="1"/>
  <c r="V1272" i="1" s="1"/>
  <c r="W1272" i="1" l="1"/>
  <c r="Q1274" i="1"/>
  <c r="U1273" i="1"/>
  <c r="V1273" i="1" s="1"/>
  <c r="W1273" i="1" l="1"/>
  <c r="Q1275" i="1"/>
  <c r="U1274" i="1"/>
  <c r="V1274" i="1" s="1"/>
  <c r="W1274" i="1" l="1"/>
  <c r="Q1276" i="1"/>
  <c r="U1275" i="1"/>
  <c r="V1275" i="1" s="1"/>
  <c r="W1275" i="1" l="1"/>
  <c r="Q1277" i="1"/>
  <c r="U1276" i="1"/>
  <c r="V1276" i="1" s="1"/>
  <c r="W1276" i="1" l="1"/>
  <c r="Q1278" i="1"/>
  <c r="U1277" i="1"/>
  <c r="V1277" i="1" s="1"/>
  <c r="W1277" i="1" l="1"/>
  <c r="Q1279" i="1"/>
  <c r="U1278" i="1"/>
  <c r="V1278" i="1" s="1"/>
  <c r="W1278" i="1" l="1"/>
  <c r="Q1280" i="1"/>
  <c r="U1279" i="1"/>
  <c r="V1279" i="1" s="1"/>
  <c r="W1279" i="1" l="1"/>
  <c r="Q1281" i="1"/>
  <c r="U1280" i="1"/>
  <c r="V1280" i="1" s="1"/>
  <c r="W1280" i="1" l="1"/>
  <c r="Q1282" i="1"/>
  <c r="U1281" i="1"/>
  <c r="V1281" i="1" s="1"/>
  <c r="W1281" i="1" l="1"/>
  <c r="Q1283" i="1"/>
  <c r="U1282" i="1"/>
  <c r="V1282" i="1" s="1"/>
  <c r="W1282" i="1" l="1"/>
  <c r="Q1284" i="1"/>
  <c r="U1283" i="1"/>
  <c r="V1283" i="1" s="1"/>
  <c r="W1283" i="1" l="1"/>
  <c r="Q1285" i="1"/>
  <c r="U1284" i="1"/>
  <c r="V1284" i="1" s="1"/>
  <c r="W1284" i="1" l="1"/>
  <c r="Q1286" i="1"/>
  <c r="U1285" i="1"/>
  <c r="V1285" i="1" s="1"/>
  <c r="W1285" i="1" l="1"/>
  <c r="Q1287" i="1"/>
  <c r="U1286" i="1"/>
  <c r="V1286" i="1" s="1"/>
  <c r="W1286" i="1" l="1"/>
  <c r="Q1288" i="1"/>
  <c r="U1287" i="1"/>
  <c r="V1287" i="1" s="1"/>
  <c r="W1287" i="1" l="1"/>
  <c r="Q1289" i="1"/>
  <c r="U1288" i="1"/>
  <c r="V1288" i="1" s="1"/>
  <c r="W1288" i="1" l="1"/>
  <c r="Q1290" i="1"/>
  <c r="U1289" i="1"/>
  <c r="V1289" i="1" s="1"/>
  <c r="W1289" i="1" l="1"/>
  <c r="Q1291" i="1"/>
  <c r="U1290" i="1"/>
  <c r="V1290" i="1" s="1"/>
  <c r="W1290" i="1" l="1"/>
  <c r="Q1292" i="1"/>
  <c r="U1291" i="1"/>
  <c r="V1291" i="1" s="1"/>
  <c r="W1291" i="1" l="1"/>
  <c r="Q1293" i="1"/>
  <c r="U1292" i="1"/>
  <c r="V1292" i="1" s="1"/>
  <c r="W1292" i="1" l="1"/>
  <c r="Q1294" i="1"/>
  <c r="U1293" i="1"/>
  <c r="V1293" i="1" s="1"/>
  <c r="W1293" i="1" l="1"/>
  <c r="Q1295" i="1"/>
  <c r="U1294" i="1"/>
  <c r="V1294" i="1" s="1"/>
  <c r="W1294" i="1" l="1"/>
  <c r="Q1296" i="1"/>
  <c r="U1295" i="1"/>
  <c r="V1295" i="1" s="1"/>
  <c r="W1295" i="1" l="1"/>
  <c r="Q1297" i="1"/>
  <c r="U1296" i="1"/>
  <c r="V1296" i="1" s="1"/>
  <c r="W1296" i="1" l="1"/>
  <c r="Q1298" i="1"/>
  <c r="U1297" i="1"/>
  <c r="V1297" i="1" s="1"/>
  <c r="W1297" i="1" l="1"/>
  <c r="Q1299" i="1"/>
  <c r="U1298" i="1"/>
  <c r="V1298" i="1" s="1"/>
  <c r="W1298" i="1" l="1"/>
  <c r="Q1300" i="1"/>
  <c r="U1299" i="1"/>
  <c r="V1299" i="1" s="1"/>
  <c r="W1299" i="1" l="1"/>
  <c r="Q1301" i="1"/>
  <c r="U1300" i="1"/>
  <c r="V1300" i="1" s="1"/>
  <c r="W1300" i="1" l="1"/>
  <c r="Q1302" i="1"/>
  <c r="U1301" i="1"/>
  <c r="V1301" i="1" s="1"/>
  <c r="W1301" i="1" l="1"/>
  <c r="Q1303" i="1"/>
  <c r="U1302" i="1"/>
  <c r="V1302" i="1" s="1"/>
  <c r="W1302" i="1" l="1"/>
  <c r="Q1304" i="1"/>
  <c r="U1303" i="1"/>
  <c r="V1303" i="1" s="1"/>
  <c r="W1303" i="1" l="1"/>
  <c r="Q1305" i="1"/>
  <c r="U1304" i="1"/>
  <c r="V1304" i="1" s="1"/>
  <c r="W1304" i="1" l="1"/>
  <c r="Q1306" i="1"/>
  <c r="U1305" i="1"/>
  <c r="V1305" i="1" s="1"/>
  <c r="W1305" i="1" l="1"/>
  <c r="Q1307" i="1"/>
  <c r="U1306" i="1"/>
  <c r="V1306" i="1" s="1"/>
  <c r="W1306" i="1" l="1"/>
  <c r="Q1308" i="1"/>
  <c r="U1307" i="1"/>
  <c r="V1307" i="1" s="1"/>
  <c r="W1307" i="1" l="1"/>
  <c r="Q1309" i="1"/>
  <c r="U1308" i="1"/>
  <c r="V1308" i="1" s="1"/>
  <c r="W1308" i="1" l="1"/>
  <c r="Q1310" i="1"/>
  <c r="U1309" i="1"/>
  <c r="V1309" i="1" s="1"/>
  <c r="W1309" i="1" l="1"/>
  <c r="Q1311" i="1"/>
  <c r="U1310" i="1"/>
  <c r="V1310" i="1" s="1"/>
  <c r="W1310" i="1" l="1"/>
  <c r="Q1312" i="1"/>
  <c r="U1311" i="1"/>
  <c r="V1311" i="1" s="1"/>
  <c r="W1311" i="1" l="1"/>
  <c r="Q1313" i="1"/>
  <c r="U1312" i="1"/>
  <c r="V1312" i="1" s="1"/>
  <c r="W1312" i="1" l="1"/>
  <c r="Q1314" i="1"/>
  <c r="U1313" i="1"/>
  <c r="V1313" i="1" s="1"/>
  <c r="W1313" i="1" l="1"/>
  <c r="Q1315" i="1"/>
  <c r="U1314" i="1"/>
  <c r="V1314" i="1" s="1"/>
  <c r="W1314" i="1" l="1"/>
  <c r="Q1316" i="1"/>
  <c r="U1315" i="1"/>
  <c r="V1315" i="1" s="1"/>
  <c r="W1315" i="1" l="1"/>
  <c r="Q1317" i="1"/>
  <c r="U1316" i="1"/>
  <c r="V1316" i="1" s="1"/>
  <c r="W1316" i="1" l="1"/>
  <c r="Q1318" i="1"/>
  <c r="U1317" i="1"/>
  <c r="V1317" i="1" s="1"/>
  <c r="W1317" i="1" l="1"/>
  <c r="Q1319" i="1"/>
  <c r="U1318" i="1"/>
  <c r="V1318" i="1" s="1"/>
  <c r="W1318" i="1" l="1"/>
  <c r="Q1320" i="1"/>
  <c r="U1319" i="1"/>
  <c r="V1319" i="1" s="1"/>
  <c r="W1319" i="1" l="1"/>
  <c r="Q1321" i="1"/>
  <c r="U1320" i="1"/>
  <c r="V1320" i="1" s="1"/>
  <c r="W1320" i="1" l="1"/>
  <c r="Q1322" i="1"/>
  <c r="U1321" i="1"/>
  <c r="V1321" i="1" s="1"/>
  <c r="W1321" i="1" l="1"/>
  <c r="Q1323" i="1"/>
  <c r="U1322" i="1"/>
  <c r="V1322" i="1" s="1"/>
  <c r="W1322" i="1" l="1"/>
  <c r="Q1324" i="1"/>
  <c r="U1323" i="1"/>
  <c r="V1323" i="1" s="1"/>
  <c r="W1323" i="1" l="1"/>
  <c r="Q1325" i="1"/>
  <c r="U1324" i="1"/>
  <c r="V1324" i="1" s="1"/>
  <c r="W1324" i="1" l="1"/>
  <c r="Q1326" i="1"/>
  <c r="U1325" i="1"/>
  <c r="V1325" i="1" s="1"/>
  <c r="W1325" i="1" l="1"/>
  <c r="Q1327" i="1"/>
  <c r="U1326" i="1"/>
  <c r="V1326" i="1" s="1"/>
  <c r="W1326" i="1" l="1"/>
  <c r="Q1328" i="1"/>
  <c r="U1327" i="1"/>
  <c r="V1327" i="1" s="1"/>
  <c r="W1327" i="1" l="1"/>
  <c r="Q1329" i="1"/>
  <c r="U1328" i="1"/>
  <c r="V1328" i="1" s="1"/>
  <c r="W1328" i="1" l="1"/>
  <c r="Q1330" i="1"/>
  <c r="U1329" i="1"/>
  <c r="V1329" i="1" s="1"/>
  <c r="W1329" i="1" l="1"/>
  <c r="Q1331" i="1"/>
  <c r="U1330" i="1"/>
  <c r="V1330" i="1" s="1"/>
  <c r="W1330" i="1" l="1"/>
  <c r="Q1332" i="1"/>
  <c r="U1331" i="1"/>
  <c r="V1331" i="1" s="1"/>
  <c r="W1331" i="1" l="1"/>
  <c r="Q1333" i="1"/>
  <c r="U1332" i="1"/>
  <c r="V1332" i="1" s="1"/>
  <c r="W1332" i="1" l="1"/>
  <c r="Q1334" i="1"/>
  <c r="U1333" i="1"/>
  <c r="V1333" i="1" s="1"/>
  <c r="W1333" i="1" l="1"/>
  <c r="Q1335" i="1"/>
  <c r="U1334" i="1"/>
  <c r="V1334" i="1" s="1"/>
  <c r="W1334" i="1" l="1"/>
  <c r="Q1336" i="1"/>
  <c r="U1335" i="1"/>
  <c r="V1335" i="1" s="1"/>
  <c r="W1335" i="1" l="1"/>
  <c r="Q1337" i="1"/>
  <c r="U1336" i="1"/>
  <c r="V1336" i="1" s="1"/>
  <c r="W1336" i="1" l="1"/>
  <c r="Q1338" i="1"/>
  <c r="U1337" i="1"/>
  <c r="V1337" i="1" s="1"/>
  <c r="W1337" i="1" l="1"/>
  <c r="Q1339" i="1"/>
  <c r="U1338" i="1"/>
  <c r="V1338" i="1" s="1"/>
  <c r="W1338" i="1" l="1"/>
  <c r="Q1340" i="1"/>
  <c r="U1339" i="1"/>
  <c r="V1339" i="1" s="1"/>
  <c r="W1339" i="1" l="1"/>
  <c r="Q1341" i="1"/>
  <c r="U1340" i="1"/>
  <c r="V1340" i="1" s="1"/>
  <c r="W1340" i="1" l="1"/>
  <c r="Q1342" i="1"/>
  <c r="U1341" i="1"/>
  <c r="V1341" i="1" s="1"/>
  <c r="W1341" i="1" l="1"/>
  <c r="Q1343" i="1"/>
  <c r="U1342" i="1"/>
  <c r="V1342" i="1" s="1"/>
  <c r="W1342" i="1" l="1"/>
  <c r="Q1344" i="1"/>
  <c r="U1343" i="1"/>
  <c r="V1343" i="1" s="1"/>
  <c r="W1343" i="1" l="1"/>
  <c r="Q1345" i="1"/>
  <c r="U1344" i="1"/>
  <c r="V1344" i="1" s="1"/>
  <c r="W1344" i="1" l="1"/>
  <c r="Q1346" i="1"/>
  <c r="U1345" i="1"/>
  <c r="V1345" i="1" s="1"/>
  <c r="W1345" i="1" l="1"/>
  <c r="Q1347" i="1"/>
  <c r="U1346" i="1"/>
  <c r="V1346" i="1" s="1"/>
  <c r="W1346" i="1" l="1"/>
  <c r="Q1348" i="1"/>
  <c r="U1347" i="1"/>
  <c r="V1347" i="1" s="1"/>
  <c r="W1347" i="1" l="1"/>
  <c r="Q1349" i="1"/>
  <c r="U1348" i="1"/>
  <c r="V1348" i="1" s="1"/>
  <c r="W1348" i="1" l="1"/>
  <c r="Q1350" i="1"/>
  <c r="U1349" i="1"/>
  <c r="V1349" i="1" s="1"/>
  <c r="W1349" i="1" l="1"/>
  <c r="Q1351" i="1"/>
  <c r="U1350" i="1"/>
  <c r="V1350" i="1" s="1"/>
  <c r="W1350" i="1" l="1"/>
  <c r="Q1352" i="1"/>
  <c r="U1351" i="1"/>
  <c r="V1351" i="1" s="1"/>
  <c r="W1351" i="1" l="1"/>
  <c r="Q1353" i="1"/>
  <c r="U1352" i="1"/>
  <c r="V1352" i="1" s="1"/>
  <c r="W1352" i="1" l="1"/>
  <c r="Q1354" i="1"/>
  <c r="U1353" i="1"/>
  <c r="V1353" i="1" s="1"/>
  <c r="W1353" i="1" l="1"/>
  <c r="Q1355" i="1"/>
  <c r="U1354" i="1"/>
  <c r="V1354" i="1" s="1"/>
  <c r="W1354" i="1" l="1"/>
  <c r="Q1356" i="1"/>
  <c r="U1355" i="1"/>
  <c r="V1355" i="1" s="1"/>
  <c r="W1355" i="1" l="1"/>
  <c r="Q1357" i="1"/>
  <c r="U1356" i="1"/>
  <c r="V1356" i="1" s="1"/>
  <c r="W1356" i="1" l="1"/>
  <c r="Q1358" i="1"/>
  <c r="U1357" i="1"/>
  <c r="V1357" i="1" s="1"/>
  <c r="W1357" i="1" l="1"/>
  <c r="Q1359" i="1"/>
  <c r="U1358" i="1"/>
  <c r="V1358" i="1" s="1"/>
  <c r="W1358" i="1" l="1"/>
  <c r="Q1360" i="1"/>
  <c r="U1359" i="1"/>
  <c r="V1359" i="1" s="1"/>
  <c r="W1359" i="1" l="1"/>
  <c r="Q1361" i="1"/>
  <c r="U1360" i="1"/>
  <c r="V1360" i="1" s="1"/>
  <c r="W1360" i="1" l="1"/>
  <c r="Q1362" i="1"/>
  <c r="U1361" i="1"/>
  <c r="V1361" i="1" s="1"/>
  <c r="W1361" i="1" l="1"/>
  <c r="Q1363" i="1"/>
  <c r="U1362" i="1"/>
  <c r="V1362" i="1" s="1"/>
  <c r="W1362" i="1" l="1"/>
  <c r="Q1364" i="1"/>
  <c r="U1363" i="1"/>
  <c r="V1363" i="1" s="1"/>
  <c r="W1363" i="1" l="1"/>
  <c r="Q1365" i="1"/>
  <c r="U1364" i="1"/>
  <c r="V1364" i="1" s="1"/>
  <c r="W1364" i="1" l="1"/>
  <c r="Q1366" i="1"/>
  <c r="U1365" i="1"/>
  <c r="V1365" i="1" s="1"/>
  <c r="W1365" i="1" l="1"/>
  <c r="Q1367" i="1"/>
  <c r="U1366" i="1"/>
  <c r="V1366" i="1" s="1"/>
  <c r="W1366" i="1" l="1"/>
  <c r="Q1368" i="1"/>
  <c r="U1367" i="1"/>
  <c r="V1367" i="1" s="1"/>
  <c r="W1367" i="1" l="1"/>
  <c r="Q1369" i="1"/>
  <c r="U1368" i="1"/>
  <c r="V1368" i="1" s="1"/>
  <c r="W1368" i="1" l="1"/>
  <c r="Q1370" i="1"/>
  <c r="U1369" i="1"/>
  <c r="V1369" i="1" s="1"/>
  <c r="W1369" i="1" l="1"/>
  <c r="Q1371" i="1"/>
  <c r="U1370" i="1"/>
  <c r="V1370" i="1" s="1"/>
  <c r="W1370" i="1" l="1"/>
  <c r="Q1372" i="1"/>
  <c r="U1371" i="1"/>
  <c r="V1371" i="1" s="1"/>
  <c r="W1371" i="1" l="1"/>
  <c r="Q1373" i="1"/>
  <c r="U1372" i="1"/>
  <c r="V1372" i="1" s="1"/>
  <c r="W1372" i="1" l="1"/>
  <c r="Q1374" i="1"/>
  <c r="U1373" i="1"/>
  <c r="V1373" i="1" s="1"/>
  <c r="W1373" i="1" l="1"/>
  <c r="Q1375" i="1"/>
  <c r="U1374" i="1"/>
  <c r="V1374" i="1" s="1"/>
  <c r="W1374" i="1" l="1"/>
  <c r="Q1376" i="1"/>
  <c r="U1375" i="1"/>
  <c r="V1375" i="1" s="1"/>
  <c r="W1375" i="1" l="1"/>
  <c r="Q1377" i="1"/>
  <c r="U1376" i="1"/>
  <c r="V1376" i="1" s="1"/>
  <c r="W1376" i="1" l="1"/>
  <c r="Q1378" i="1"/>
  <c r="U1377" i="1"/>
  <c r="V1377" i="1" s="1"/>
  <c r="W1377" i="1" l="1"/>
  <c r="Q1379" i="1"/>
  <c r="U1378" i="1"/>
  <c r="V1378" i="1" s="1"/>
  <c r="W1378" i="1" l="1"/>
  <c r="Q1380" i="1"/>
  <c r="U1379" i="1"/>
  <c r="V1379" i="1" s="1"/>
  <c r="W1379" i="1" l="1"/>
  <c r="Q1381" i="1"/>
  <c r="U1380" i="1"/>
  <c r="V1380" i="1" s="1"/>
  <c r="W1380" i="1" l="1"/>
  <c r="Q1382" i="1"/>
  <c r="U1381" i="1"/>
  <c r="V1381" i="1" s="1"/>
  <c r="W1381" i="1" l="1"/>
  <c r="Q1383" i="1"/>
  <c r="U1382" i="1"/>
  <c r="V1382" i="1" s="1"/>
  <c r="W1382" i="1" l="1"/>
  <c r="Q1384" i="1"/>
  <c r="U1383" i="1"/>
  <c r="V1383" i="1" s="1"/>
  <c r="W1383" i="1" l="1"/>
  <c r="Q1385" i="1"/>
  <c r="U1384" i="1"/>
  <c r="V1384" i="1" s="1"/>
  <c r="W1384" i="1" l="1"/>
  <c r="Q1386" i="1"/>
  <c r="U1385" i="1"/>
  <c r="V1385" i="1" s="1"/>
  <c r="W1385" i="1" l="1"/>
  <c r="Q1387" i="1"/>
  <c r="U1386" i="1"/>
  <c r="V1386" i="1" s="1"/>
  <c r="W1386" i="1" l="1"/>
  <c r="Q1388" i="1"/>
  <c r="U1387" i="1"/>
  <c r="V1387" i="1" s="1"/>
  <c r="W1387" i="1" l="1"/>
  <c r="Q1389" i="1"/>
  <c r="U1388" i="1"/>
  <c r="V1388" i="1" s="1"/>
  <c r="W1388" i="1" l="1"/>
  <c r="Q1390" i="1"/>
  <c r="U1389" i="1"/>
  <c r="V1389" i="1" s="1"/>
  <c r="W1389" i="1" l="1"/>
  <c r="Q1391" i="1"/>
  <c r="U1390" i="1"/>
  <c r="V1390" i="1" s="1"/>
  <c r="W1390" i="1" l="1"/>
  <c r="Q1392" i="1"/>
  <c r="U1391" i="1"/>
  <c r="V1391" i="1" s="1"/>
  <c r="W1391" i="1" l="1"/>
  <c r="Q1393" i="1"/>
  <c r="U1392" i="1"/>
  <c r="V1392" i="1" s="1"/>
  <c r="W1392" i="1" l="1"/>
  <c r="Q1394" i="1"/>
  <c r="U1393" i="1"/>
  <c r="V1393" i="1" s="1"/>
  <c r="W1393" i="1" l="1"/>
  <c r="Q1395" i="1"/>
  <c r="U1394" i="1"/>
  <c r="V1394" i="1" s="1"/>
  <c r="W1394" i="1" l="1"/>
  <c r="Q1396" i="1"/>
  <c r="U1395" i="1"/>
  <c r="V1395" i="1" s="1"/>
  <c r="W1395" i="1" l="1"/>
  <c r="Q1397" i="1"/>
  <c r="U1396" i="1"/>
  <c r="V1396" i="1" s="1"/>
  <c r="W1396" i="1" l="1"/>
  <c r="Q1398" i="1"/>
  <c r="U1397" i="1"/>
  <c r="V1397" i="1" s="1"/>
  <c r="W1397" i="1" l="1"/>
  <c r="Q1399" i="1"/>
  <c r="U1398" i="1"/>
  <c r="V1398" i="1" s="1"/>
  <c r="W1398" i="1" l="1"/>
  <c r="Q1400" i="1"/>
  <c r="U1399" i="1"/>
  <c r="V1399" i="1" s="1"/>
  <c r="W1399" i="1" l="1"/>
  <c r="Q1401" i="1"/>
  <c r="U1400" i="1"/>
  <c r="V1400" i="1" s="1"/>
  <c r="W1400" i="1" l="1"/>
  <c r="Q1402" i="1"/>
  <c r="U1401" i="1"/>
  <c r="V1401" i="1" s="1"/>
  <c r="W1401" i="1" l="1"/>
  <c r="Q1403" i="1"/>
  <c r="U1402" i="1"/>
  <c r="V1402" i="1" s="1"/>
  <c r="W1402" i="1" l="1"/>
  <c r="Q1404" i="1"/>
  <c r="U1403" i="1"/>
  <c r="V1403" i="1" s="1"/>
  <c r="W1403" i="1" l="1"/>
  <c r="Q1405" i="1"/>
  <c r="U1404" i="1"/>
  <c r="V1404" i="1" s="1"/>
  <c r="W1404" i="1" l="1"/>
  <c r="Q1406" i="1"/>
  <c r="U1405" i="1"/>
  <c r="V1405" i="1" s="1"/>
  <c r="W1405" i="1" l="1"/>
  <c r="Q1407" i="1"/>
  <c r="U1406" i="1"/>
  <c r="V1406" i="1" s="1"/>
  <c r="W1406" i="1" l="1"/>
  <c r="Q1408" i="1"/>
  <c r="U1407" i="1"/>
  <c r="V1407" i="1" s="1"/>
  <c r="W1407" i="1" l="1"/>
  <c r="Q1409" i="1"/>
  <c r="U1408" i="1"/>
  <c r="V1408" i="1" s="1"/>
  <c r="W1408" i="1" l="1"/>
  <c r="Q1410" i="1"/>
  <c r="U1409" i="1"/>
  <c r="V1409" i="1" s="1"/>
  <c r="W1409" i="1" l="1"/>
  <c r="Q1411" i="1"/>
  <c r="U1410" i="1"/>
  <c r="V1410" i="1" s="1"/>
  <c r="W1410" i="1" l="1"/>
  <c r="Q1412" i="1"/>
  <c r="U1411" i="1"/>
  <c r="V1411" i="1" s="1"/>
  <c r="W1411" i="1" l="1"/>
  <c r="Q1413" i="1"/>
  <c r="U1412" i="1"/>
  <c r="V1412" i="1" s="1"/>
  <c r="W1412" i="1" l="1"/>
  <c r="Q1414" i="1"/>
  <c r="U1413" i="1"/>
  <c r="V1413" i="1" s="1"/>
  <c r="W1413" i="1" l="1"/>
  <c r="Q1415" i="1"/>
  <c r="U1414" i="1"/>
  <c r="V1414" i="1" s="1"/>
  <c r="W1414" i="1" l="1"/>
  <c r="Q1416" i="1"/>
  <c r="U1415" i="1"/>
  <c r="V1415" i="1" s="1"/>
  <c r="W1415" i="1" l="1"/>
  <c r="Q1417" i="1"/>
  <c r="U1416" i="1"/>
  <c r="V1416" i="1" s="1"/>
  <c r="W1416" i="1" l="1"/>
  <c r="Q1418" i="1"/>
  <c r="U1417" i="1"/>
  <c r="V1417" i="1" s="1"/>
  <c r="W1417" i="1" l="1"/>
  <c r="Q1419" i="1"/>
  <c r="U1418" i="1"/>
  <c r="V1418" i="1" s="1"/>
  <c r="W1418" i="1" l="1"/>
  <c r="Q1420" i="1"/>
  <c r="U1419" i="1"/>
  <c r="V1419" i="1" s="1"/>
  <c r="W1419" i="1" l="1"/>
  <c r="Q1421" i="1"/>
  <c r="U1420" i="1"/>
  <c r="V1420" i="1" s="1"/>
  <c r="W1420" i="1" l="1"/>
  <c r="Q1422" i="1"/>
  <c r="U1421" i="1"/>
  <c r="V1421" i="1" s="1"/>
  <c r="W1421" i="1" l="1"/>
  <c r="Q1423" i="1"/>
  <c r="U1422" i="1"/>
  <c r="V1422" i="1" s="1"/>
  <c r="W1422" i="1" l="1"/>
  <c r="Q1424" i="1"/>
  <c r="U1423" i="1"/>
  <c r="V1423" i="1" s="1"/>
  <c r="W1423" i="1" l="1"/>
  <c r="Q1425" i="1"/>
  <c r="U1424" i="1"/>
  <c r="V1424" i="1" s="1"/>
  <c r="W1424" i="1" l="1"/>
  <c r="Q1426" i="1"/>
  <c r="U1425" i="1"/>
  <c r="V1425" i="1" s="1"/>
  <c r="W1425" i="1" l="1"/>
  <c r="Q1427" i="1"/>
  <c r="U1426" i="1"/>
  <c r="V1426" i="1" s="1"/>
  <c r="W1426" i="1" l="1"/>
  <c r="Q1428" i="1"/>
  <c r="U1427" i="1"/>
  <c r="V1427" i="1" s="1"/>
  <c r="W1427" i="1" l="1"/>
  <c r="Q1429" i="1"/>
  <c r="U1428" i="1"/>
  <c r="V1428" i="1" s="1"/>
  <c r="W1428" i="1" l="1"/>
  <c r="Q1430" i="1"/>
  <c r="U1429" i="1"/>
  <c r="V1429" i="1" s="1"/>
  <c r="W1429" i="1" l="1"/>
  <c r="Q1431" i="1"/>
  <c r="U1430" i="1"/>
  <c r="V1430" i="1" s="1"/>
  <c r="W1430" i="1" l="1"/>
  <c r="Q1432" i="1"/>
  <c r="U1431" i="1"/>
  <c r="V1431" i="1" s="1"/>
  <c r="W1431" i="1" l="1"/>
  <c r="Q1433" i="1"/>
  <c r="U1432" i="1"/>
  <c r="V1432" i="1" s="1"/>
  <c r="W1432" i="1" l="1"/>
  <c r="Q1434" i="1"/>
  <c r="U1433" i="1"/>
  <c r="V1433" i="1" s="1"/>
  <c r="W1433" i="1" l="1"/>
  <c r="Q1435" i="1"/>
  <c r="U1434" i="1"/>
  <c r="V1434" i="1" s="1"/>
  <c r="W1434" i="1" l="1"/>
  <c r="Q1436" i="1"/>
  <c r="U1435" i="1"/>
  <c r="V1435" i="1" s="1"/>
  <c r="W1435" i="1" l="1"/>
  <c r="Q1437" i="1"/>
  <c r="U1436" i="1"/>
  <c r="V1436" i="1" s="1"/>
  <c r="W1436" i="1" l="1"/>
  <c r="Q1438" i="1"/>
  <c r="U1437" i="1"/>
  <c r="V1437" i="1" s="1"/>
  <c r="W1437" i="1" l="1"/>
  <c r="Q1439" i="1"/>
  <c r="U1438" i="1"/>
  <c r="V1438" i="1" s="1"/>
  <c r="W1438" i="1" l="1"/>
  <c r="Q1440" i="1"/>
  <c r="U1439" i="1"/>
  <c r="V1439" i="1" s="1"/>
  <c r="W1439" i="1" l="1"/>
  <c r="Q1441" i="1"/>
  <c r="U1440" i="1"/>
  <c r="V1440" i="1" s="1"/>
  <c r="W1440" i="1" l="1"/>
  <c r="Q1442" i="1"/>
  <c r="U1441" i="1"/>
  <c r="V1441" i="1" s="1"/>
  <c r="W1441" i="1" l="1"/>
  <c r="Q1443" i="1"/>
  <c r="U1442" i="1"/>
  <c r="V1442" i="1" s="1"/>
  <c r="W1442" i="1" l="1"/>
  <c r="Q1444" i="1"/>
  <c r="U1443" i="1"/>
  <c r="V1443" i="1" s="1"/>
  <c r="W1443" i="1" l="1"/>
  <c r="Q1445" i="1"/>
  <c r="U1444" i="1"/>
  <c r="V1444" i="1" s="1"/>
  <c r="W1444" i="1" l="1"/>
  <c r="Q1446" i="1"/>
  <c r="U1445" i="1"/>
  <c r="V1445" i="1" s="1"/>
  <c r="W1445" i="1" l="1"/>
  <c r="Q1447" i="1"/>
  <c r="U1446" i="1"/>
  <c r="V1446" i="1" s="1"/>
  <c r="W1446" i="1" l="1"/>
  <c r="Q1448" i="1"/>
  <c r="U1447" i="1"/>
  <c r="V1447" i="1" s="1"/>
  <c r="W1447" i="1" l="1"/>
  <c r="Q1449" i="1"/>
  <c r="U1448" i="1"/>
  <c r="V1448" i="1" s="1"/>
  <c r="W1448" i="1" l="1"/>
  <c r="Q1450" i="1"/>
  <c r="U1449" i="1"/>
  <c r="V1449" i="1" s="1"/>
  <c r="W1449" i="1" l="1"/>
  <c r="Q1451" i="1"/>
  <c r="U1450" i="1"/>
  <c r="V1450" i="1" s="1"/>
  <c r="W1450" i="1" l="1"/>
  <c r="Q1452" i="1"/>
  <c r="U1451" i="1"/>
  <c r="V1451" i="1" s="1"/>
  <c r="W1451" i="1" l="1"/>
  <c r="Q1453" i="1"/>
  <c r="U1452" i="1"/>
  <c r="V1452" i="1" s="1"/>
  <c r="W1452" i="1" l="1"/>
  <c r="Q1454" i="1"/>
  <c r="U1453" i="1"/>
  <c r="V1453" i="1" s="1"/>
  <c r="W1453" i="1" l="1"/>
  <c r="Q1455" i="1"/>
  <c r="U1454" i="1"/>
  <c r="V1454" i="1" s="1"/>
  <c r="W1454" i="1" l="1"/>
  <c r="Q1456" i="1"/>
  <c r="U1455" i="1"/>
  <c r="V1455" i="1" s="1"/>
  <c r="W1455" i="1" l="1"/>
  <c r="Q1457" i="1"/>
  <c r="U1456" i="1"/>
  <c r="V1456" i="1" s="1"/>
  <c r="W1456" i="1" l="1"/>
  <c r="Q1458" i="1"/>
  <c r="U1457" i="1"/>
  <c r="V1457" i="1" s="1"/>
  <c r="W1457" i="1" l="1"/>
  <c r="Q1459" i="1"/>
  <c r="U1458" i="1"/>
  <c r="V1458" i="1" s="1"/>
  <c r="W1458" i="1" l="1"/>
  <c r="Q1460" i="1"/>
  <c r="U1459" i="1"/>
  <c r="V1459" i="1" s="1"/>
  <c r="W1459" i="1" l="1"/>
  <c r="Q1461" i="1"/>
  <c r="U1460" i="1"/>
  <c r="V1460" i="1" s="1"/>
  <c r="W1460" i="1" l="1"/>
  <c r="Q1462" i="1"/>
  <c r="U1461" i="1"/>
  <c r="V1461" i="1" s="1"/>
  <c r="W1461" i="1" l="1"/>
  <c r="Q1463" i="1"/>
  <c r="U1462" i="1"/>
  <c r="V1462" i="1" s="1"/>
  <c r="W1462" i="1" l="1"/>
  <c r="Q1464" i="1"/>
  <c r="U1463" i="1"/>
  <c r="V1463" i="1" s="1"/>
  <c r="W1463" i="1" l="1"/>
  <c r="Q1465" i="1"/>
  <c r="U1464" i="1"/>
  <c r="V1464" i="1" s="1"/>
  <c r="W1464" i="1" l="1"/>
  <c r="Q1466" i="1"/>
  <c r="U1465" i="1"/>
  <c r="V1465" i="1" s="1"/>
  <c r="W1465" i="1" l="1"/>
  <c r="Q1467" i="1"/>
  <c r="U1466" i="1"/>
  <c r="V1466" i="1" s="1"/>
  <c r="W1466" i="1" l="1"/>
  <c r="Q1468" i="1"/>
  <c r="U1467" i="1"/>
  <c r="V1467" i="1" s="1"/>
  <c r="W1467" i="1" l="1"/>
  <c r="Q1469" i="1"/>
  <c r="U1468" i="1"/>
  <c r="V1468" i="1" s="1"/>
  <c r="W1468" i="1" l="1"/>
  <c r="Q1470" i="1"/>
  <c r="U1469" i="1"/>
  <c r="V1469" i="1" s="1"/>
  <c r="W1469" i="1" l="1"/>
  <c r="Q1471" i="1"/>
  <c r="U1470" i="1"/>
  <c r="V1470" i="1" s="1"/>
  <c r="W1470" i="1" l="1"/>
  <c r="Q1472" i="1"/>
  <c r="U1471" i="1"/>
  <c r="V1471" i="1" s="1"/>
  <c r="W1471" i="1" l="1"/>
  <c r="Q1473" i="1"/>
  <c r="U1472" i="1"/>
  <c r="V1472" i="1" s="1"/>
  <c r="W1472" i="1" l="1"/>
  <c r="Q1474" i="1"/>
  <c r="U1473" i="1"/>
  <c r="V1473" i="1" s="1"/>
  <c r="W1473" i="1" l="1"/>
  <c r="Q1475" i="1"/>
  <c r="U1474" i="1"/>
  <c r="V1474" i="1" s="1"/>
  <c r="W1474" i="1" l="1"/>
  <c r="Q1476" i="1"/>
  <c r="U1475" i="1"/>
  <c r="V1475" i="1" s="1"/>
  <c r="W1475" i="1" l="1"/>
  <c r="Q1477" i="1"/>
  <c r="U1476" i="1"/>
  <c r="V1476" i="1" s="1"/>
  <c r="W1476" i="1" l="1"/>
  <c r="Q1478" i="1"/>
  <c r="U1477" i="1"/>
  <c r="V1477" i="1" s="1"/>
  <c r="W1477" i="1" l="1"/>
  <c r="Q1479" i="1"/>
  <c r="U1478" i="1"/>
  <c r="V1478" i="1" s="1"/>
  <c r="W1478" i="1" l="1"/>
  <c r="Q1480" i="1"/>
  <c r="U1479" i="1"/>
  <c r="V1479" i="1" s="1"/>
  <c r="W1479" i="1" l="1"/>
  <c r="Q1481" i="1"/>
  <c r="U1480" i="1"/>
  <c r="V1480" i="1" s="1"/>
  <c r="W1480" i="1" l="1"/>
  <c r="Q1482" i="1"/>
  <c r="U1481" i="1"/>
  <c r="V1481" i="1" s="1"/>
  <c r="W1481" i="1" l="1"/>
  <c r="Q1483" i="1"/>
  <c r="U1482" i="1"/>
  <c r="V1482" i="1" s="1"/>
  <c r="W1482" i="1" l="1"/>
  <c r="Q1484" i="1"/>
  <c r="U1483" i="1"/>
  <c r="V1483" i="1" s="1"/>
  <c r="W1483" i="1" l="1"/>
  <c r="Q1485" i="1"/>
  <c r="U1484" i="1"/>
  <c r="V1484" i="1" s="1"/>
  <c r="W1484" i="1" l="1"/>
  <c r="Q1486" i="1"/>
  <c r="U1485" i="1"/>
  <c r="V1485" i="1" s="1"/>
  <c r="W1485" i="1" l="1"/>
  <c r="Q1487" i="1"/>
  <c r="U1486" i="1"/>
  <c r="V1486" i="1" s="1"/>
  <c r="W1486" i="1" l="1"/>
  <c r="Q1488" i="1"/>
  <c r="U1487" i="1"/>
  <c r="V1487" i="1" s="1"/>
  <c r="W1487" i="1" l="1"/>
  <c r="Q1489" i="1"/>
  <c r="U1488" i="1"/>
  <c r="V1488" i="1" s="1"/>
  <c r="W1488" i="1" l="1"/>
  <c r="Q1490" i="1"/>
  <c r="U1489" i="1"/>
  <c r="V1489" i="1" s="1"/>
  <c r="W1489" i="1" l="1"/>
  <c r="Q1491" i="1"/>
  <c r="U1490" i="1"/>
  <c r="V1490" i="1" s="1"/>
  <c r="W1490" i="1" l="1"/>
  <c r="Q1492" i="1"/>
  <c r="U1491" i="1"/>
  <c r="V1491" i="1" s="1"/>
  <c r="W1491" i="1" l="1"/>
  <c r="Q1493" i="1"/>
  <c r="U1492" i="1"/>
  <c r="V1492" i="1" s="1"/>
  <c r="W1492" i="1" l="1"/>
  <c r="Q1494" i="1"/>
  <c r="U1493" i="1"/>
  <c r="V1493" i="1" s="1"/>
  <c r="W1493" i="1" l="1"/>
  <c r="Q1495" i="1"/>
  <c r="U1494" i="1"/>
  <c r="V1494" i="1" s="1"/>
  <c r="W1494" i="1" l="1"/>
  <c r="Q1496" i="1"/>
  <c r="U1495" i="1"/>
  <c r="V1495" i="1" s="1"/>
  <c r="W1495" i="1" l="1"/>
  <c r="Q1497" i="1"/>
  <c r="U1496" i="1"/>
  <c r="V1496" i="1" s="1"/>
  <c r="W1496" i="1" l="1"/>
  <c r="Q1498" i="1"/>
  <c r="U1497" i="1"/>
  <c r="V1497" i="1" s="1"/>
  <c r="W1497" i="1" l="1"/>
  <c r="Q1499" i="1"/>
  <c r="U1498" i="1"/>
  <c r="V1498" i="1" s="1"/>
  <c r="W1498" i="1" l="1"/>
  <c r="Q1500" i="1"/>
  <c r="U1499" i="1"/>
  <c r="V1499" i="1" s="1"/>
  <c r="W1499" i="1" l="1"/>
  <c r="Q1501" i="1"/>
  <c r="U1500" i="1"/>
  <c r="V1500" i="1" s="1"/>
  <c r="W1500" i="1" l="1"/>
  <c r="Q1502" i="1"/>
  <c r="U1501" i="1"/>
  <c r="V1501" i="1" s="1"/>
  <c r="W1501" i="1" l="1"/>
  <c r="Q1503" i="1"/>
  <c r="U1502" i="1"/>
  <c r="V1502" i="1" s="1"/>
  <c r="W1502" i="1" l="1"/>
  <c r="Q1504" i="1"/>
  <c r="U1503" i="1"/>
  <c r="V1503" i="1" s="1"/>
  <c r="W1503" i="1" l="1"/>
  <c r="Q1505" i="1"/>
  <c r="U1504" i="1"/>
  <c r="V1504" i="1" s="1"/>
  <c r="W1504" i="1" l="1"/>
  <c r="Q1506" i="1"/>
  <c r="U1505" i="1"/>
  <c r="V1505" i="1" s="1"/>
  <c r="W1505" i="1" l="1"/>
  <c r="Q1507" i="1"/>
  <c r="U1506" i="1"/>
  <c r="V1506" i="1" s="1"/>
  <c r="W1506" i="1" l="1"/>
  <c r="Q1508" i="1"/>
  <c r="U1507" i="1"/>
  <c r="V1507" i="1" s="1"/>
  <c r="W1507" i="1" l="1"/>
  <c r="Q1509" i="1"/>
  <c r="U1508" i="1"/>
  <c r="V1508" i="1" s="1"/>
  <c r="W1508" i="1" l="1"/>
  <c r="Q1510" i="1"/>
  <c r="U1509" i="1"/>
  <c r="V1509" i="1" s="1"/>
  <c r="W1509" i="1" l="1"/>
  <c r="Q1511" i="1"/>
  <c r="U1510" i="1"/>
  <c r="V1510" i="1" s="1"/>
  <c r="W1510" i="1" l="1"/>
  <c r="Q1512" i="1"/>
  <c r="U1511" i="1"/>
  <c r="V1511" i="1" s="1"/>
  <c r="W1511" i="1" l="1"/>
  <c r="Q1513" i="1"/>
  <c r="U1512" i="1"/>
  <c r="V1512" i="1" s="1"/>
  <c r="W1512" i="1" l="1"/>
  <c r="Q1514" i="1"/>
  <c r="U1513" i="1"/>
  <c r="V1513" i="1" s="1"/>
  <c r="W1513" i="1" l="1"/>
  <c r="Q1515" i="1"/>
  <c r="U1514" i="1"/>
  <c r="V1514" i="1" s="1"/>
  <c r="W1514" i="1" l="1"/>
  <c r="Q1516" i="1"/>
  <c r="U1515" i="1"/>
  <c r="V1515" i="1" s="1"/>
  <c r="W1515" i="1" l="1"/>
  <c r="Q1517" i="1"/>
  <c r="U1516" i="1"/>
  <c r="V1516" i="1" s="1"/>
  <c r="W1516" i="1" l="1"/>
  <c r="Q1518" i="1"/>
  <c r="U1517" i="1"/>
  <c r="V1517" i="1" s="1"/>
  <c r="W1517" i="1" l="1"/>
  <c r="Q1519" i="1"/>
  <c r="U1518" i="1"/>
  <c r="V1518" i="1" s="1"/>
  <c r="W1518" i="1" l="1"/>
  <c r="Q1520" i="1"/>
  <c r="U1519" i="1"/>
  <c r="V1519" i="1" s="1"/>
  <c r="W1519" i="1" l="1"/>
  <c r="Q1521" i="1"/>
  <c r="U1520" i="1"/>
  <c r="V1520" i="1" s="1"/>
  <c r="W1520" i="1" l="1"/>
  <c r="Q1522" i="1"/>
  <c r="U1521" i="1"/>
  <c r="V1521" i="1" s="1"/>
  <c r="W1521" i="1" l="1"/>
  <c r="Q1523" i="1"/>
  <c r="U1522" i="1"/>
  <c r="V1522" i="1" s="1"/>
  <c r="W1522" i="1" l="1"/>
  <c r="Q1524" i="1"/>
  <c r="U1523" i="1"/>
  <c r="V1523" i="1" s="1"/>
  <c r="W1523" i="1" l="1"/>
  <c r="Q1525" i="1"/>
  <c r="U1524" i="1"/>
  <c r="V1524" i="1" s="1"/>
  <c r="W1524" i="1" l="1"/>
  <c r="Q1526" i="1"/>
  <c r="U1525" i="1"/>
  <c r="V1525" i="1" s="1"/>
  <c r="W1525" i="1" l="1"/>
  <c r="Q1527" i="1"/>
  <c r="U1526" i="1"/>
  <c r="V1526" i="1" s="1"/>
  <c r="W1526" i="1" l="1"/>
  <c r="Q1528" i="1"/>
  <c r="U1527" i="1"/>
  <c r="V1527" i="1" s="1"/>
  <c r="W1527" i="1" l="1"/>
  <c r="Q1529" i="1"/>
  <c r="U1528" i="1"/>
  <c r="V1528" i="1" s="1"/>
  <c r="W1528" i="1" l="1"/>
  <c r="Q1530" i="1"/>
  <c r="U1529" i="1"/>
  <c r="V1529" i="1" s="1"/>
  <c r="W1529" i="1" l="1"/>
  <c r="Q1531" i="1"/>
  <c r="U1530" i="1"/>
  <c r="V1530" i="1" s="1"/>
  <c r="W1530" i="1" l="1"/>
  <c r="Q1532" i="1"/>
  <c r="U1531" i="1"/>
  <c r="V1531" i="1" s="1"/>
  <c r="W1531" i="1" l="1"/>
  <c r="Q1533" i="1"/>
  <c r="U1532" i="1"/>
  <c r="V1532" i="1" s="1"/>
  <c r="W1532" i="1" l="1"/>
  <c r="Q1534" i="1"/>
  <c r="U1533" i="1"/>
  <c r="V1533" i="1" s="1"/>
  <c r="W1533" i="1" l="1"/>
  <c r="Q1535" i="1"/>
  <c r="U1534" i="1"/>
  <c r="V1534" i="1" s="1"/>
  <c r="W1534" i="1" l="1"/>
  <c r="Q1536" i="1"/>
  <c r="U1535" i="1"/>
  <c r="V1535" i="1" s="1"/>
  <c r="W1535" i="1" l="1"/>
  <c r="Q1537" i="1"/>
  <c r="U1536" i="1"/>
  <c r="V1536" i="1" s="1"/>
  <c r="W1536" i="1" l="1"/>
  <c r="Q1538" i="1"/>
  <c r="U1537" i="1"/>
  <c r="V1537" i="1" s="1"/>
  <c r="W1537" i="1" l="1"/>
  <c r="Q1539" i="1"/>
  <c r="U1538" i="1"/>
  <c r="V1538" i="1" s="1"/>
  <c r="W1538" i="1" l="1"/>
  <c r="Q1540" i="1"/>
  <c r="U1539" i="1"/>
  <c r="V1539" i="1" s="1"/>
  <c r="W1539" i="1" l="1"/>
  <c r="Q1541" i="1"/>
  <c r="U1540" i="1"/>
  <c r="V1540" i="1" s="1"/>
  <c r="W1540" i="1" l="1"/>
  <c r="Q1542" i="1"/>
  <c r="U1541" i="1"/>
  <c r="V1541" i="1" s="1"/>
  <c r="W1541" i="1" l="1"/>
  <c r="Q1543" i="1"/>
  <c r="U1542" i="1"/>
  <c r="V1542" i="1" s="1"/>
  <c r="W1542" i="1" l="1"/>
  <c r="Q1544" i="1"/>
  <c r="U1543" i="1"/>
  <c r="V1543" i="1" s="1"/>
  <c r="W1543" i="1" l="1"/>
  <c r="Q1545" i="1"/>
  <c r="U1544" i="1"/>
  <c r="V1544" i="1" s="1"/>
  <c r="W1544" i="1" l="1"/>
  <c r="Q1546" i="1"/>
  <c r="U1545" i="1"/>
  <c r="V1545" i="1" s="1"/>
  <c r="W1545" i="1" l="1"/>
  <c r="Q1547" i="1"/>
  <c r="U1546" i="1"/>
  <c r="V1546" i="1" s="1"/>
  <c r="W1546" i="1" l="1"/>
  <c r="Q1548" i="1"/>
  <c r="U1547" i="1"/>
  <c r="V1547" i="1" s="1"/>
  <c r="W1547" i="1" l="1"/>
  <c r="Q1549" i="1"/>
  <c r="U1548" i="1"/>
  <c r="V1548" i="1" s="1"/>
  <c r="W1548" i="1" l="1"/>
  <c r="Q1550" i="1"/>
  <c r="U1549" i="1"/>
  <c r="V1549" i="1" s="1"/>
  <c r="W1549" i="1" l="1"/>
  <c r="Q1551" i="1"/>
  <c r="U1550" i="1"/>
  <c r="V1550" i="1" s="1"/>
  <c r="W1550" i="1" l="1"/>
  <c r="Q1552" i="1"/>
  <c r="U1551" i="1"/>
  <c r="V1551" i="1" s="1"/>
  <c r="W1551" i="1" l="1"/>
  <c r="Q1553" i="1"/>
  <c r="U1552" i="1"/>
  <c r="V1552" i="1" s="1"/>
  <c r="W1552" i="1" l="1"/>
  <c r="Q1554" i="1"/>
  <c r="U1553" i="1"/>
  <c r="V1553" i="1" s="1"/>
  <c r="W1553" i="1" l="1"/>
  <c r="Q1555" i="1"/>
  <c r="U1554" i="1"/>
  <c r="V1554" i="1" s="1"/>
  <c r="W1554" i="1" l="1"/>
  <c r="Q1556" i="1"/>
  <c r="U1555" i="1"/>
  <c r="V1555" i="1" s="1"/>
  <c r="W1555" i="1" l="1"/>
  <c r="Q1557" i="1"/>
  <c r="U1556" i="1"/>
  <c r="V1556" i="1" s="1"/>
  <c r="W1556" i="1" l="1"/>
  <c r="Q1558" i="1"/>
  <c r="U1557" i="1"/>
  <c r="V1557" i="1" s="1"/>
  <c r="W1557" i="1" l="1"/>
  <c r="Q1559" i="1"/>
  <c r="U1558" i="1"/>
  <c r="V1558" i="1" s="1"/>
  <c r="W1558" i="1" l="1"/>
  <c r="Q1560" i="1"/>
  <c r="U1559" i="1"/>
  <c r="V1559" i="1" s="1"/>
  <c r="W1559" i="1" l="1"/>
  <c r="Q1561" i="1"/>
  <c r="U1560" i="1"/>
  <c r="V1560" i="1" s="1"/>
  <c r="W1560" i="1" l="1"/>
  <c r="Q1562" i="1"/>
  <c r="U1561" i="1"/>
  <c r="V1561" i="1" s="1"/>
  <c r="W1561" i="1" l="1"/>
  <c r="Q1563" i="1"/>
  <c r="U1562" i="1"/>
  <c r="V1562" i="1" s="1"/>
  <c r="W1562" i="1" l="1"/>
  <c r="Q1564" i="1"/>
  <c r="U1563" i="1"/>
  <c r="V1563" i="1" s="1"/>
  <c r="W1563" i="1" l="1"/>
  <c r="Q1565" i="1"/>
  <c r="U1564" i="1"/>
  <c r="V1564" i="1" s="1"/>
  <c r="W1564" i="1" l="1"/>
  <c r="Q1566" i="1"/>
  <c r="U1565" i="1"/>
  <c r="V1565" i="1" s="1"/>
  <c r="W1565" i="1" l="1"/>
  <c r="Q1567" i="1"/>
  <c r="U1566" i="1"/>
  <c r="V1566" i="1" s="1"/>
  <c r="W1566" i="1" l="1"/>
  <c r="Q1568" i="1"/>
  <c r="U1567" i="1"/>
  <c r="V1567" i="1" s="1"/>
  <c r="W1567" i="1" l="1"/>
  <c r="Q1569" i="1"/>
  <c r="U1568" i="1"/>
  <c r="V1568" i="1" s="1"/>
  <c r="W1568" i="1" l="1"/>
  <c r="Q1570" i="1"/>
  <c r="U1569" i="1"/>
  <c r="V1569" i="1" s="1"/>
  <c r="W1569" i="1" l="1"/>
  <c r="Q1571" i="1"/>
  <c r="U1570" i="1"/>
  <c r="V1570" i="1" s="1"/>
  <c r="W1570" i="1" l="1"/>
  <c r="Q1572" i="1"/>
  <c r="U1571" i="1"/>
  <c r="V1571" i="1" s="1"/>
  <c r="W1571" i="1" l="1"/>
  <c r="Q1573" i="1"/>
  <c r="U1572" i="1"/>
  <c r="V1572" i="1" s="1"/>
  <c r="W1572" i="1" l="1"/>
  <c r="Q1574" i="1"/>
  <c r="U1573" i="1"/>
  <c r="V1573" i="1" s="1"/>
  <c r="W1573" i="1" l="1"/>
  <c r="Q1575" i="1"/>
  <c r="U1574" i="1"/>
  <c r="V1574" i="1" s="1"/>
  <c r="W1574" i="1" l="1"/>
  <c r="Q1576" i="1"/>
  <c r="U1575" i="1"/>
  <c r="V1575" i="1" s="1"/>
  <c r="W1575" i="1" l="1"/>
  <c r="Q1577" i="1"/>
  <c r="U1576" i="1"/>
  <c r="V1576" i="1" s="1"/>
  <c r="W1576" i="1" l="1"/>
  <c r="Q1578" i="1"/>
  <c r="U1577" i="1"/>
  <c r="V1577" i="1" s="1"/>
  <c r="W1577" i="1" l="1"/>
  <c r="Q1579" i="1"/>
  <c r="U1578" i="1"/>
  <c r="V1578" i="1" s="1"/>
  <c r="W1578" i="1" l="1"/>
  <c r="Q1580" i="1"/>
  <c r="U1579" i="1"/>
  <c r="V1579" i="1" s="1"/>
  <c r="W1579" i="1" l="1"/>
  <c r="Q1581" i="1"/>
  <c r="U1580" i="1"/>
  <c r="V1580" i="1" s="1"/>
  <c r="W1580" i="1" l="1"/>
  <c r="Q1582" i="1"/>
  <c r="U1581" i="1"/>
  <c r="V1581" i="1" s="1"/>
  <c r="W1581" i="1" l="1"/>
  <c r="Q1583" i="1"/>
  <c r="U1582" i="1"/>
  <c r="V1582" i="1" s="1"/>
  <c r="W1582" i="1" l="1"/>
  <c r="Q1584" i="1"/>
  <c r="U1583" i="1"/>
  <c r="V1583" i="1" s="1"/>
  <c r="W1583" i="1" l="1"/>
  <c r="Q1585" i="1"/>
  <c r="U1584" i="1"/>
  <c r="V1584" i="1" s="1"/>
  <c r="W1584" i="1" l="1"/>
  <c r="Q1586" i="1"/>
  <c r="U1585" i="1"/>
  <c r="V1585" i="1" s="1"/>
  <c r="W1585" i="1" l="1"/>
  <c r="Q1587" i="1"/>
  <c r="U1586" i="1"/>
  <c r="V1586" i="1" s="1"/>
  <c r="W1586" i="1" l="1"/>
  <c r="Q1588" i="1"/>
  <c r="U1587" i="1"/>
  <c r="V1587" i="1" s="1"/>
  <c r="W1587" i="1" l="1"/>
  <c r="Q1589" i="1"/>
  <c r="U1588" i="1"/>
  <c r="V1588" i="1" s="1"/>
  <c r="W1588" i="1" l="1"/>
  <c r="Q1590" i="1"/>
  <c r="U1589" i="1"/>
  <c r="V1589" i="1" s="1"/>
  <c r="W1589" i="1" l="1"/>
  <c r="Q1591" i="1"/>
  <c r="U1590" i="1"/>
  <c r="V1590" i="1" s="1"/>
  <c r="W1590" i="1" l="1"/>
  <c r="Q1592" i="1"/>
  <c r="U1591" i="1"/>
  <c r="V1591" i="1" s="1"/>
  <c r="W1591" i="1" l="1"/>
  <c r="Q1593" i="1"/>
  <c r="U1592" i="1"/>
  <c r="V1592" i="1" s="1"/>
  <c r="W1592" i="1" l="1"/>
  <c r="Q1594" i="1"/>
  <c r="U1593" i="1"/>
  <c r="V1593" i="1" s="1"/>
  <c r="W1593" i="1" l="1"/>
  <c r="Q1595" i="1"/>
  <c r="U1594" i="1"/>
  <c r="V1594" i="1" s="1"/>
  <c r="W1594" i="1" l="1"/>
  <c r="Q1596" i="1"/>
  <c r="U1595" i="1"/>
  <c r="V1595" i="1" s="1"/>
  <c r="W1595" i="1" l="1"/>
  <c r="Q1597" i="1"/>
  <c r="U1596" i="1"/>
  <c r="V1596" i="1" s="1"/>
  <c r="W1596" i="1" l="1"/>
  <c r="Q1598" i="1"/>
  <c r="U1597" i="1"/>
  <c r="V1597" i="1" s="1"/>
  <c r="W1597" i="1" l="1"/>
  <c r="Q1599" i="1"/>
  <c r="U1598" i="1"/>
  <c r="V1598" i="1" s="1"/>
  <c r="W1598" i="1" l="1"/>
  <c r="Q1600" i="1"/>
  <c r="U1599" i="1"/>
  <c r="V1599" i="1" s="1"/>
  <c r="W1599" i="1" l="1"/>
  <c r="Q1601" i="1"/>
  <c r="U1600" i="1"/>
  <c r="V1600" i="1" s="1"/>
  <c r="W1600" i="1" l="1"/>
  <c r="Q1602" i="1"/>
  <c r="U1601" i="1"/>
  <c r="V1601" i="1" s="1"/>
  <c r="W1601" i="1" l="1"/>
  <c r="Q1603" i="1"/>
  <c r="U1602" i="1"/>
  <c r="V1602" i="1" s="1"/>
  <c r="W1602" i="1" l="1"/>
  <c r="Q1604" i="1"/>
  <c r="U1603" i="1"/>
  <c r="V1603" i="1" s="1"/>
  <c r="W1603" i="1" l="1"/>
  <c r="Q1605" i="1"/>
  <c r="U1604" i="1"/>
  <c r="V1604" i="1" s="1"/>
  <c r="W1604" i="1" l="1"/>
  <c r="Q1606" i="1"/>
  <c r="U1605" i="1"/>
  <c r="V1605" i="1" s="1"/>
  <c r="W1605" i="1" l="1"/>
  <c r="Q1607" i="1"/>
  <c r="U1606" i="1"/>
  <c r="V1606" i="1" s="1"/>
  <c r="W1606" i="1" l="1"/>
  <c r="Q1608" i="1"/>
  <c r="U1607" i="1"/>
  <c r="V1607" i="1" s="1"/>
  <c r="W1607" i="1" l="1"/>
  <c r="Q1609" i="1"/>
  <c r="U1608" i="1"/>
  <c r="V1608" i="1" s="1"/>
  <c r="W1608" i="1" l="1"/>
  <c r="Q1610" i="1"/>
  <c r="U1609" i="1"/>
  <c r="V1609" i="1" s="1"/>
  <c r="W1609" i="1" l="1"/>
  <c r="Q1611" i="1"/>
  <c r="U1610" i="1"/>
  <c r="V1610" i="1" s="1"/>
  <c r="W1610" i="1" l="1"/>
  <c r="Q1612" i="1"/>
  <c r="U1611" i="1"/>
  <c r="V1611" i="1" s="1"/>
  <c r="W1611" i="1" l="1"/>
  <c r="Q1613" i="1"/>
  <c r="U1612" i="1"/>
  <c r="V1612" i="1" s="1"/>
  <c r="W1612" i="1" l="1"/>
  <c r="Q1614" i="1"/>
  <c r="U1613" i="1"/>
  <c r="V1613" i="1" s="1"/>
  <c r="W1613" i="1" l="1"/>
  <c r="Q1615" i="1"/>
  <c r="U1614" i="1"/>
  <c r="V1614" i="1" s="1"/>
  <c r="W1614" i="1" l="1"/>
  <c r="Q1616" i="1"/>
  <c r="U1615" i="1"/>
  <c r="V1615" i="1" s="1"/>
  <c r="W1615" i="1" l="1"/>
  <c r="Q1617" i="1"/>
  <c r="U1616" i="1"/>
  <c r="V1616" i="1" s="1"/>
  <c r="W1616" i="1" l="1"/>
  <c r="Q1618" i="1"/>
  <c r="U1617" i="1"/>
  <c r="V1617" i="1" s="1"/>
  <c r="W1617" i="1" l="1"/>
  <c r="Q1619" i="1"/>
  <c r="U1618" i="1"/>
  <c r="V1618" i="1" s="1"/>
  <c r="W1618" i="1" l="1"/>
  <c r="Q1620" i="1"/>
  <c r="U1619" i="1"/>
  <c r="V1619" i="1" s="1"/>
  <c r="W1619" i="1" l="1"/>
  <c r="Q1621" i="1"/>
  <c r="U1620" i="1"/>
  <c r="V1620" i="1" s="1"/>
  <c r="W1620" i="1" l="1"/>
  <c r="Q1622" i="1"/>
  <c r="U1621" i="1"/>
  <c r="V1621" i="1" s="1"/>
  <c r="W1621" i="1" l="1"/>
  <c r="Q1623" i="1"/>
  <c r="U1622" i="1"/>
  <c r="V1622" i="1" s="1"/>
  <c r="W1622" i="1" l="1"/>
  <c r="Q1624" i="1"/>
  <c r="U1623" i="1"/>
  <c r="V1623" i="1" s="1"/>
  <c r="W1623" i="1" l="1"/>
  <c r="Q1625" i="1"/>
  <c r="U1624" i="1"/>
  <c r="V1624" i="1" s="1"/>
  <c r="W1624" i="1" l="1"/>
  <c r="Q1626" i="1"/>
  <c r="U1625" i="1"/>
  <c r="V1625" i="1" s="1"/>
  <c r="W1625" i="1" l="1"/>
  <c r="Q1627" i="1"/>
  <c r="U1626" i="1"/>
  <c r="V1626" i="1" s="1"/>
  <c r="W1626" i="1" l="1"/>
  <c r="Q1628" i="1"/>
  <c r="U1627" i="1"/>
  <c r="V1627" i="1" s="1"/>
  <c r="W1627" i="1" l="1"/>
  <c r="Q1629" i="1"/>
  <c r="U1628" i="1"/>
  <c r="V1628" i="1" s="1"/>
  <c r="W1628" i="1" l="1"/>
  <c r="Q1630" i="1"/>
  <c r="U1629" i="1"/>
  <c r="V1629" i="1" s="1"/>
  <c r="W1629" i="1" l="1"/>
  <c r="Q1631" i="1"/>
  <c r="U1630" i="1"/>
  <c r="V1630" i="1" s="1"/>
  <c r="W1630" i="1" l="1"/>
  <c r="Q1632" i="1"/>
  <c r="U1631" i="1"/>
  <c r="V1631" i="1" s="1"/>
  <c r="W1631" i="1" l="1"/>
  <c r="Q1633" i="1"/>
  <c r="U1632" i="1"/>
  <c r="V1632" i="1" s="1"/>
  <c r="W1632" i="1" l="1"/>
  <c r="Q1634" i="1"/>
  <c r="U1633" i="1"/>
  <c r="V1633" i="1" s="1"/>
  <c r="W1633" i="1" l="1"/>
  <c r="Q1635" i="1"/>
  <c r="U1634" i="1"/>
  <c r="V1634" i="1" s="1"/>
  <c r="W1634" i="1" l="1"/>
  <c r="Q1636" i="1"/>
  <c r="U1635" i="1"/>
  <c r="V1635" i="1" s="1"/>
  <c r="W1635" i="1" l="1"/>
  <c r="Q1637" i="1"/>
  <c r="U1636" i="1"/>
  <c r="V1636" i="1" s="1"/>
  <c r="W1636" i="1" l="1"/>
  <c r="Q1638" i="1"/>
  <c r="U1637" i="1"/>
  <c r="V1637" i="1" s="1"/>
  <c r="W1637" i="1" l="1"/>
  <c r="Q1639" i="1"/>
  <c r="U1638" i="1"/>
  <c r="V1638" i="1" s="1"/>
  <c r="W1638" i="1" l="1"/>
  <c r="Q1640" i="1"/>
  <c r="U1639" i="1"/>
  <c r="V1639" i="1" s="1"/>
  <c r="W1639" i="1" l="1"/>
  <c r="Q1641" i="1"/>
  <c r="U1640" i="1"/>
  <c r="V1640" i="1" s="1"/>
  <c r="W1640" i="1" l="1"/>
  <c r="Q1642" i="1"/>
  <c r="U1641" i="1"/>
  <c r="V1641" i="1" s="1"/>
  <c r="W1641" i="1" l="1"/>
  <c r="Q1643" i="1"/>
  <c r="U1642" i="1"/>
  <c r="V1642" i="1" s="1"/>
  <c r="W1642" i="1" l="1"/>
  <c r="Q1644" i="1"/>
  <c r="U1643" i="1"/>
  <c r="V1643" i="1" s="1"/>
  <c r="W1643" i="1" l="1"/>
  <c r="Q1645" i="1"/>
  <c r="U1644" i="1"/>
  <c r="V1644" i="1" s="1"/>
  <c r="W1644" i="1" l="1"/>
  <c r="Q1646" i="1"/>
  <c r="U1645" i="1"/>
  <c r="V1645" i="1" s="1"/>
  <c r="W1645" i="1" l="1"/>
  <c r="Q1647" i="1"/>
  <c r="U1646" i="1"/>
  <c r="V1646" i="1" s="1"/>
  <c r="W1646" i="1" l="1"/>
  <c r="Q1648" i="1"/>
  <c r="U1647" i="1"/>
  <c r="V1647" i="1" s="1"/>
  <c r="W1647" i="1" l="1"/>
  <c r="Q1649" i="1"/>
  <c r="U1648" i="1"/>
  <c r="V1648" i="1" s="1"/>
  <c r="W1648" i="1" l="1"/>
  <c r="Q1650" i="1"/>
  <c r="U1649" i="1"/>
  <c r="V1649" i="1" s="1"/>
  <c r="W1649" i="1" l="1"/>
  <c r="Q1651" i="1"/>
  <c r="U1650" i="1"/>
  <c r="V1650" i="1" s="1"/>
  <c r="W1650" i="1" l="1"/>
  <c r="Q1652" i="1"/>
  <c r="U1651" i="1"/>
  <c r="V1651" i="1" s="1"/>
  <c r="W1651" i="1" l="1"/>
  <c r="Q1653" i="1"/>
  <c r="U1652" i="1"/>
  <c r="V1652" i="1" s="1"/>
  <c r="W1652" i="1" l="1"/>
  <c r="Q1654" i="1"/>
  <c r="U1653" i="1"/>
  <c r="V1653" i="1" s="1"/>
  <c r="W1653" i="1" l="1"/>
  <c r="Q1655" i="1"/>
  <c r="U1654" i="1"/>
  <c r="V1654" i="1" s="1"/>
  <c r="W1654" i="1" l="1"/>
  <c r="Q1656" i="1"/>
  <c r="U1655" i="1"/>
  <c r="V1655" i="1" s="1"/>
  <c r="W1655" i="1" l="1"/>
  <c r="Q1657" i="1"/>
  <c r="U1656" i="1"/>
  <c r="V1656" i="1" s="1"/>
  <c r="W1656" i="1" l="1"/>
  <c r="Q1658" i="1"/>
  <c r="U1657" i="1"/>
  <c r="V1657" i="1" s="1"/>
  <c r="W1657" i="1" l="1"/>
  <c r="Q1659" i="1"/>
  <c r="U1658" i="1"/>
  <c r="V1658" i="1" s="1"/>
  <c r="W1658" i="1" l="1"/>
  <c r="Q1660" i="1"/>
  <c r="U1659" i="1"/>
  <c r="V1659" i="1" s="1"/>
  <c r="W1659" i="1" l="1"/>
  <c r="Q1661" i="1"/>
  <c r="U1660" i="1"/>
  <c r="V1660" i="1" s="1"/>
  <c r="W1660" i="1" l="1"/>
  <c r="Q1662" i="1"/>
  <c r="U1661" i="1"/>
  <c r="V1661" i="1" s="1"/>
  <c r="W1661" i="1" l="1"/>
  <c r="U1662" i="1"/>
  <c r="V1662" i="1" s="1"/>
  <c r="W1662" i="1" l="1"/>
  <c r="S9" i="1" s="1"/>
  <c r="T9" i="1" s="1"/>
  <c r="T6" i="1" s="1"/>
</calcChain>
</file>

<file path=xl/comments1.xml><?xml version="1.0" encoding="utf-8"?>
<comments xmlns="http://schemas.openxmlformats.org/spreadsheetml/2006/main">
  <authors>
    <author>user</author>
  </authors>
  <commentList>
    <comment ref="Z3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黃金交叉:
前一天短均線&lt;長均線 and
今天短均線&gt;長均線
死亡交叉:
前一天短均線&gt;長均線 and
今天短均線&lt;長均線</t>
        </r>
      </text>
    </comment>
  </commentList>
</comments>
</file>

<file path=xl/sharedStrings.xml><?xml version="1.0" encoding="utf-8"?>
<sst xmlns="http://schemas.openxmlformats.org/spreadsheetml/2006/main" count="1707" uniqueCount="129">
  <si>
    <t>價量資料區</t>
    <phoneticPr fontId="18" type="noConversion"/>
  </si>
  <si>
    <t>MA指標分析</t>
    <phoneticPr fontId="18" type="noConversion"/>
  </si>
  <si>
    <t>短均線</t>
    <phoneticPr fontId="18" type="noConversion"/>
  </si>
  <si>
    <t>長均線</t>
    <phoneticPr fontId="18" type="noConversion"/>
  </si>
  <si>
    <t>買賣</t>
    <phoneticPr fontId="18" type="noConversion"/>
  </si>
  <si>
    <t>短期天數</t>
    <phoneticPr fontId="18" type="noConversion"/>
  </si>
  <si>
    <t>長期天數</t>
    <phoneticPr fontId="18" type="noConversion"/>
  </si>
  <si>
    <t>交易決策與損益計算區</t>
    <phoneticPr fontId="18" type="noConversion"/>
  </si>
  <si>
    <t>隔K價差</t>
    <phoneticPr fontId="18" type="noConversion"/>
  </si>
  <si>
    <t>當K價差</t>
    <phoneticPr fontId="18" type="noConversion"/>
  </si>
  <si>
    <t>買賣判斷</t>
    <phoneticPr fontId="18" type="noConversion"/>
  </si>
  <si>
    <t>部位</t>
    <phoneticPr fontId="18" type="noConversion"/>
  </si>
  <si>
    <t>當期損益</t>
    <phoneticPr fontId="18" type="noConversion"/>
  </si>
  <si>
    <t>-</t>
    <phoneticPr fontId="18" type="noConversion"/>
  </si>
  <si>
    <t>投資績效</t>
    <phoneticPr fontId="18" type="noConversion"/>
  </si>
  <si>
    <t>日期</t>
  </si>
  <si>
    <t>開盤價</t>
  </si>
  <si>
    <t>最高價</t>
  </si>
  <si>
    <t>最低價</t>
  </si>
  <si>
    <t>收盤價</t>
  </si>
  <si>
    <t>成交張數(量)</t>
  </si>
  <si>
    <t>無風險利率</t>
  </si>
  <si>
    <t>到期日</t>
    <phoneticPr fontId="18" type="noConversion"/>
  </si>
  <si>
    <t>TX201401</t>
  </si>
  <si>
    <t>TX201402</t>
  </si>
  <si>
    <t>TX201403</t>
  </si>
  <si>
    <t>TX201404</t>
  </si>
  <si>
    <t>TX201405</t>
  </si>
  <si>
    <t>TX201406</t>
  </si>
  <si>
    <t>TX201407</t>
  </si>
  <si>
    <t>TX201408</t>
  </si>
  <si>
    <t>TX201409</t>
  </si>
  <si>
    <t>TX201410</t>
  </si>
  <si>
    <t>TX201411</t>
  </si>
  <si>
    <t>TX201412</t>
  </si>
  <si>
    <t>TX201501</t>
  </si>
  <si>
    <t>TX201502</t>
  </si>
  <si>
    <t>TX201503</t>
  </si>
  <si>
    <t>TX201504</t>
  </si>
  <si>
    <t>TX201505</t>
  </si>
  <si>
    <t>TX201506</t>
  </si>
  <si>
    <t>TX201507</t>
  </si>
  <si>
    <t>TX201508</t>
  </si>
  <si>
    <t>TX201509</t>
  </si>
  <si>
    <t>TX201510</t>
  </si>
  <si>
    <t>TX201511</t>
  </si>
  <si>
    <t>TX201512</t>
  </si>
  <si>
    <t>TX201601</t>
  </si>
  <si>
    <t>TX201602</t>
  </si>
  <si>
    <t>TX201603</t>
  </si>
  <si>
    <t>TX201604</t>
  </si>
  <si>
    <t>TX201605</t>
  </si>
  <si>
    <t>TX201606</t>
  </si>
  <si>
    <t>TX201607</t>
  </si>
  <si>
    <t>TX201608</t>
  </si>
  <si>
    <t>TX201609</t>
  </si>
  <si>
    <t>TX201610</t>
  </si>
  <si>
    <t>TX201611</t>
  </si>
  <si>
    <t>TX201612</t>
  </si>
  <si>
    <t>TX201701</t>
  </si>
  <si>
    <t>TX201702</t>
  </si>
  <si>
    <t>TX201703</t>
  </si>
  <si>
    <t>TX201704</t>
  </si>
  <si>
    <t>TX201705</t>
  </si>
  <si>
    <t>TX201706</t>
  </si>
  <si>
    <t>TX201707</t>
  </si>
  <si>
    <t>TX201708</t>
  </si>
  <si>
    <t>TX201709</t>
  </si>
  <si>
    <t>TX201710</t>
  </si>
  <si>
    <t>TX201711</t>
  </si>
  <si>
    <t>TX201712</t>
  </si>
  <si>
    <t>TX201801</t>
  </si>
  <si>
    <t>TX201802</t>
  </si>
  <si>
    <t>TX201803</t>
  </si>
  <si>
    <t>TX201804</t>
  </si>
  <si>
    <t>TX201805</t>
  </si>
  <si>
    <t>TX201806</t>
  </si>
  <si>
    <t>TX201807</t>
  </si>
  <si>
    <t>TX201808</t>
  </si>
  <si>
    <t>TX201809</t>
  </si>
  <si>
    <t>TX201810</t>
  </si>
  <si>
    <t>TX201811</t>
  </si>
  <si>
    <t>TX201812</t>
  </si>
  <si>
    <t>TX201901</t>
  </si>
  <si>
    <t>TX201902</t>
  </si>
  <si>
    <t>TX201903</t>
  </si>
  <si>
    <t>TX201904</t>
  </si>
  <si>
    <t>TX201905</t>
  </si>
  <si>
    <t>TX201906</t>
  </si>
  <si>
    <t>TX201907</t>
  </si>
  <si>
    <t>TX201908</t>
  </si>
  <si>
    <t>TX201909</t>
  </si>
  <si>
    <t>TX201910</t>
  </si>
  <si>
    <t>TX201911</t>
  </si>
  <si>
    <t>TX201912</t>
  </si>
  <si>
    <t>TX202001</t>
  </si>
  <si>
    <t>TX202002</t>
  </si>
  <si>
    <t>TX202003</t>
  </si>
  <si>
    <t>TX202004</t>
  </si>
  <si>
    <t>TX202005</t>
  </si>
  <si>
    <t>TX202006</t>
  </si>
  <si>
    <t>TX202007</t>
  </si>
  <si>
    <t>TX202008</t>
  </si>
  <si>
    <t>TX202009</t>
  </si>
  <si>
    <t>TX202010</t>
  </si>
  <si>
    <t>代號</t>
    <phoneticPr fontId="18" type="noConversion"/>
  </si>
  <si>
    <t>部位上限</t>
    <phoneticPr fontId="18" type="noConversion"/>
  </si>
  <si>
    <t>部位下限</t>
    <phoneticPr fontId="18" type="noConversion"/>
  </si>
  <si>
    <t>單點價值</t>
    <phoneticPr fontId="18" type="noConversion"/>
  </si>
  <si>
    <t>交易成本</t>
    <phoneticPr fontId="18" type="noConversion"/>
  </si>
  <si>
    <t>持有成本</t>
    <phoneticPr fontId="18" type="noConversion"/>
  </si>
  <si>
    <t>年報酬</t>
    <phoneticPr fontId="18" type="noConversion"/>
  </si>
  <si>
    <t>年平均報酬</t>
    <phoneticPr fontId="18" type="noConversion"/>
  </si>
  <si>
    <t>日報酬</t>
    <phoneticPr fontId="18" type="noConversion"/>
  </si>
  <si>
    <t>夏普值</t>
    <phoneticPr fontId="18" type="noConversion"/>
  </si>
  <si>
    <t>年化夏普值</t>
    <phoneticPr fontId="18" type="noConversion"/>
  </si>
  <si>
    <t>累積損益</t>
    <phoneticPr fontId="18" type="noConversion"/>
  </si>
  <si>
    <t>高水位</t>
    <phoneticPr fontId="18" type="noConversion"/>
  </si>
  <si>
    <t>Drawdown</t>
    <phoneticPr fontId="18" type="noConversion"/>
  </si>
  <si>
    <t>MOD</t>
    <phoneticPr fontId="18" type="noConversion"/>
  </si>
  <si>
    <t>年化MOD</t>
    <phoneticPr fontId="18" type="noConversion"/>
  </si>
  <si>
    <t>績效分數</t>
    <phoneticPr fontId="18" type="noConversion"/>
  </si>
  <si>
    <t>最佳化區</t>
    <phoneticPr fontId="24" type="noConversion"/>
  </si>
  <si>
    <t>參數範圍</t>
    <phoneticPr fontId="24" type="noConversion"/>
  </si>
  <si>
    <t>最佳績效</t>
  </si>
  <si>
    <t>短期天數範圍</t>
    <phoneticPr fontId="24" type="noConversion"/>
  </si>
  <si>
    <t>最佳短期</t>
  </si>
  <si>
    <t>最佳長期</t>
  </si>
  <si>
    <t>長期天數範圍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</si>
</sst>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name val="新細明體"/>
      <family val="1"/>
      <charset val="136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34" borderId="0" xfId="0" applyFill="1">
      <alignment vertical="center"/>
    </xf>
    <xf numFmtId="0" fontId="0" fillId="35" borderId="0" xfId="0" applyFill="1" applyAlignment="1">
      <alignment horizontal="center" vertical="center"/>
    </xf>
    <xf numFmtId="0" fontId="0" fillId="35" borderId="0" xfId="0" applyFill="1">
      <alignment vertical="center"/>
    </xf>
    <xf numFmtId="14" fontId="0" fillId="35" borderId="0" xfId="0" applyNumberFormat="1" applyFill="1">
      <alignment vertical="center"/>
    </xf>
    <xf numFmtId="14" fontId="0" fillId="35" borderId="0" xfId="0" applyNumberFormat="1" applyFill="1" applyAlignment="1">
      <alignment horizontal="center" vertical="center"/>
    </xf>
    <xf numFmtId="0" fontId="19" fillId="34" borderId="0" xfId="0" applyFont="1" applyFill="1">
      <alignment vertical="center"/>
    </xf>
    <xf numFmtId="0" fontId="19" fillId="34" borderId="0" xfId="0" applyFont="1" applyFill="1" applyBorder="1">
      <alignment vertical="center"/>
    </xf>
    <xf numFmtId="0" fontId="19" fillId="34" borderId="11" xfId="0" applyFont="1" applyFill="1" applyBorder="1">
      <alignment vertical="center"/>
    </xf>
    <xf numFmtId="0" fontId="19" fillId="34" borderId="10" xfId="0" applyFont="1" applyFill="1" applyBorder="1">
      <alignment vertical="center"/>
    </xf>
    <xf numFmtId="0" fontId="0" fillId="33" borderId="0" xfId="0" applyFill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36" borderId="16" xfId="0" applyFill="1" applyBorder="1" applyAlignment="1">
      <alignment horizontal="center" vertical="center"/>
    </xf>
    <xf numFmtId="0" fontId="0" fillId="36" borderId="18" xfId="0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37" borderId="19" xfId="0" applyFill="1" applyBorder="1" applyAlignment="1">
      <alignment horizontal="center" vertical="center"/>
    </xf>
    <xf numFmtId="0" fontId="0" fillId="36" borderId="20" xfId="0" applyFill="1" applyBorder="1" applyAlignment="1">
      <alignment horizontal="center" vertical="center"/>
    </xf>
    <xf numFmtId="0" fontId="0" fillId="36" borderId="21" xfId="0" applyFill="1" applyBorder="1" applyAlignment="1">
      <alignment horizontal="center" vertical="center"/>
    </xf>
    <xf numFmtId="0" fontId="0" fillId="36" borderId="0" xfId="0" applyFill="1" applyBorder="1" applyAlignment="1">
      <alignment horizontal="center" vertical="center"/>
    </xf>
    <xf numFmtId="0" fontId="0" fillId="36" borderId="0" xfId="0" applyFill="1" applyBorder="1">
      <alignment vertical="center"/>
    </xf>
    <xf numFmtId="0" fontId="0" fillId="37" borderId="20" xfId="0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6" borderId="0" xfId="0" applyFill="1">
      <alignment vertical="center"/>
    </xf>
    <xf numFmtId="0" fontId="0" fillId="36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6" borderId="0" xfId="0" applyFill="1" applyBorder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36" borderId="17" xfId="0" applyFill="1" applyBorder="1" applyAlignment="1">
      <alignment horizontal="center" vertical="center"/>
    </xf>
    <xf numFmtId="0" fontId="0" fillId="36" borderId="18" xfId="0" applyFill="1" applyBorder="1" applyAlignment="1">
      <alignment horizontal="center" vertical="center"/>
    </xf>
    <xf numFmtId="0" fontId="0" fillId="36" borderId="19" xfId="0" applyFill="1" applyBorder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/>
    </xf>
    <xf numFmtId="0" fontId="19" fillId="34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colors>
    <mruColors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19050</xdr:colOff>
      <xdr:row>77</xdr:row>
      <xdr:rowOff>76200</xdr:rowOff>
    </xdr:from>
    <xdr:to>
      <xdr:col>30</xdr:col>
      <xdr:colOff>523876</xdr:colOff>
      <xdr:row>86</xdr:row>
      <xdr:rowOff>142874</xdr:rowOff>
    </xdr:to>
    <xdr:sp macro="" textlink="">
      <xdr:nvSpPr>
        <xdr:cNvPr id="2" name="文字方塊 1"/>
        <xdr:cNvSpPr txBox="1"/>
      </xdr:nvSpPr>
      <xdr:spPr>
        <a:xfrm>
          <a:off x="12801600" y="6153150"/>
          <a:ext cx="5305426" cy="19526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800">
              <a:latin typeface="微軟正黑體" panose="020B0604030504040204" pitchFamily="34" charset="-120"/>
              <a:ea typeface="微軟正黑體" panose="020B0604030504040204" pitchFamily="34" charset="-120"/>
            </a:rPr>
            <a:t>單位持有成本計算方式</a:t>
          </a:r>
          <a:r>
            <a:rPr lang="en-US" altLang="zh-TW" sz="1800">
              <a:latin typeface="微軟正黑體" panose="020B0604030504040204" pitchFamily="34" charset="-120"/>
              <a:ea typeface="微軟正黑體" panose="020B0604030504040204" pitchFamily="34" charset="-120"/>
            </a:rPr>
            <a:t>:</a:t>
          </a:r>
        </a:p>
        <a:p>
          <a:r>
            <a:rPr lang="en-US" altLang="zh-TW" sz="1600">
              <a:latin typeface="微軟正黑體" panose="020B0604030504040204" pitchFamily="34" charset="-120"/>
              <a:ea typeface="微軟正黑體" panose="020B0604030504040204" pitchFamily="34" charset="-120"/>
            </a:rPr>
            <a:t>1.</a:t>
          </a:r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 若沒有持有部位，則持有成本為</a:t>
          </a:r>
          <a:r>
            <a:rPr lang="en-US" altLang="zh-TW" sz="1600">
              <a:latin typeface="微軟正黑體" panose="020B0604030504040204" pitchFamily="34" charset="-120"/>
              <a:ea typeface="微軟正黑體" panose="020B0604030504040204" pitchFamily="34" charset="-120"/>
            </a:rPr>
            <a:t>0</a:t>
          </a:r>
        </a:p>
        <a:p>
          <a:r>
            <a:rPr lang="en-US" altLang="zh-TW" sz="1600">
              <a:latin typeface="微軟正黑體" panose="020B0604030504040204" pitchFamily="34" charset="-120"/>
              <a:ea typeface="微軟正黑體" panose="020B0604030504040204" pitchFamily="34" charset="-120"/>
            </a:rPr>
            <a:t>2.</a:t>
          </a:r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 若持有部位沒有變化，則持有成本</a:t>
          </a:r>
          <a:r>
            <a:rPr lang="en-US" altLang="zh-TW" sz="1600">
              <a:latin typeface="微軟正黑體" panose="020B0604030504040204" pitchFamily="34" charset="-120"/>
              <a:ea typeface="微軟正黑體" panose="020B0604030504040204" pitchFamily="34" charset="-120"/>
            </a:rPr>
            <a:t>0</a:t>
          </a:r>
        </a:p>
        <a:p>
          <a:r>
            <a:rPr lang="en-US" altLang="zh-TW" sz="1600">
              <a:latin typeface="微軟正黑體" panose="020B0604030504040204" pitchFamily="34" charset="-120"/>
              <a:ea typeface="微軟正黑體" panose="020B0604030504040204" pitchFamily="34" charset="-120"/>
            </a:rPr>
            <a:t>3.</a:t>
          </a:r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 若持有部位增加，則持有成本為</a:t>
          </a:r>
          <a:endParaRPr lang="en-US" altLang="zh-TW" sz="16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     </a:t>
          </a:r>
          <a:r>
            <a:rPr lang="en-US" altLang="zh-TW" sz="1600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當天開盤價*增加部位</a:t>
          </a:r>
          <a:r>
            <a:rPr lang="en-US" altLang="zh-TW" sz="1600">
              <a:latin typeface="微軟正黑體" panose="020B0604030504040204" pitchFamily="34" charset="-120"/>
              <a:ea typeface="微軟正黑體" panose="020B0604030504040204" pitchFamily="34" charset="-120"/>
            </a:rPr>
            <a:t>+</a:t>
          </a:r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單位持有成本*先前部位</a:t>
          </a:r>
          <a:r>
            <a:rPr lang="en-US" altLang="zh-TW" sz="1600">
              <a:latin typeface="微軟正黑體" panose="020B0604030504040204" pitchFamily="34" charset="-120"/>
              <a:ea typeface="微軟正黑體" panose="020B0604030504040204" pitchFamily="34" charset="-120"/>
            </a:rPr>
            <a:t>)/</a:t>
          </a:r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所有部位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</xdr:colOff>
          <xdr:row>5</xdr:row>
          <xdr:rowOff>76200</xdr:rowOff>
        </xdr:from>
        <xdr:to>
          <xdr:col>27</xdr:col>
          <xdr:colOff>647700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D1774"/>
  <sheetViews>
    <sheetView tabSelected="1" topLeftCell="B183" workbookViewId="0">
      <selection activeCell="N61" sqref="N61:N1662"/>
    </sheetView>
  </sheetViews>
  <sheetFormatPr defaultRowHeight="16.5"/>
  <cols>
    <col min="1" max="1" width="12.75" style="2" customWidth="1"/>
    <col min="2" max="9" width="10.5" style="2" customWidth="1"/>
    <col min="10" max="15" width="9" style="10"/>
    <col min="16" max="16" width="15.25" style="10" customWidth="1"/>
    <col min="17" max="17" width="15.25" style="12" customWidth="1"/>
    <col min="18" max="18" width="12.5" style="10" customWidth="1"/>
    <col min="19" max="20" width="10.75" style="10" customWidth="1"/>
    <col min="21" max="21" width="12.875" style="12" customWidth="1"/>
    <col min="22" max="23" width="10.75" style="12" customWidth="1"/>
    <col min="24" max="26" width="9" style="6"/>
    <col min="27" max="27" width="12.875" style="27" customWidth="1"/>
    <col min="28" max="28" width="9" style="27" customWidth="1"/>
    <col min="29" max="30" width="9" style="27"/>
  </cols>
  <sheetData>
    <row r="1" spans="1:30">
      <c r="A1" s="44" t="s">
        <v>0</v>
      </c>
      <c r="B1" s="44"/>
      <c r="C1" s="44"/>
      <c r="D1" s="44"/>
      <c r="E1" s="44"/>
      <c r="F1" s="44"/>
      <c r="G1" s="44"/>
      <c r="H1" s="44"/>
      <c r="J1" s="43" t="s">
        <v>7</v>
      </c>
      <c r="K1" s="43"/>
      <c r="L1" s="43"/>
      <c r="M1" s="43"/>
      <c r="N1" s="43"/>
      <c r="O1" s="43"/>
      <c r="P1" s="43"/>
      <c r="Q1" s="43"/>
      <c r="R1" s="43"/>
      <c r="S1" s="43"/>
      <c r="X1" s="42" t="s">
        <v>1</v>
      </c>
      <c r="Y1" s="42"/>
      <c r="Z1" s="42"/>
      <c r="AA1" s="33" t="s">
        <v>122</v>
      </c>
      <c r="AB1" s="33"/>
      <c r="AC1" s="33"/>
      <c r="AD1" s="33"/>
    </row>
    <row r="2" spans="1:30" ht="17.25" thickBot="1">
      <c r="A2" s="2" t="s">
        <v>105</v>
      </c>
      <c r="B2" s="2" t="s">
        <v>15</v>
      </c>
      <c r="C2" s="2" t="s">
        <v>16</v>
      </c>
      <c r="D2" s="2" t="s">
        <v>17</v>
      </c>
      <c r="E2" s="2" t="s">
        <v>18</v>
      </c>
      <c r="F2" s="2" t="s">
        <v>19</v>
      </c>
      <c r="G2" s="2" t="s">
        <v>20</v>
      </c>
      <c r="H2" s="2" t="s">
        <v>21</v>
      </c>
      <c r="I2" s="2" t="s">
        <v>22</v>
      </c>
      <c r="J2" s="10" t="s">
        <v>8</v>
      </c>
      <c r="K2" s="10" t="s">
        <v>9</v>
      </c>
      <c r="L2" s="10" t="s">
        <v>10</v>
      </c>
      <c r="M2" s="10" t="s">
        <v>11</v>
      </c>
      <c r="N2" s="10" t="s">
        <v>110</v>
      </c>
      <c r="P2" s="10" t="s">
        <v>12</v>
      </c>
      <c r="Q2" s="12" t="s">
        <v>116</v>
      </c>
      <c r="R2" s="10" t="s">
        <v>113</v>
      </c>
      <c r="S2" s="10" t="s">
        <v>111</v>
      </c>
      <c r="T2" s="10" t="s">
        <v>114</v>
      </c>
      <c r="U2" s="12" t="s">
        <v>117</v>
      </c>
      <c r="V2" s="12" t="s">
        <v>118</v>
      </c>
      <c r="W2" s="12" t="s">
        <v>119</v>
      </c>
      <c r="X2" s="6" t="s">
        <v>2</v>
      </c>
      <c r="Y2" s="6" t="s">
        <v>3</v>
      </c>
      <c r="Z2" s="6" t="s">
        <v>4</v>
      </c>
      <c r="AA2" s="33"/>
      <c r="AB2" s="33"/>
      <c r="AC2" s="34" t="s">
        <v>123</v>
      </c>
      <c r="AD2" s="34"/>
    </row>
    <row r="3" spans="1:30">
      <c r="A3" s="3" t="s">
        <v>23</v>
      </c>
      <c r="B3" s="4">
        <v>41641</v>
      </c>
      <c r="C3" s="3">
        <v>8644</v>
      </c>
      <c r="D3" s="3">
        <v>8649</v>
      </c>
      <c r="E3" s="3">
        <v>8585</v>
      </c>
      <c r="F3" s="3">
        <v>8618</v>
      </c>
      <c r="G3" s="3">
        <v>70152</v>
      </c>
      <c r="H3" s="3">
        <v>1.355</v>
      </c>
      <c r="I3" s="2">
        <f>IF(A3=A4,0,1)</f>
        <v>0</v>
      </c>
      <c r="J3" s="10" t="s">
        <v>13</v>
      </c>
      <c r="K3" s="10">
        <f>F3-C3</f>
        <v>-26</v>
      </c>
      <c r="X3" s="7"/>
      <c r="Y3" s="7"/>
      <c r="Z3" s="7"/>
      <c r="AA3" s="15" t="s">
        <v>124</v>
      </c>
      <c r="AB3" s="16">
        <v>10</v>
      </c>
      <c r="AC3" s="35" t="s">
        <v>125</v>
      </c>
      <c r="AD3" s="36"/>
    </row>
    <row r="4" spans="1:30">
      <c r="A4" s="3" t="s">
        <v>23</v>
      </c>
      <c r="B4" s="4">
        <v>41642</v>
      </c>
      <c r="C4" s="3">
        <v>8595</v>
      </c>
      <c r="D4" s="3">
        <v>8597</v>
      </c>
      <c r="E4" s="3">
        <v>8530</v>
      </c>
      <c r="F4" s="3">
        <v>8541</v>
      </c>
      <c r="G4" s="3">
        <v>82686</v>
      </c>
      <c r="H4" s="3">
        <v>1.355</v>
      </c>
      <c r="I4" s="2">
        <f t="shared" ref="I4:I67" si="0">IF(A4=A5,0,1)</f>
        <v>0</v>
      </c>
      <c r="J4" s="10">
        <f>C4-F3</f>
        <v>-23</v>
      </c>
      <c r="K4" s="10">
        <f t="shared" ref="K4:K67" si="1">F4-C4</f>
        <v>-54</v>
      </c>
      <c r="M4" s="11" t="s">
        <v>106</v>
      </c>
      <c r="N4" s="13"/>
      <c r="O4" s="13"/>
      <c r="R4" s="39" t="s">
        <v>14</v>
      </c>
      <c r="S4" s="40"/>
      <c r="T4" s="41"/>
      <c r="U4" s="39"/>
      <c r="V4" s="40"/>
      <c r="W4" s="41"/>
      <c r="X4" s="8" t="s">
        <v>5</v>
      </c>
      <c r="Y4" s="9" t="s">
        <v>6</v>
      </c>
      <c r="Z4" s="7"/>
      <c r="AA4" s="17" t="s">
        <v>126</v>
      </c>
      <c r="AB4" s="18">
        <v>5</v>
      </c>
      <c r="AC4" s="19">
        <v>5</v>
      </c>
      <c r="AD4" s="20">
        <v>20</v>
      </c>
    </row>
    <row r="5" spans="1:30" ht="17.25" thickBot="1">
      <c r="A5" s="3" t="s">
        <v>23</v>
      </c>
      <c r="B5" s="4">
        <v>41645</v>
      </c>
      <c r="C5" s="3">
        <v>8539</v>
      </c>
      <c r="D5" s="3">
        <v>8561</v>
      </c>
      <c r="E5" s="3">
        <v>8503</v>
      </c>
      <c r="F5" s="3">
        <v>8528</v>
      </c>
      <c r="G5" s="3">
        <v>81494</v>
      </c>
      <c r="H5" s="3">
        <v>1.355</v>
      </c>
      <c r="I5" s="2">
        <f t="shared" si="0"/>
        <v>0</v>
      </c>
      <c r="J5" s="10">
        <f t="shared" ref="J5:J68" si="2">C5-F4</f>
        <v>-2</v>
      </c>
      <c r="K5" s="10">
        <f t="shared" si="1"/>
        <v>-11</v>
      </c>
      <c r="M5" s="11">
        <v>2</v>
      </c>
      <c r="N5" s="13"/>
      <c r="O5" s="13"/>
      <c r="R5" s="11" t="s">
        <v>108</v>
      </c>
      <c r="S5" s="11">
        <v>200</v>
      </c>
      <c r="T5" s="11" t="s">
        <v>121</v>
      </c>
      <c r="U5" s="11"/>
      <c r="V5" s="11"/>
      <c r="W5" s="11"/>
      <c r="X5" s="8">
        <v>5</v>
      </c>
      <c r="Y5" s="9">
        <v>10</v>
      </c>
      <c r="Z5" s="7"/>
      <c r="AA5" s="21" t="s">
        <v>127</v>
      </c>
      <c r="AB5" s="22">
        <v>10</v>
      </c>
      <c r="AC5" s="37" t="s">
        <v>128</v>
      </c>
      <c r="AD5" s="38"/>
    </row>
    <row r="6" spans="1:30" ht="17.25" thickBot="1">
      <c r="A6" s="3" t="s">
        <v>23</v>
      </c>
      <c r="B6" s="4">
        <v>41646</v>
      </c>
      <c r="C6" s="3">
        <v>8528</v>
      </c>
      <c r="D6" s="3">
        <v>8575</v>
      </c>
      <c r="E6" s="3">
        <v>8525</v>
      </c>
      <c r="F6" s="3">
        <v>8551</v>
      </c>
      <c r="G6" s="3">
        <v>76176</v>
      </c>
      <c r="H6" s="3">
        <v>1.355</v>
      </c>
      <c r="I6" s="2">
        <f t="shared" si="0"/>
        <v>0</v>
      </c>
      <c r="J6" s="10">
        <f t="shared" si="2"/>
        <v>0</v>
      </c>
      <c r="K6" s="10">
        <f t="shared" si="1"/>
        <v>23</v>
      </c>
      <c r="M6" s="11" t="s">
        <v>107</v>
      </c>
      <c r="N6" s="13"/>
      <c r="O6" s="13"/>
      <c r="R6" s="11" t="s">
        <v>109</v>
      </c>
      <c r="S6" s="11">
        <v>500</v>
      </c>
      <c r="T6" s="31">
        <f ca="1">T7+T8+T9</f>
        <v>0</v>
      </c>
      <c r="U6" s="11"/>
      <c r="V6" s="11"/>
      <c r="W6" s="11"/>
      <c r="X6" s="7"/>
      <c r="Y6" s="7"/>
      <c r="Z6" s="7"/>
      <c r="AA6" s="23"/>
      <c r="AB6" s="24"/>
      <c r="AC6" s="25">
        <v>10</v>
      </c>
      <c r="AD6" s="26">
        <v>30</v>
      </c>
    </row>
    <row r="7" spans="1:30">
      <c r="A7" s="3" t="s">
        <v>23</v>
      </c>
      <c r="B7" s="4">
        <v>41647</v>
      </c>
      <c r="C7" s="3">
        <v>8556</v>
      </c>
      <c r="D7" s="3">
        <v>8599</v>
      </c>
      <c r="E7" s="3">
        <v>8550</v>
      </c>
      <c r="F7" s="3">
        <v>8586</v>
      </c>
      <c r="G7" s="3">
        <v>69802</v>
      </c>
      <c r="H7" s="3">
        <v>1.355</v>
      </c>
      <c r="I7" s="2">
        <f t="shared" si="0"/>
        <v>0</v>
      </c>
      <c r="J7" s="10">
        <f t="shared" si="2"/>
        <v>5</v>
      </c>
      <c r="K7" s="10">
        <f t="shared" si="1"/>
        <v>30</v>
      </c>
      <c r="M7" s="11">
        <v>-2</v>
      </c>
      <c r="N7" s="13"/>
      <c r="O7" s="13"/>
      <c r="R7" s="11" t="s">
        <v>112</v>
      </c>
      <c r="S7" s="11">
        <f ca="1">AVERAGE(S300:S1662)</f>
        <v>-1.6260150764729253E-2</v>
      </c>
      <c r="T7" s="11">
        <f ca="1">IF(S7&lt;5,0,IF(S7&gt;=20,15,IF(AND(S7&gt;=10,S7&lt;20),10,5)))</f>
        <v>0</v>
      </c>
      <c r="U7" s="11"/>
      <c r="V7" s="11"/>
      <c r="W7" s="11"/>
      <c r="X7" s="7"/>
      <c r="Y7" s="7"/>
      <c r="Z7" s="7"/>
      <c r="AA7" s="23"/>
      <c r="AB7" s="24"/>
      <c r="AC7" s="32"/>
      <c r="AD7" s="32"/>
    </row>
    <row r="8" spans="1:30">
      <c r="A8" s="3" t="s">
        <v>23</v>
      </c>
      <c r="B8" s="4">
        <v>41648</v>
      </c>
      <c r="C8" s="3">
        <v>8565</v>
      </c>
      <c r="D8" s="3">
        <v>8573</v>
      </c>
      <c r="E8" s="3">
        <v>8514</v>
      </c>
      <c r="F8" s="3">
        <v>8528</v>
      </c>
      <c r="G8" s="3">
        <v>99558</v>
      </c>
      <c r="H8" s="3">
        <v>1.355</v>
      </c>
      <c r="I8" s="2">
        <f t="shared" si="0"/>
        <v>0</v>
      </c>
      <c r="J8" s="10">
        <f t="shared" si="2"/>
        <v>-21</v>
      </c>
      <c r="K8" s="10">
        <f t="shared" si="1"/>
        <v>-37</v>
      </c>
      <c r="R8" s="11" t="s">
        <v>115</v>
      </c>
      <c r="S8" s="11">
        <f ca="1">AVERAGE(T300:T1662)</f>
        <v>-0.14163052536077456</v>
      </c>
      <c r="T8" s="11">
        <f ca="1">IF(S8&lt;0.4,0,IF(S8&gt;=1,10,IF(AND(S8&gt;=0.6,S8&lt;1),6,3)))</f>
        <v>0</v>
      </c>
      <c r="U8" s="11"/>
      <c r="V8" s="11"/>
      <c r="W8" s="11"/>
      <c r="X8" s="7"/>
      <c r="Y8" s="7"/>
      <c r="Z8" s="7"/>
      <c r="AA8" s="23"/>
      <c r="AB8" s="24"/>
      <c r="AC8" s="23"/>
      <c r="AD8" s="23"/>
    </row>
    <row r="9" spans="1:30">
      <c r="A9" s="3" t="s">
        <v>23</v>
      </c>
      <c r="B9" s="4">
        <v>41649</v>
      </c>
      <c r="C9" s="3">
        <v>8523</v>
      </c>
      <c r="D9" s="3">
        <v>8548</v>
      </c>
      <c r="E9" s="3">
        <v>8516</v>
      </c>
      <c r="F9" s="3">
        <v>8539</v>
      </c>
      <c r="G9" s="3">
        <v>63745</v>
      </c>
      <c r="H9" s="3">
        <v>1.355</v>
      </c>
      <c r="I9" s="2">
        <f t="shared" si="0"/>
        <v>0</v>
      </c>
      <c r="J9" s="10">
        <f t="shared" si="2"/>
        <v>-5</v>
      </c>
      <c r="K9" s="10">
        <f t="shared" si="1"/>
        <v>16</v>
      </c>
      <c r="R9" s="11" t="s">
        <v>120</v>
      </c>
      <c r="S9" s="11">
        <f ca="1">AVERAGE(W300:W1662)</f>
        <v>-2134.4335373385065</v>
      </c>
      <c r="T9" s="11">
        <f ca="1">IF(S9&lt;-20,0,IF(S9&gt;=-8,10,IF(AND(S9&gt;=-15,S9&lt;-8),6,3)))</f>
        <v>0</v>
      </c>
      <c r="U9" s="11"/>
      <c r="V9" s="11"/>
      <c r="W9" s="11"/>
      <c r="X9" s="7"/>
      <c r="Y9" s="7"/>
      <c r="Z9" s="7"/>
      <c r="AA9" s="23"/>
      <c r="AB9" s="23"/>
      <c r="AC9" s="32"/>
      <c r="AD9" s="32"/>
    </row>
    <row r="10" spans="1:30">
      <c r="A10" s="3" t="s">
        <v>23</v>
      </c>
      <c r="B10" s="4">
        <v>41652</v>
      </c>
      <c r="C10" s="3">
        <v>8598</v>
      </c>
      <c r="D10" s="3">
        <v>8629</v>
      </c>
      <c r="E10" s="3">
        <v>8566</v>
      </c>
      <c r="F10" s="3">
        <v>8572</v>
      </c>
      <c r="G10" s="3">
        <v>95870</v>
      </c>
      <c r="H10" s="3">
        <v>1.355</v>
      </c>
      <c r="I10" s="2">
        <f t="shared" si="0"/>
        <v>0</v>
      </c>
      <c r="J10" s="10">
        <f t="shared" si="2"/>
        <v>59</v>
      </c>
      <c r="K10" s="10">
        <f t="shared" si="1"/>
        <v>-26</v>
      </c>
      <c r="X10" s="7"/>
      <c r="Y10" s="7"/>
      <c r="Z10" s="7"/>
      <c r="AA10" s="23"/>
      <c r="AB10" s="23"/>
      <c r="AC10" s="23"/>
      <c r="AD10" s="23"/>
    </row>
    <row r="11" spans="1:30">
      <c r="A11" s="3" t="s">
        <v>23</v>
      </c>
      <c r="B11" s="4">
        <v>41653</v>
      </c>
      <c r="C11" s="3">
        <v>8530</v>
      </c>
      <c r="D11" s="3">
        <v>8559</v>
      </c>
      <c r="E11" s="3">
        <v>8514</v>
      </c>
      <c r="F11" s="3">
        <v>8547</v>
      </c>
      <c r="G11" s="3">
        <v>73027</v>
      </c>
      <c r="H11" s="3">
        <v>1.355</v>
      </c>
      <c r="I11" s="2">
        <f t="shared" si="0"/>
        <v>0</v>
      </c>
      <c r="J11" s="10">
        <f t="shared" si="2"/>
        <v>-42</v>
      </c>
      <c r="K11" s="10">
        <f t="shared" si="1"/>
        <v>17</v>
      </c>
      <c r="X11" s="7"/>
      <c r="Y11" s="7"/>
      <c r="Z11" s="7"/>
    </row>
    <row r="12" spans="1:30" hidden="1">
      <c r="A12" s="3" t="s">
        <v>23</v>
      </c>
      <c r="B12" s="4">
        <v>41654</v>
      </c>
      <c r="C12" s="3">
        <v>8570</v>
      </c>
      <c r="D12" s="3">
        <v>8613</v>
      </c>
      <c r="E12" s="3">
        <v>8563</v>
      </c>
      <c r="F12" s="3">
        <v>8610</v>
      </c>
      <c r="G12" s="3">
        <v>52535</v>
      </c>
      <c r="H12" s="3">
        <v>1.355</v>
      </c>
      <c r="I12" s="2">
        <f t="shared" si="0"/>
        <v>1</v>
      </c>
      <c r="J12" s="10">
        <f t="shared" si="2"/>
        <v>23</v>
      </c>
      <c r="K12" s="10">
        <f t="shared" si="1"/>
        <v>40</v>
      </c>
      <c r="X12" s="7">
        <f ca="1">AVERAGE(E12:OFFSET(E12,-$X$5+1,0))</f>
        <v>8534.6</v>
      </c>
      <c r="Y12" s="7">
        <f ca="1">AVERAGE(E12:OFFSET(E12,-$Y$5+1,0))</f>
        <v>8536.6</v>
      </c>
      <c r="Z12" s="7"/>
      <c r="AA12" s="24"/>
      <c r="AB12" s="24"/>
    </row>
    <row r="13" spans="1:30" hidden="1">
      <c r="A13" s="3" t="s">
        <v>24</v>
      </c>
      <c r="B13" s="4">
        <v>41655</v>
      </c>
      <c r="C13" s="3">
        <v>8650</v>
      </c>
      <c r="D13" s="3">
        <v>8662</v>
      </c>
      <c r="E13" s="3">
        <v>8610</v>
      </c>
      <c r="F13" s="3">
        <v>8618</v>
      </c>
      <c r="G13" s="3">
        <v>65354</v>
      </c>
      <c r="H13" s="3">
        <v>1.355</v>
      </c>
      <c r="I13" s="2">
        <f t="shared" si="0"/>
        <v>0</v>
      </c>
      <c r="J13" s="10">
        <f t="shared" si="2"/>
        <v>40</v>
      </c>
      <c r="K13" s="10">
        <f t="shared" si="1"/>
        <v>-32</v>
      </c>
      <c r="X13" s="7">
        <f ca="1">AVERAGE(E13:OFFSET(E13,-$X$5+1,0))</f>
        <v>8553.7999999999993</v>
      </c>
      <c r="Y13" s="7">
        <f ca="1">AVERAGE(E13:OFFSET(E13,-$Y$5+1,0))</f>
        <v>8539.1</v>
      </c>
      <c r="Z13" s="7"/>
      <c r="AA13" s="24"/>
      <c r="AB13" s="24"/>
    </row>
    <row r="14" spans="1:30" hidden="1">
      <c r="A14" s="3" t="s">
        <v>24</v>
      </c>
      <c r="B14" s="4">
        <v>41656</v>
      </c>
      <c r="C14" s="3">
        <v>8610</v>
      </c>
      <c r="D14" s="3">
        <v>8625</v>
      </c>
      <c r="E14" s="3">
        <v>8577</v>
      </c>
      <c r="F14" s="3">
        <v>8606</v>
      </c>
      <c r="G14" s="3">
        <v>76169</v>
      </c>
      <c r="H14" s="3">
        <v>1.355</v>
      </c>
      <c r="I14" s="2">
        <f t="shared" si="0"/>
        <v>0</v>
      </c>
      <c r="J14" s="10">
        <f t="shared" si="2"/>
        <v>-8</v>
      </c>
      <c r="K14" s="10">
        <f t="shared" si="1"/>
        <v>-4</v>
      </c>
      <c r="X14" s="7">
        <f ca="1">AVERAGE(E14:OFFSET(E14,-$X$5+1,0))</f>
        <v>8566</v>
      </c>
      <c r="Y14" s="7">
        <f ca="1">AVERAGE(E14:OFFSET(E14,-$Y$5+1,0))</f>
        <v>8543.7999999999993</v>
      </c>
      <c r="Z14" s="7"/>
      <c r="AA14" s="24"/>
      <c r="AB14" s="24"/>
    </row>
    <row r="15" spans="1:30" hidden="1">
      <c r="A15" s="3" t="s">
        <v>24</v>
      </c>
      <c r="B15" s="4">
        <v>41659</v>
      </c>
      <c r="C15" s="3">
        <v>8585</v>
      </c>
      <c r="D15" s="3">
        <v>8634</v>
      </c>
      <c r="E15" s="3">
        <v>8571</v>
      </c>
      <c r="F15" s="3">
        <v>8622</v>
      </c>
      <c r="G15" s="3">
        <v>69809</v>
      </c>
      <c r="H15" s="3">
        <v>1.355</v>
      </c>
      <c r="I15" s="2">
        <f t="shared" si="0"/>
        <v>0</v>
      </c>
      <c r="J15" s="10">
        <f t="shared" si="2"/>
        <v>-21</v>
      </c>
      <c r="K15" s="10">
        <f t="shared" si="1"/>
        <v>37</v>
      </c>
      <c r="X15" s="7">
        <f ca="1">AVERAGE(E15:OFFSET(E15,-$X$5+1,0))</f>
        <v>8567</v>
      </c>
      <c r="Y15" s="7">
        <f ca="1">AVERAGE(E15:OFFSET(E15,-$Y$5+1,0))</f>
        <v>8550.6</v>
      </c>
      <c r="Z15" s="7"/>
      <c r="AA15" s="24"/>
      <c r="AB15" s="24"/>
    </row>
    <row r="16" spans="1:30" hidden="1">
      <c r="A16" s="3" t="s">
        <v>24</v>
      </c>
      <c r="B16" s="4">
        <v>41660</v>
      </c>
      <c r="C16" s="3">
        <v>8642</v>
      </c>
      <c r="D16" s="3">
        <v>8647</v>
      </c>
      <c r="E16" s="3">
        <v>8611</v>
      </c>
      <c r="F16" s="3">
        <v>8623</v>
      </c>
      <c r="G16" s="3">
        <v>65389</v>
      </c>
      <c r="H16" s="3">
        <v>1.355</v>
      </c>
      <c r="I16" s="2">
        <f t="shared" si="0"/>
        <v>0</v>
      </c>
      <c r="J16" s="10">
        <f t="shared" si="2"/>
        <v>20</v>
      </c>
      <c r="K16" s="10">
        <f t="shared" si="1"/>
        <v>-19</v>
      </c>
      <c r="X16" s="7">
        <f ca="1">AVERAGE(E16:OFFSET(E16,-$X$5+1,0))</f>
        <v>8586.4</v>
      </c>
      <c r="Y16" s="7">
        <f ca="1">AVERAGE(E16:OFFSET(E16,-$Y$5+1,0))</f>
        <v>8559.2000000000007</v>
      </c>
      <c r="Z16" s="7"/>
      <c r="AA16" s="24"/>
      <c r="AB16" s="24"/>
    </row>
    <row r="17" spans="1:28" hidden="1">
      <c r="A17" s="3" t="s">
        <v>24</v>
      </c>
      <c r="B17" s="4">
        <v>41661</v>
      </c>
      <c r="C17" s="3">
        <v>8595</v>
      </c>
      <c r="D17" s="3">
        <v>8636</v>
      </c>
      <c r="E17" s="3">
        <v>8585</v>
      </c>
      <c r="F17" s="3">
        <v>8635</v>
      </c>
      <c r="G17" s="3">
        <v>61473</v>
      </c>
      <c r="H17" s="3">
        <v>1.355</v>
      </c>
      <c r="I17" s="2">
        <f t="shared" si="0"/>
        <v>0</v>
      </c>
      <c r="J17" s="10">
        <f t="shared" si="2"/>
        <v>-28</v>
      </c>
      <c r="K17" s="10">
        <f t="shared" si="1"/>
        <v>40</v>
      </c>
      <c r="X17" s="7">
        <f ca="1">AVERAGE(E17:OFFSET(E17,-$X$5+1,0))</f>
        <v>8590.7999999999993</v>
      </c>
      <c r="Y17" s="7">
        <f ca="1">AVERAGE(E17:OFFSET(E17,-$Y$5+1,0))</f>
        <v>8562.7000000000007</v>
      </c>
      <c r="Z17" s="7"/>
      <c r="AA17" s="24"/>
      <c r="AB17" s="24"/>
    </row>
    <row r="18" spans="1:28" hidden="1">
      <c r="A18" s="3" t="s">
        <v>24</v>
      </c>
      <c r="B18" s="4">
        <v>41662</v>
      </c>
      <c r="C18" s="3">
        <v>8646</v>
      </c>
      <c r="D18" s="3">
        <v>8650</v>
      </c>
      <c r="E18" s="3">
        <v>8587</v>
      </c>
      <c r="F18" s="3">
        <v>8596</v>
      </c>
      <c r="G18" s="3">
        <v>77610</v>
      </c>
      <c r="H18" s="3">
        <v>1.355</v>
      </c>
      <c r="I18" s="2">
        <f t="shared" si="0"/>
        <v>0</v>
      </c>
      <c r="J18" s="10">
        <f t="shared" si="2"/>
        <v>11</v>
      </c>
      <c r="K18" s="10">
        <f t="shared" si="1"/>
        <v>-50</v>
      </c>
      <c r="X18" s="7">
        <f ca="1">AVERAGE(E18:OFFSET(E18,-$X$5+1,0))</f>
        <v>8586.2000000000007</v>
      </c>
      <c r="Y18" s="7">
        <f ca="1">AVERAGE(E18:OFFSET(E18,-$Y$5+1,0))</f>
        <v>8570</v>
      </c>
      <c r="Z18" s="7"/>
      <c r="AA18" s="24"/>
      <c r="AB18" s="24"/>
    </row>
    <row r="19" spans="1:28" hidden="1">
      <c r="A19" s="3" t="s">
        <v>24</v>
      </c>
      <c r="B19" s="4">
        <v>41663</v>
      </c>
      <c r="C19" s="3">
        <v>8570</v>
      </c>
      <c r="D19" s="3">
        <v>8629</v>
      </c>
      <c r="E19" s="3">
        <v>8551</v>
      </c>
      <c r="F19" s="3">
        <v>8619</v>
      </c>
      <c r="G19" s="3">
        <v>76250</v>
      </c>
      <c r="H19" s="3">
        <v>1.355</v>
      </c>
      <c r="I19" s="2">
        <f t="shared" si="0"/>
        <v>0</v>
      </c>
      <c r="J19" s="10">
        <f t="shared" si="2"/>
        <v>-26</v>
      </c>
      <c r="K19" s="10">
        <f t="shared" si="1"/>
        <v>49</v>
      </c>
      <c r="X19" s="7">
        <f ca="1">AVERAGE(E19:OFFSET(E19,-$X$5+1,0))</f>
        <v>8581</v>
      </c>
      <c r="Y19" s="7">
        <f ca="1">AVERAGE(E19:OFFSET(E19,-$Y$5+1,0))</f>
        <v>8573.5</v>
      </c>
      <c r="Z19" s="7"/>
      <c r="AA19" s="24"/>
      <c r="AB19" s="24"/>
    </row>
    <row r="20" spans="1:28" hidden="1">
      <c r="A20" s="3" t="s">
        <v>24</v>
      </c>
      <c r="B20" s="4">
        <v>41666</v>
      </c>
      <c r="C20" s="3">
        <v>8510</v>
      </c>
      <c r="D20" s="3">
        <v>8547</v>
      </c>
      <c r="E20" s="3">
        <v>8445</v>
      </c>
      <c r="F20" s="3">
        <v>8446</v>
      </c>
      <c r="G20" s="3">
        <v>124091</v>
      </c>
      <c r="H20" s="3">
        <v>1.355</v>
      </c>
      <c r="I20" s="2">
        <f t="shared" si="0"/>
        <v>0</v>
      </c>
      <c r="J20" s="10">
        <f t="shared" si="2"/>
        <v>-109</v>
      </c>
      <c r="K20" s="10">
        <f t="shared" si="1"/>
        <v>-64</v>
      </c>
      <c r="X20" s="7">
        <f ca="1">AVERAGE(E20:OFFSET(E20,-$X$5+1,0))</f>
        <v>8555.7999999999993</v>
      </c>
      <c r="Y20" s="7">
        <f ca="1">AVERAGE(E20:OFFSET(E20,-$Y$5+1,0))</f>
        <v>8561.4</v>
      </c>
      <c r="Z20" s="7"/>
      <c r="AA20" s="24"/>
      <c r="AB20" s="24"/>
    </row>
    <row r="21" spans="1:28" hidden="1">
      <c r="A21" s="3" t="s">
        <v>24</v>
      </c>
      <c r="B21" s="4">
        <v>41675</v>
      </c>
      <c r="C21" s="3">
        <v>8302</v>
      </c>
      <c r="D21" s="3">
        <v>8328</v>
      </c>
      <c r="E21" s="3">
        <v>8196</v>
      </c>
      <c r="F21" s="3">
        <v>8243</v>
      </c>
      <c r="G21" s="3">
        <v>123024</v>
      </c>
      <c r="H21" s="3">
        <v>1.355</v>
      </c>
      <c r="I21" s="2">
        <f t="shared" si="0"/>
        <v>0</v>
      </c>
      <c r="J21" s="10">
        <f t="shared" si="2"/>
        <v>-144</v>
      </c>
      <c r="K21" s="10">
        <f t="shared" si="1"/>
        <v>-59</v>
      </c>
      <c r="X21" s="7">
        <f ca="1">AVERAGE(E21:OFFSET(E21,-$X$5+1,0))</f>
        <v>8472.7999999999993</v>
      </c>
      <c r="Y21" s="7">
        <f ca="1">AVERAGE(E21:OFFSET(E21,-$Y$5+1,0))</f>
        <v>8529.6</v>
      </c>
      <c r="Z21" s="7"/>
      <c r="AA21" s="24"/>
      <c r="AB21" s="24"/>
    </row>
    <row r="22" spans="1:28" hidden="1">
      <c r="A22" s="3" t="s">
        <v>24</v>
      </c>
      <c r="B22" s="4">
        <v>41676</v>
      </c>
      <c r="C22" s="3">
        <v>8278</v>
      </c>
      <c r="D22" s="3">
        <v>8292</v>
      </c>
      <c r="E22" s="3">
        <v>8247</v>
      </c>
      <c r="F22" s="3">
        <v>8275</v>
      </c>
      <c r="G22" s="3">
        <v>81137</v>
      </c>
      <c r="H22" s="3">
        <v>1.355</v>
      </c>
      <c r="I22" s="2">
        <f t="shared" si="0"/>
        <v>0</v>
      </c>
      <c r="J22" s="10">
        <f t="shared" si="2"/>
        <v>35</v>
      </c>
      <c r="K22" s="10">
        <f t="shared" si="1"/>
        <v>-3</v>
      </c>
      <c r="X22" s="7">
        <f ca="1">AVERAGE(E22:OFFSET(E22,-$X$5+1,0))</f>
        <v>8405.2000000000007</v>
      </c>
      <c r="Y22" s="7">
        <f ca="1">AVERAGE(E22:OFFSET(E22,-$Y$5+1,0))</f>
        <v>8498</v>
      </c>
      <c r="Z22" s="7"/>
      <c r="AA22" s="24"/>
      <c r="AB22" s="24"/>
    </row>
    <row r="23" spans="1:28" hidden="1">
      <c r="A23" s="3" t="s">
        <v>24</v>
      </c>
      <c r="B23" s="4">
        <v>41677</v>
      </c>
      <c r="C23" s="3">
        <v>8327</v>
      </c>
      <c r="D23" s="3">
        <v>8373</v>
      </c>
      <c r="E23" s="3">
        <v>8315</v>
      </c>
      <c r="F23" s="3">
        <v>8339</v>
      </c>
      <c r="G23" s="3">
        <v>84636</v>
      </c>
      <c r="H23" s="3">
        <v>1.355</v>
      </c>
      <c r="I23" s="2">
        <f t="shared" si="0"/>
        <v>0</v>
      </c>
      <c r="J23" s="10">
        <f t="shared" si="2"/>
        <v>52</v>
      </c>
      <c r="K23" s="10">
        <f t="shared" si="1"/>
        <v>12</v>
      </c>
      <c r="X23" s="7">
        <f ca="1">AVERAGE(E23:OFFSET(E23,-$X$5+1,0))</f>
        <v>8350.7999999999993</v>
      </c>
      <c r="Y23" s="7">
        <f ca="1">AVERAGE(E23:OFFSET(E23,-$Y$5+1,0))</f>
        <v>8468.5</v>
      </c>
      <c r="Z23" s="7"/>
      <c r="AA23" s="24"/>
      <c r="AB23" s="24"/>
    </row>
    <row r="24" spans="1:28" hidden="1">
      <c r="A24" s="3" t="s">
        <v>24</v>
      </c>
      <c r="B24" s="4">
        <v>41680</v>
      </c>
      <c r="C24" s="3">
        <v>8375</v>
      </c>
      <c r="D24" s="3">
        <v>8403</v>
      </c>
      <c r="E24" s="3">
        <v>8353</v>
      </c>
      <c r="F24" s="3">
        <v>8355</v>
      </c>
      <c r="G24" s="3">
        <v>75690</v>
      </c>
      <c r="H24" s="3">
        <v>1.355</v>
      </c>
      <c r="I24" s="2">
        <f t="shared" si="0"/>
        <v>0</v>
      </c>
      <c r="J24" s="10">
        <f t="shared" si="2"/>
        <v>36</v>
      </c>
      <c r="K24" s="10">
        <f t="shared" si="1"/>
        <v>-20</v>
      </c>
      <c r="X24" s="7">
        <f ca="1">AVERAGE(E24:OFFSET(E24,-$X$5+1,0))</f>
        <v>8311.2000000000007</v>
      </c>
      <c r="Y24" s="7">
        <f ca="1">AVERAGE(E24:OFFSET(E24,-$Y$5+1,0))</f>
        <v>8446.1</v>
      </c>
      <c r="Z24" s="7"/>
      <c r="AA24" s="24"/>
      <c r="AB24" s="24"/>
    </row>
    <row r="25" spans="1:28" hidden="1">
      <c r="A25" s="3" t="s">
        <v>24</v>
      </c>
      <c r="B25" s="4">
        <v>41681</v>
      </c>
      <c r="C25" s="3">
        <v>8354</v>
      </c>
      <c r="D25" s="3">
        <v>8415</v>
      </c>
      <c r="E25" s="3">
        <v>8346</v>
      </c>
      <c r="F25" s="3">
        <v>8414</v>
      </c>
      <c r="G25" s="3">
        <v>69071</v>
      </c>
      <c r="H25" s="3">
        <v>1.355</v>
      </c>
      <c r="I25" s="2">
        <f t="shared" si="0"/>
        <v>0</v>
      </c>
      <c r="J25" s="10">
        <f t="shared" si="2"/>
        <v>-1</v>
      </c>
      <c r="K25" s="10">
        <f t="shared" si="1"/>
        <v>60</v>
      </c>
      <c r="X25" s="7">
        <f ca="1">AVERAGE(E25:OFFSET(E25,-$X$5+1,0))</f>
        <v>8291.4</v>
      </c>
      <c r="Y25" s="7">
        <f ca="1">AVERAGE(E25:OFFSET(E25,-$Y$5+1,0))</f>
        <v>8423.6</v>
      </c>
      <c r="Z25" s="7"/>
      <c r="AA25" s="24"/>
      <c r="AB25" s="24"/>
    </row>
    <row r="26" spans="1:28" hidden="1">
      <c r="A26" s="3" t="s">
        <v>24</v>
      </c>
      <c r="B26" s="4">
        <v>41682</v>
      </c>
      <c r="C26" s="3">
        <v>8447</v>
      </c>
      <c r="D26" s="3">
        <v>8496</v>
      </c>
      <c r="E26" s="3">
        <v>8437</v>
      </c>
      <c r="F26" s="3">
        <v>8481</v>
      </c>
      <c r="G26" s="3">
        <v>84727</v>
      </c>
      <c r="H26" s="3">
        <v>1.355</v>
      </c>
      <c r="I26" s="2">
        <f t="shared" si="0"/>
        <v>0</v>
      </c>
      <c r="J26" s="10">
        <f t="shared" si="2"/>
        <v>33</v>
      </c>
      <c r="K26" s="10">
        <f t="shared" si="1"/>
        <v>34</v>
      </c>
      <c r="X26" s="7">
        <f ca="1">AVERAGE(E26:OFFSET(E26,-$X$5+1,0))</f>
        <v>8339.6</v>
      </c>
      <c r="Y26" s="7">
        <f ca="1">AVERAGE(E26:OFFSET(E26,-$Y$5+1,0))</f>
        <v>8406.2000000000007</v>
      </c>
      <c r="Z26" s="7"/>
      <c r="AA26" s="24"/>
      <c r="AB26" s="24"/>
    </row>
    <row r="27" spans="1:28" hidden="1">
      <c r="A27" s="3" t="s">
        <v>24</v>
      </c>
      <c r="B27" s="4">
        <v>41683</v>
      </c>
      <c r="C27" s="3">
        <v>8495</v>
      </c>
      <c r="D27" s="3">
        <v>8495</v>
      </c>
      <c r="E27" s="3">
        <v>8443</v>
      </c>
      <c r="F27" s="3">
        <v>8443</v>
      </c>
      <c r="G27" s="3">
        <v>60328</v>
      </c>
      <c r="H27" s="3">
        <v>1.355</v>
      </c>
      <c r="I27" s="2">
        <f t="shared" si="0"/>
        <v>0</v>
      </c>
      <c r="J27" s="10">
        <f t="shared" si="2"/>
        <v>14</v>
      </c>
      <c r="K27" s="10">
        <f t="shared" si="1"/>
        <v>-52</v>
      </c>
      <c r="X27" s="7">
        <f ca="1">AVERAGE(E27:OFFSET(E27,-$X$5+1,0))</f>
        <v>8378.7999999999993</v>
      </c>
      <c r="Y27" s="7">
        <f ca="1">AVERAGE(E27:OFFSET(E27,-$Y$5+1,0))</f>
        <v>8392</v>
      </c>
      <c r="Z27" s="7"/>
      <c r="AA27" s="24"/>
      <c r="AB27" s="24"/>
    </row>
    <row r="28" spans="1:28" hidden="1">
      <c r="A28" s="3" t="s">
        <v>24</v>
      </c>
      <c r="B28" s="4">
        <v>41684</v>
      </c>
      <c r="C28" s="3">
        <v>8496</v>
      </c>
      <c r="D28" s="3">
        <v>8568</v>
      </c>
      <c r="E28" s="3">
        <v>8488</v>
      </c>
      <c r="F28" s="3">
        <v>8508</v>
      </c>
      <c r="G28" s="3">
        <v>108056</v>
      </c>
      <c r="H28" s="3">
        <v>1.355</v>
      </c>
      <c r="I28" s="2">
        <f t="shared" si="0"/>
        <v>0</v>
      </c>
      <c r="J28" s="10">
        <f t="shared" si="2"/>
        <v>53</v>
      </c>
      <c r="K28" s="10">
        <f t="shared" si="1"/>
        <v>12</v>
      </c>
      <c r="X28" s="7">
        <f ca="1">AVERAGE(E28:OFFSET(E28,-$X$5+1,0))</f>
        <v>8413.4</v>
      </c>
      <c r="Y28" s="7">
        <f ca="1">AVERAGE(E28:OFFSET(E28,-$Y$5+1,0))</f>
        <v>8382.1</v>
      </c>
      <c r="Z28" s="7"/>
      <c r="AA28" s="24"/>
      <c r="AB28" s="24"/>
    </row>
    <row r="29" spans="1:28" hidden="1">
      <c r="A29" s="3" t="s">
        <v>24</v>
      </c>
      <c r="B29" s="4">
        <v>41687</v>
      </c>
      <c r="C29" s="3">
        <v>8547</v>
      </c>
      <c r="D29" s="3">
        <v>8557</v>
      </c>
      <c r="E29" s="3">
        <v>8514</v>
      </c>
      <c r="F29" s="3">
        <v>8528</v>
      </c>
      <c r="G29" s="3">
        <v>68133</v>
      </c>
      <c r="H29" s="3">
        <v>1.355</v>
      </c>
      <c r="I29" s="2">
        <f t="shared" si="0"/>
        <v>0</v>
      </c>
      <c r="J29" s="10">
        <f t="shared" si="2"/>
        <v>39</v>
      </c>
      <c r="K29" s="10">
        <f t="shared" si="1"/>
        <v>-19</v>
      </c>
      <c r="X29" s="7">
        <f ca="1">AVERAGE(E29:OFFSET(E29,-$X$5+1,0))</f>
        <v>8445.6</v>
      </c>
      <c r="Y29" s="7">
        <f ca="1">AVERAGE(E29:OFFSET(E29,-$Y$5+1,0))</f>
        <v>8378.4</v>
      </c>
      <c r="Z29" s="7"/>
      <c r="AA29" s="24"/>
      <c r="AB29" s="24"/>
    </row>
    <row r="30" spans="1:28" hidden="1">
      <c r="A30" s="3" t="s">
        <v>24</v>
      </c>
      <c r="B30" s="4">
        <v>41688</v>
      </c>
      <c r="C30" s="3">
        <v>8530</v>
      </c>
      <c r="D30" s="3">
        <v>8564</v>
      </c>
      <c r="E30" s="3">
        <v>8506</v>
      </c>
      <c r="F30" s="3">
        <v>8562</v>
      </c>
      <c r="G30" s="3">
        <v>74608</v>
      </c>
      <c r="H30" s="3">
        <v>1.355</v>
      </c>
      <c r="I30" s="2">
        <f t="shared" si="0"/>
        <v>0</v>
      </c>
      <c r="J30" s="10">
        <f t="shared" si="2"/>
        <v>2</v>
      </c>
      <c r="K30" s="10">
        <f t="shared" si="1"/>
        <v>32</v>
      </c>
      <c r="X30" s="7">
        <f ca="1">AVERAGE(E30:OFFSET(E30,-$X$5+1,0))</f>
        <v>8477.6</v>
      </c>
      <c r="Y30" s="7">
        <f ca="1">AVERAGE(E30:OFFSET(E30,-$Y$5+1,0))</f>
        <v>8384.5</v>
      </c>
      <c r="Z30" s="7"/>
      <c r="AA30" s="24"/>
      <c r="AB30" s="24"/>
    </row>
    <row r="31" spans="1:28" hidden="1">
      <c r="A31" s="3" t="s">
        <v>24</v>
      </c>
      <c r="B31" s="4">
        <v>41689</v>
      </c>
      <c r="C31" s="3">
        <v>8535</v>
      </c>
      <c r="D31" s="3">
        <v>8569</v>
      </c>
      <c r="E31" s="3">
        <v>8535</v>
      </c>
      <c r="F31" s="3">
        <v>8557</v>
      </c>
      <c r="G31" s="3">
        <v>33192</v>
      </c>
      <c r="H31" s="3">
        <v>1.355</v>
      </c>
      <c r="I31" s="2">
        <f t="shared" si="0"/>
        <v>1</v>
      </c>
      <c r="J31" s="10">
        <f t="shared" si="2"/>
        <v>-27</v>
      </c>
      <c r="K31" s="10">
        <f t="shared" si="1"/>
        <v>22</v>
      </c>
      <c r="X31" s="7">
        <f ca="1">AVERAGE(E31:OFFSET(E31,-$X$5+1,0))</f>
        <v>8497.2000000000007</v>
      </c>
      <c r="Y31" s="7">
        <f ca="1">AVERAGE(E31:OFFSET(E31,-$Y$5+1,0))</f>
        <v>8418.4</v>
      </c>
      <c r="Z31" s="7"/>
      <c r="AA31" s="24"/>
      <c r="AB31" s="24"/>
    </row>
    <row r="32" spans="1:28" hidden="1">
      <c r="A32" s="3" t="s">
        <v>25</v>
      </c>
      <c r="B32" s="4">
        <v>41690</v>
      </c>
      <c r="C32" s="3">
        <v>8530</v>
      </c>
      <c r="D32" s="3">
        <v>8548</v>
      </c>
      <c r="E32" s="3">
        <v>8483</v>
      </c>
      <c r="F32" s="3">
        <v>8483</v>
      </c>
      <c r="G32" s="3">
        <v>104153</v>
      </c>
      <c r="H32" s="3">
        <v>1.355</v>
      </c>
      <c r="I32" s="2">
        <f t="shared" si="0"/>
        <v>0</v>
      </c>
      <c r="J32" s="10">
        <f t="shared" si="2"/>
        <v>-27</v>
      </c>
      <c r="K32" s="10">
        <f t="shared" si="1"/>
        <v>-47</v>
      </c>
      <c r="X32" s="7">
        <f ca="1">AVERAGE(E32:OFFSET(E32,-$X$5+1,0))</f>
        <v>8505.2000000000007</v>
      </c>
      <c r="Y32" s="7">
        <f ca="1">AVERAGE(E32:OFFSET(E32,-$Y$5+1,0))</f>
        <v>8442</v>
      </c>
      <c r="Z32" s="7"/>
      <c r="AA32" s="24"/>
      <c r="AB32" s="24"/>
    </row>
    <row r="33" spans="1:28" hidden="1">
      <c r="A33" s="3" t="s">
        <v>25</v>
      </c>
      <c r="B33" s="4">
        <v>41691</v>
      </c>
      <c r="C33" s="3">
        <v>8555</v>
      </c>
      <c r="D33" s="3">
        <v>8598</v>
      </c>
      <c r="E33" s="3">
        <v>8555</v>
      </c>
      <c r="F33" s="3">
        <v>8587</v>
      </c>
      <c r="G33" s="3">
        <v>70932</v>
      </c>
      <c r="H33" s="3">
        <v>1.355</v>
      </c>
      <c r="I33" s="2">
        <f t="shared" si="0"/>
        <v>0</v>
      </c>
      <c r="J33" s="10">
        <f t="shared" si="2"/>
        <v>72</v>
      </c>
      <c r="K33" s="10">
        <f t="shared" si="1"/>
        <v>32</v>
      </c>
      <c r="X33" s="7">
        <f ca="1">AVERAGE(E33:OFFSET(E33,-$X$5+1,0))</f>
        <v>8518.6</v>
      </c>
      <c r="Y33" s="7">
        <f ca="1">AVERAGE(E33:OFFSET(E33,-$Y$5+1,0))</f>
        <v>8466</v>
      </c>
      <c r="Z33" s="7"/>
      <c r="AA33" s="24"/>
      <c r="AB33" s="24"/>
    </row>
    <row r="34" spans="1:28" hidden="1">
      <c r="A34" s="3" t="s">
        <v>25</v>
      </c>
      <c r="B34" s="4">
        <v>41694</v>
      </c>
      <c r="C34" s="3">
        <v>8591</v>
      </c>
      <c r="D34" s="3">
        <v>8605</v>
      </c>
      <c r="E34" s="3">
        <v>8534</v>
      </c>
      <c r="F34" s="3">
        <v>8549</v>
      </c>
      <c r="G34" s="3">
        <v>73629</v>
      </c>
      <c r="H34" s="3">
        <v>1.355</v>
      </c>
      <c r="I34" s="2">
        <f t="shared" si="0"/>
        <v>0</v>
      </c>
      <c r="J34" s="10">
        <f t="shared" si="2"/>
        <v>4</v>
      </c>
      <c r="K34" s="10">
        <f t="shared" si="1"/>
        <v>-42</v>
      </c>
      <c r="X34" s="7">
        <f ca="1">AVERAGE(E34:OFFSET(E34,-$X$5+1,0))</f>
        <v>8522.6</v>
      </c>
      <c r="Y34" s="7">
        <f ca="1">AVERAGE(E34:OFFSET(E34,-$Y$5+1,0))</f>
        <v>8484.1</v>
      </c>
      <c r="Z34" s="7"/>
      <c r="AA34" s="24"/>
      <c r="AB34" s="24"/>
    </row>
    <row r="35" spans="1:28" hidden="1">
      <c r="A35" s="3" t="s">
        <v>25</v>
      </c>
      <c r="B35" s="4">
        <v>41695</v>
      </c>
      <c r="C35" s="3">
        <v>8603</v>
      </c>
      <c r="D35" s="3">
        <v>8608</v>
      </c>
      <c r="E35" s="3">
        <v>8565</v>
      </c>
      <c r="F35" s="3">
        <v>8573</v>
      </c>
      <c r="G35" s="3">
        <v>59959</v>
      </c>
      <c r="H35" s="3">
        <v>1.355</v>
      </c>
      <c r="I35" s="2">
        <f t="shared" si="0"/>
        <v>0</v>
      </c>
      <c r="J35" s="10">
        <f t="shared" si="2"/>
        <v>54</v>
      </c>
      <c r="K35" s="10">
        <f t="shared" si="1"/>
        <v>-30</v>
      </c>
      <c r="X35" s="7">
        <f ca="1">AVERAGE(E35:OFFSET(E35,-$X$5+1,0))</f>
        <v>8534.4</v>
      </c>
      <c r="Y35" s="7">
        <f ca="1">AVERAGE(E35:OFFSET(E35,-$Y$5+1,0))</f>
        <v>8506</v>
      </c>
      <c r="Z35" s="7"/>
      <c r="AA35" s="24"/>
      <c r="AB35" s="24"/>
    </row>
    <row r="36" spans="1:28" hidden="1">
      <c r="A36" s="3" t="s">
        <v>25</v>
      </c>
      <c r="B36" s="4">
        <v>41696</v>
      </c>
      <c r="C36" s="3">
        <v>8565</v>
      </c>
      <c r="D36" s="3">
        <v>8627</v>
      </c>
      <c r="E36" s="3">
        <v>8553</v>
      </c>
      <c r="F36" s="3">
        <v>8608</v>
      </c>
      <c r="G36" s="3">
        <v>78863</v>
      </c>
      <c r="H36" s="3">
        <v>1.355</v>
      </c>
      <c r="I36" s="2">
        <f t="shared" si="0"/>
        <v>0</v>
      </c>
      <c r="J36" s="10">
        <f t="shared" si="2"/>
        <v>-8</v>
      </c>
      <c r="K36" s="10">
        <f t="shared" si="1"/>
        <v>43</v>
      </c>
      <c r="X36" s="7">
        <f ca="1">AVERAGE(E36:OFFSET(E36,-$X$5+1,0))</f>
        <v>8538</v>
      </c>
      <c r="Y36" s="7">
        <f ca="1">AVERAGE(E36:OFFSET(E36,-$Y$5+1,0))</f>
        <v>8517.6</v>
      </c>
      <c r="Z36" s="7"/>
      <c r="AA36" s="24"/>
      <c r="AB36" s="24"/>
    </row>
    <row r="37" spans="1:28" hidden="1">
      <c r="A37" s="3" t="s">
        <v>25</v>
      </c>
      <c r="B37" s="4">
        <v>41697</v>
      </c>
      <c r="C37" s="3">
        <v>8609</v>
      </c>
      <c r="D37" s="3">
        <v>8631</v>
      </c>
      <c r="E37" s="3">
        <v>8602</v>
      </c>
      <c r="F37" s="3">
        <v>8624</v>
      </c>
      <c r="G37" s="3">
        <v>62426</v>
      </c>
      <c r="H37" s="3">
        <v>1.355</v>
      </c>
      <c r="I37" s="2">
        <f t="shared" si="0"/>
        <v>0</v>
      </c>
      <c r="J37" s="10">
        <f t="shared" si="2"/>
        <v>1</v>
      </c>
      <c r="K37" s="10">
        <f t="shared" si="1"/>
        <v>15</v>
      </c>
      <c r="X37" s="7">
        <f ca="1">AVERAGE(E37:OFFSET(E37,-$X$5+1,0))</f>
        <v>8561.7999999999993</v>
      </c>
      <c r="Y37" s="7">
        <f ca="1">AVERAGE(E37:OFFSET(E37,-$Y$5+1,0))</f>
        <v>8533.5</v>
      </c>
      <c r="Z37" s="7"/>
      <c r="AA37" s="24"/>
      <c r="AB37" s="24"/>
    </row>
    <row r="38" spans="1:28" hidden="1">
      <c r="A38" s="3" t="s">
        <v>25</v>
      </c>
      <c r="B38" s="4">
        <v>41701</v>
      </c>
      <c r="C38" s="3">
        <v>8559</v>
      </c>
      <c r="D38" s="3">
        <v>8580</v>
      </c>
      <c r="E38" s="3">
        <v>8510</v>
      </c>
      <c r="F38" s="3">
        <v>8566</v>
      </c>
      <c r="G38" s="3">
        <v>102233</v>
      </c>
      <c r="H38" s="3">
        <v>1.355</v>
      </c>
      <c r="I38" s="2">
        <f t="shared" si="0"/>
        <v>0</v>
      </c>
      <c r="J38" s="10">
        <f t="shared" si="2"/>
        <v>-65</v>
      </c>
      <c r="K38" s="10">
        <f t="shared" si="1"/>
        <v>7</v>
      </c>
      <c r="X38" s="7">
        <f ca="1">AVERAGE(E38:OFFSET(E38,-$X$5+1,0))</f>
        <v>8552.7999999999993</v>
      </c>
      <c r="Y38" s="7">
        <f ca="1">AVERAGE(E38:OFFSET(E38,-$Y$5+1,0))</f>
        <v>8535.7000000000007</v>
      </c>
      <c r="Z38" s="7"/>
      <c r="AA38" s="24"/>
      <c r="AB38" s="24"/>
    </row>
    <row r="39" spans="1:28" hidden="1">
      <c r="A39" s="3" t="s">
        <v>25</v>
      </c>
      <c r="B39" s="4">
        <v>41702</v>
      </c>
      <c r="C39" s="3">
        <v>8560</v>
      </c>
      <c r="D39" s="3">
        <v>8582</v>
      </c>
      <c r="E39" s="3">
        <v>8539</v>
      </c>
      <c r="F39" s="3">
        <v>8553</v>
      </c>
      <c r="G39" s="3">
        <v>68908</v>
      </c>
      <c r="H39" s="3">
        <v>1.355</v>
      </c>
      <c r="I39" s="2">
        <f t="shared" si="0"/>
        <v>0</v>
      </c>
      <c r="J39" s="10">
        <f t="shared" si="2"/>
        <v>-6</v>
      </c>
      <c r="K39" s="10">
        <f t="shared" si="1"/>
        <v>-7</v>
      </c>
      <c r="X39" s="7">
        <f ca="1">AVERAGE(E39:OFFSET(E39,-$X$5+1,0))</f>
        <v>8553.7999999999993</v>
      </c>
      <c r="Y39" s="7">
        <f ca="1">AVERAGE(E39:OFFSET(E39,-$Y$5+1,0))</f>
        <v>8538.2000000000007</v>
      </c>
      <c r="Z39" s="7"/>
      <c r="AA39" s="24"/>
      <c r="AB39" s="24"/>
    </row>
    <row r="40" spans="1:28" hidden="1">
      <c r="A40" s="3" t="s">
        <v>25</v>
      </c>
      <c r="B40" s="4">
        <v>41703</v>
      </c>
      <c r="C40" s="3">
        <v>8640</v>
      </c>
      <c r="D40" s="3">
        <v>8647</v>
      </c>
      <c r="E40" s="3">
        <v>8610</v>
      </c>
      <c r="F40" s="3">
        <v>8619</v>
      </c>
      <c r="G40" s="3">
        <v>59854</v>
      </c>
      <c r="H40" s="3">
        <v>1.355</v>
      </c>
      <c r="I40" s="2">
        <f t="shared" si="0"/>
        <v>0</v>
      </c>
      <c r="J40" s="10">
        <f t="shared" si="2"/>
        <v>87</v>
      </c>
      <c r="K40" s="10">
        <f t="shared" si="1"/>
        <v>-21</v>
      </c>
      <c r="X40" s="7">
        <f ca="1">AVERAGE(E40:OFFSET(E40,-$X$5+1,0))</f>
        <v>8562.7999999999993</v>
      </c>
      <c r="Y40" s="7">
        <f ca="1">AVERAGE(E40:OFFSET(E40,-$Y$5+1,0))</f>
        <v>8548.6</v>
      </c>
      <c r="Z40" s="7"/>
      <c r="AA40" s="24"/>
      <c r="AB40" s="24"/>
    </row>
    <row r="41" spans="1:28" hidden="1">
      <c r="A41" s="3" t="s">
        <v>25</v>
      </c>
      <c r="B41" s="4">
        <v>41704</v>
      </c>
      <c r="C41" s="3">
        <v>8623</v>
      </c>
      <c r="D41" s="3">
        <v>8709</v>
      </c>
      <c r="E41" s="3">
        <v>8619</v>
      </c>
      <c r="F41" s="3">
        <v>8695</v>
      </c>
      <c r="G41" s="3">
        <v>87968</v>
      </c>
      <c r="H41" s="3">
        <v>1.355</v>
      </c>
      <c r="I41" s="2">
        <f t="shared" si="0"/>
        <v>0</v>
      </c>
      <c r="J41" s="10">
        <f t="shared" si="2"/>
        <v>4</v>
      </c>
      <c r="K41" s="10">
        <f t="shared" si="1"/>
        <v>72</v>
      </c>
      <c r="X41" s="7">
        <f ca="1">AVERAGE(E41:OFFSET(E41,-$X$5+1,0))</f>
        <v>8576</v>
      </c>
      <c r="Y41" s="7">
        <f ca="1">AVERAGE(E41:OFFSET(E41,-$Y$5+1,0))</f>
        <v>8557</v>
      </c>
      <c r="Z41" s="7"/>
      <c r="AA41" s="24"/>
      <c r="AB41" s="24"/>
    </row>
    <row r="42" spans="1:28" hidden="1">
      <c r="A42" s="3" t="s">
        <v>25</v>
      </c>
      <c r="B42" s="4">
        <v>41705</v>
      </c>
      <c r="C42" s="3">
        <v>8730</v>
      </c>
      <c r="D42" s="3">
        <v>8772</v>
      </c>
      <c r="E42" s="3">
        <v>8676</v>
      </c>
      <c r="F42" s="3">
        <v>8705</v>
      </c>
      <c r="G42" s="3">
        <v>104339</v>
      </c>
      <c r="H42" s="3">
        <v>1.355</v>
      </c>
      <c r="I42" s="2">
        <f t="shared" si="0"/>
        <v>0</v>
      </c>
      <c r="J42" s="10">
        <f t="shared" si="2"/>
        <v>35</v>
      </c>
      <c r="K42" s="10">
        <f t="shared" si="1"/>
        <v>-25</v>
      </c>
      <c r="X42" s="7">
        <f ca="1">AVERAGE(E42:OFFSET(E42,-$X$5+1,0))</f>
        <v>8590.7999999999993</v>
      </c>
      <c r="Y42" s="7">
        <f ca="1">AVERAGE(E42:OFFSET(E42,-$Y$5+1,0))</f>
        <v>8576.2999999999993</v>
      </c>
      <c r="Z42" s="7"/>
      <c r="AA42" s="24"/>
      <c r="AB42" s="24"/>
    </row>
    <row r="43" spans="1:28" hidden="1">
      <c r="A43" s="3" t="s">
        <v>25</v>
      </c>
      <c r="B43" s="4">
        <v>41708</v>
      </c>
      <c r="C43" s="3">
        <v>8673</v>
      </c>
      <c r="D43" s="3">
        <v>8694</v>
      </c>
      <c r="E43" s="3">
        <v>8654</v>
      </c>
      <c r="F43" s="3">
        <v>8677</v>
      </c>
      <c r="G43" s="3">
        <v>69919</v>
      </c>
      <c r="H43" s="3">
        <v>1.355</v>
      </c>
      <c r="I43" s="2">
        <f t="shared" si="0"/>
        <v>0</v>
      </c>
      <c r="J43" s="10">
        <f t="shared" si="2"/>
        <v>-32</v>
      </c>
      <c r="K43" s="10">
        <f t="shared" si="1"/>
        <v>4</v>
      </c>
      <c r="X43" s="7">
        <f ca="1">AVERAGE(E43:OFFSET(E43,-$X$5+1,0))</f>
        <v>8619.6</v>
      </c>
      <c r="Y43" s="7">
        <f ca="1">AVERAGE(E43:OFFSET(E43,-$Y$5+1,0))</f>
        <v>8586.2000000000007</v>
      </c>
      <c r="Z43" s="7"/>
      <c r="AA43" s="24"/>
      <c r="AB43" s="24"/>
    </row>
    <row r="44" spans="1:28" hidden="1">
      <c r="A44" s="3" t="s">
        <v>25</v>
      </c>
      <c r="B44" s="4">
        <v>41709</v>
      </c>
      <c r="C44" s="3">
        <v>8690</v>
      </c>
      <c r="D44" s="3">
        <v>8723</v>
      </c>
      <c r="E44" s="3">
        <v>8678</v>
      </c>
      <c r="F44" s="3">
        <v>8715</v>
      </c>
      <c r="G44" s="3">
        <v>67391</v>
      </c>
      <c r="H44" s="3">
        <v>1.355</v>
      </c>
      <c r="I44" s="2">
        <f t="shared" si="0"/>
        <v>0</v>
      </c>
      <c r="J44" s="10">
        <f t="shared" si="2"/>
        <v>13</v>
      </c>
      <c r="K44" s="10">
        <f t="shared" si="1"/>
        <v>25</v>
      </c>
      <c r="X44" s="7">
        <f ca="1">AVERAGE(E44:OFFSET(E44,-$X$5+1,0))</f>
        <v>8647.4</v>
      </c>
      <c r="Y44" s="7">
        <f ca="1">AVERAGE(E44:OFFSET(E44,-$Y$5+1,0))</f>
        <v>8600.6</v>
      </c>
      <c r="Z44" s="7"/>
      <c r="AA44" s="24"/>
      <c r="AB44" s="24"/>
    </row>
    <row r="45" spans="1:28" hidden="1">
      <c r="A45" s="3" t="s">
        <v>25</v>
      </c>
      <c r="B45" s="4">
        <v>41710</v>
      </c>
      <c r="C45" s="3">
        <v>8666</v>
      </c>
      <c r="D45" s="3">
        <v>8673</v>
      </c>
      <c r="E45" s="3">
        <v>8645</v>
      </c>
      <c r="F45" s="3">
        <v>8662</v>
      </c>
      <c r="G45" s="3">
        <v>73277</v>
      </c>
      <c r="H45" s="3">
        <v>1.355</v>
      </c>
      <c r="I45" s="2">
        <f t="shared" si="0"/>
        <v>0</v>
      </c>
      <c r="J45" s="10">
        <f t="shared" si="2"/>
        <v>-49</v>
      </c>
      <c r="K45" s="10">
        <f t="shared" si="1"/>
        <v>-4</v>
      </c>
      <c r="X45" s="7">
        <f ca="1">AVERAGE(E45:OFFSET(E45,-$X$5+1,0))</f>
        <v>8654.4</v>
      </c>
      <c r="Y45" s="7">
        <f ca="1">AVERAGE(E45:OFFSET(E45,-$Y$5+1,0))</f>
        <v>8608.6</v>
      </c>
      <c r="Z45" s="7"/>
      <c r="AA45" s="24"/>
      <c r="AB45" s="24"/>
    </row>
    <row r="46" spans="1:28" hidden="1">
      <c r="A46" s="3" t="s">
        <v>25</v>
      </c>
      <c r="B46" s="4">
        <v>41711</v>
      </c>
      <c r="C46" s="3">
        <v>8702</v>
      </c>
      <c r="D46" s="3">
        <v>8756</v>
      </c>
      <c r="E46" s="3">
        <v>8694</v>
      </c>
      <c r="F46" s="3">
        <v>8740</v>
      </c>
      <c r="G46" s="3">
        <v>84582</v>
      </c>
      <c r="H46" s="3">
        <v>1.355</v>
      </c>
      <c r="I46" s="2">
        <f t="shared" si="0"/>
        <v>0</v>
      </c>
      <c r="J46" s="10">
        <f t="shared" si="2"/>
        <v>40</v>
      </c>
      <c r="K46" s="10">
        <f t="shared" si="1"/>
        <v>38</v>
      </c>
      <c r="X46" s="7">
        <f ca="1">AVERAGE(E46:OFFSET(E46,-$X$5+1,0))</f>
        <v>8669.4</v>
      </c>
      <c r="Y46" s="7">
        <f ca="1">AVERAGE(E46:OFFSET(E46,-$Y$5+1,0))</f>
        <v>8622.7000000000007</v>
      </c>
      <c r="Z46" s="7"/>
      <c r="AA46" s="24"/>
      <c r="AB46" s="24"/>
    </row>
    <row r="47" spans="1:28" hidden="1">
      <c r="A47" s="3" t="s">
        <v>25</v>
      </c>
      <c r="B47" s="4">
        <v>41712</v>
      </c>
      <c r="C47" s="3">
        <v>8673</v>
      </c>
      <c r="D47" s="3">
        <v>8701</v>
      </c>
      <c r="E47" s="3">
        <v>8671</v>
      </c>
      <c r="F47" s="3">
        <v>8693</v>
      </c>
      <c r="G47" s="3">
        <v>58515</v>
      </c>
      <c r="H47" s="3">
        <v>1.355</v>
      </c>
      <c r="I47" s="2">
        <f t="shared" si="0"/>
        <v>0</v>
      </c>
      <c r="J47" s="10">
        <f t="shared" si="2"/>
        <v>-67</v>
      </c>
      <c r="K47" s="10">
        <f t="shared" si="1"/>
        <v>20</v>
      </c>
      <c r="X47" s="7">
        <f ca="1">AVERAGE(E47:OFFSET(E47,-$X$5+1,0))</f>
        <v>8668.4</v>
      </c>
      <c r="Y47" s="7">
        <f ca="1">AVERAGE(E47:OFFSET(E47,-$Y$5+1,0))</f>
        <v>8629.6</v>
      </c>
      <c r="Z47" s="7"/>
      <c r="AA47" s="24"/>
      <c r="AB47" s="24"/>
    </row>
    <row r="48" spans="1:28" hidden="1">
      <c r="A48" s="3" t="s">
        <v>25</v>
      </c>
      <c r="B48" s="4">
        <v>41715</v>
      </c>
      <c r="C48" s="3">
        <v>8703</v>
      </c>
      <c r="D48" s="3">
        <v>8715</v>
      </c>
      <c r="E48" s="3">
        <v>8655</v>
      </c>
      <c r="F48" s="3">
        <v>8701</v>
      </c>
      <c r="G48" s="3">
        <v>77365</v>
      </c>
      <c r="H48" s="3">
        <v>1.355</v>
      </c>
      <c r="I48" s="2">
        <f t="shared" si="0"/>
        <v>0</v>
      </c>
      <c r="J48" s="10">
        <f t="shared" si="2"/>
        <v>10</v>
      </c>
      <c r="K48" s="10">
        <f t="shared" si="1"/>
        <v>-2</v>
      </c>
      <c r="X48" s="7">
        <f ca="1">AVERAGE(E48:OFFSET(E48,-$X$5+1,0))</f>
        <v>8668.6</v>
      </c>
      <c r="Y48" s="7">
        <f ca="1">AVERAGE(E48:OFFSET(E48,-$Y$5+1,0))</f>
        <v>8644.1</v>
      </c>
      <c r="Z48" s="7"/>
      <c r="AA48" s="24"/>
      <c r="AB48" s="24"/>
    </row>
    <row r="49" spans="1:30" hidden="1">
      <c r="A49" s="3" t="s">
        <v>25</v>
      </c>
      <c r="B49" s="4">
        <v>41716</v>
      </c>
      <c r="C49" s="3">
        <v>8745</v>
      </c>
      <c r="D49" s="3">
        <v>8751</v>
      </c>
      <c r="E49" s="3">
        <v>8712</v>
      </c>
      <c r="F49" s="3">
        <v>8727</v>
      </c>
      <c r="G49" s="3">
        <v>65644</v>
      </c>
      <c r="H49" s="3">
        <v>1.355</v>
      </c>
      <c r="I49" s="2">
        <f t="shared" si="0"/>
        <v>0</v>
      </c>
      <c r="J49" s="10">
        <f t="shared" si="2"/>
        <v>44</v>
      </c>
      <c r="K49" s="10">
        <f t="shared" si="1"/>
        <v>-18</v>
      </c>
      <c r="X49" s="7">
        <f ca="1">AVERAGE(E49:OFFSET(E49,-$X$5+1,0))</f>
        <v>8675.4</v>
      </c>
      <c r="Y49" s="7">
        <f ca="1">AVERAGE(E49:OFFSET(E49,-$Y$5+1,0))</f>
        <v>8661.4</v>
      </c>
      <c r="Z49" s="7"/>
      <c r="AA49" s="24"/>
      <c r="AB49" s="24"/>
    </row>
    <row r="50" spans="1:30" hidden="1">
      <c r="A50" s="3" t="s">
        <v>25</v>
      </c>
      <c r="B50" s="4">
        <v>41717</v>
      </c>
      <c r="C50" s="3">
        <v>8734</v>
      </c>
      <c r="D50" s="3">
        <v>8742</v>
      </c>
      <c r="E50" s="3">
        <v>8684</v>
      </c>
      <c r="F50" s="3">
        <v>8696</v>
      </c>
      <c r="G50" s="3">
        <v>47587</v>
      </c>
      <c r="H50" s="3">
        <v>1.355</v>
      </c>
      <c r="I50" s="2">
        <f t="shared" si="0"/>
        <v>1</v>
      </c>
      <c r="J50" s="10">
        <f t="shared" si="2"/>
        <v>7</v>
      </c>
      <c r="K50" s="10">
        <f t="shared" si="1"/>
        <v>-38</v>
      </c>
      <c r="X50" s="7">
        <f ca="1">AVERAGE(E50:OFFSET(E50,-$X$5+1,0))</f>
        <v>8683.2000000000007</v>
      </c>
      <c r="Y50" s="7">
        <f ca="1">AVERAGE(E50:OFFSET(E50,-$Y$5+1,0))</f>
        <v>8668.7999999999993</v>
      </c>
      <c r="Z50" s="7"/>
      <c r="AA50" s="24"/>
      <c r="AB50" s="24"/>
    </row>
    <row r="51" spans="1:30" hidden="1">
      <c r="A51" s="3" t="s">
        <v>26</v>
      </c>
      <c r="B51" s="4">
        <v>41718</v>
      </c>
      <c r="C51" s="3">
        <v>8638</v>
      </c>
      <c r="D51" s="3">
        <v>8639</v>
      </c>
      <c r="E51" s="3">
        <v>8561</v>
      </c>
      <c r="F51" s="3">
        <v>8568</v>
      </c>
      <c r="G51" s="3">
        <v>95027</v>
      </c>
      <c r="H51" s="3">
        <v>1.355</v>
      </c>
      <c r="I51" s="2">
        <f t="shared" si="0"/>
        <v>0</v>
      </c>
      <c r="J51" s="10">
        <f t="shared" si="2"/>
        <v>-58</v>
      </c>
      <c r="K51" s="10">
        <f t="shared" si="1"/>
        <v>-70</v>
      </c>
      <c r="X51" s="7">
        <f ca="1">AVERAGE(E51:OFFSET(E51,-$X$5+1,0))</f>
        <v>8656.6</v>
      </c>
      <c r="Y51" s="7">
        <f ca="1">AVERAGE(E51:OFFSET(E51,-$Y$5+1,0))</f>
        <v>8663</v>
      </c>
      <c r="Z51" s="7"/>
      <c r="AA51" s="32"/>
      <c r="AB51" s="32"/>
    </row>
    <row r="52" spans="1:30" hidden="1">
      <c r="A52" s="3" t="s">
        <v>26</v>
      </c>
      <c r="B52" s="4">
        <v>41719</v>
      </c>
      <c r="C52" s="3">
        <v>8586</v>
      </c>
      <c r="D52" s="3">
        <v>8598</v>
      </c>
      <c r="E52" s="3">
        <v>8558</v>
      </c>
      <c r="F52" s="3">
        <v>8575</v>
      </c>
      <c r="G52" s="3">
        <v>66251</v>
      </c>
      <c r="H52" s="3">
        <v>1.355</v>
      </c>
      <c r="I52" s="2">
        <f t="shared" si="0"/>
        <v>0</v>
      </c>
      <c r="J52" s="10">
        <f t="shared" si="2"/>
        <v>18</v>
      </c>
      <c r="K52" s="10">
        <f t="shared" si="1"/>
        <v>-11</v>
      </c>
      <c r="X52" s="7">
        <f ca="1">AVERAGE(E52:OFFSET(E52,-$X$5+1,0))</f>
        <v>8634</v>
      </c>
      <c r="Y52" s="7">
        <f ca="1">AVERAGE(E52:OFFSET(E52,-$Y$5+1,0))</f>
        <v>8651.2000000000007</v>
      </c>
      <c r="Z52" s="7"/>
      <c r="AA52" s="24"/>
      <c r="AB52" s="24"/>
    </row>
    <row r="53" spans="1:30" hidden="1">
      <c r="A53" s="3" t="s">
        <v>26</v>
      </c>
      <c r="B53" s="4">
        <v>41722</v>
      </c>
      <c r="C53" s="3">
        <v>8550</v>
      </c>
      <c r="D53" s="3">
        <v>8605</v>
      </c>
      <c r="E53" s="3">
        <v>8523</v>
      </c>
      <c r="F53" s="3">
        <v>8601</v>
      </c>
      <c r="G53" s="3">
        <v>99699</v>
      </c>
      <c r="H53" s="3">
        <v>1.355</v>
      </c>
      <c r="I53" s="2">
        <f t="shared" si="0"/>
        <v>0</v>
      </c>
      <c r="J53" s="10">
        <f t="shared" si="2"/>
        <v>-25</v>
      </c>
      <c r="K53" s="10">
        <f t="shared" si="1"/>
        <v>51</v>
      </c>
      <c r="X53" s="7">
        <f ca="1">AVERAGE(E53:OFFSET(E53,-$X$5+1,0))</f>
        <v>8607.6</v>
      </c>
      <c r="Y53" s="7">
        <f ca="1">AVERAGE(E53:OFFSET(E53,-$Y$5+1,0))</f>
        <v>8638.1</v>
      </c>
      <c r="Z53" s="7"/>
      <c r="AA53" s="23"/>
      <c r="AB53" s="23"/>
    </row>
    <row r="54" spans="1:30" hidden="1">
      <c r="A54" s="3" t="s">
        <v>26</v>
      </c>
      <c r="B54" s="4">
        <v>41723</v>
      </c>
      <c r="C54" s="3">
        <v>8589</v>
      </c>
      <c r="D54" s="3">
        <v>8660</v>
      </c>
      <c r="E54" s="3">
        <v>8576</v>
      </c>
      <c r="F54" s="3">
        <v>8659</v>
      </c>
      <c r="G54" s="3">
        <v>91751</v>
      </c>
      <c r="H54" s="3">
        <v>1.355</v>
      </c>
      <c r="I54" s="2">
        <f t="shared" si="0"/>
        <v>0</v>
      </c>
      <c r="J54" s="10">
        <f t="shared" si="2"/>
        <v>-12</v>
      </c>
      <c r="K54" s="10">
        <f t="shared" si="1"/>
        <v>70</v>
      </c>
      <c r="X54" s="7">
        <f ca="1">AVERAGE(E54:OFFSET(E54,-$X$5+1,0))</f>
        <v>8580.4</v>
      </c>
      <c r="Y54" s="7">
        <f ca="1">AVERAGE(E54:OFFSET(E54,-$Y$5+1,0))</f>
        <v>8627.9</v>
      </c>
      <c r="Z54" s="7"/>
    </row>
    <row r="55" spans="1:30" hidden="1">
      <c r="A55" s="3" t="s">
        <v>26</v>
      </c>
      <c r="B55" s="4">
        <v>41724</v>
      </c>
      <c r="C55" s="3">
        <v>8708</v>
      </c>
      <c r="D55" s="3">
        <v>8722</v>
      </c>
      <c r="E55" s="3">
        <v>8682</v>
      </c>
      <c r="F55" s="3">
        <v>8711</v>
      </c>
      <c r="G55" s="3">
        <v>77869</v>
      </c>
      <c r="H55" s="3">
        <v>1.355</v>
      </c>
      <c r="I55" s="2">
        <f t="shared" si="0"/>
        <v>0</v>
      </c>
      <c r="J55" s="10">
        <f t="shared" si="2"/>
        <v>49</v>
      </c>
      <c r="K55" s="10">
        <f t="shared" si="1"/>
        <v>3</v>
      </c>
      <c r="X55" s="7">
        <f ca="1">AVERAGE(E55:OFFSET(E55,-$X$5+1,0))</f>
        <v>8580</v>
      </c>
      <c r="Y55" s="7">
        <f ca="1">AVERAGE(E55:OFFSET(E55,-$Y$5+1,0))</f>
        <v>8631.6</v>
      </c>
      <c r="Z55" s="7"/>
    </row>
    <row r="56" spans="1:30" hidden="1">
      <c r="A56" s="3" t="s">
        <v>26</v>
      </c>
      <c r="B56" s="4">
        <v>41725</v>
      </c>
      <c r="C56" s="3">
        <v>8705</v>
      </c>
      <c r="D56" s="3">
        <v>8756</v>
      </c>
      <c r="E56" s="3">
        <v>8695</v>
      </c>
      <c r="F56" s="3">
        <v>8754</v>
      </c>
      <c r="G56" s="3">
        <v>86325</v>
      </c>
      <c r="H56" s="3">
        <v>1.355</v>
      </c>
      <c r="I56" s="2">
        <f t="shared" si="0"/>
        <v>0</v>
      </c>
      <c r="J56" s="10">
        <f t="shared" si="2"/>
        <v>-6</v>
      </c>
      <c r="K56" s="10">
        <f t="shared" si="1"/>
        <v>49</v>
      </c>
      <c r="X56" s="7">
        <f ca="1">AVERAGE(E56:OFFSET(E56,-$X$5+1,0))</f>
        <v>8606.7999999999993</v>
      </c>
      <c r="Y56" s="7">
        <f ca="1">AVERAGE(E56:OFFSET(E56,-$Y$5+1,0))</f>
        <v>8631.7000000000007</v>
      </c>
      <c r="Z56" s="7"/>
    </row>
    <row r="57" spans="1:30" hidden="1">
      <c r="A57" s="3" t="s">
        <v>26</v>
      </c>
      <c r="B57" s="4">
        <v>41726</v>
      </c>
      <c r="C57" s="3">
        <v>8754</v>
      </c>
      <c r="D57" s="3">
        <v>8776</v>
      </c>
      <c r="E57" s="3">
        <v>8729</v>
      </c>
      <c r="F57" s="3">
        <v>8735</v>
      </c>
      <c r="G57" s="3">
        <v>78831</v>
      </c>
      <c r="H57" s="3">
        <v>1.355</v>
      </c>
      <c r="I57" s="2">
        <f t="shared" si="0"/>
        <v>0</v>
      </c>
      <c r="J57" s="10">
        <f t="shared" si="2"/>
        <v>0</v>
      </c>
      <c r="K57" s="10">
        <f t="shared" si="1"/>
        <v>-19</v>
      </c>
      <c r="X57" s="7">
        <f ca="1">AVERAGE(E57:OFFSET(E57,-$X$5+1,0))</f>
        <v>8641</v>
      </c>
      <c r="Y57" s="7">
        <f ca="1">AVERAGE(E57:OFFSET(E57,-$Y$5+1,0))</f>
        <v>8637.5</v>
      </c>
      <c r="Z57" s="7"/>
    </row>
    <row r="58" spans="1:30" hidden="1">
      <c r="A58" s="3" t="s">
        <v>26</v>
      </c>
      <c r="B58" s="4">
        <v>41729</v>
      </c>
      <c r="C58" s="3">
        <v>8779</v>
      </c>
      <c r="D58" s="3">
        <v>8794</v>
      </c>
      <c r="E58" s="3">
        <v>8734</v>
      </c>
      <c r="F58" s="3">
        <v>8789</v>
      </c>
      <c r="G58" s="3">
        <v>76765</v>
      </c>
      <c r="H58" s="3">
        <v>1.355</v>
      </c>
      <c r="I58" s="2">
        <f t="shared" si="0"/>
        <v>0</v>
      </c>
      <c r="J58" s="10">
        <f t="shared" si="2"/>
        <v>44</v>
      </c>
      <c r="K58" s="10">
        <f t="shared" si="1"/>
        <v>10</v>
      </c>
      <c r="X58" s="7">
        <f ca="1">AVERAGE(E58:OFFSET(E58,-$X$5+1,0))</f>
        <v>8683.2000000000007</v>
      </c>
      <c r="Y58" s="7">
        <f ca="1">AVERAGE(E58:OFFSET(E58,-$Y$5+1,0))</f>
        <v>8645.4</v>
      </c>
      <c r="Z58" s="7"/>
      <c r="AA58" s="28"/>
      <c r="AB58" s="28"/>
    </row>
    <row r="59" spans="1:30" hidden="1">
      <c r="A59" s="3" t="s">
        <v>26</v>
      </c>
      <c r="B59" s="4">
        <v>41730</v>
      </c>
      <c r="C59" s="3">
        <v>8780</v>
      </c>
      <c r="D59" s="3">
        <v>8833</v>
      </c>
      <c r="E59" s="3">
        <v>8773</v>
      </c>
      <c r="F59" s="3">
        <v>8829</v>
      </c>
      <c r="G59" s="3">
        <v>77021</v>
      </c>
      <c r="H59" s="3">
        <v>1.355</v>
      </c>
      <c r="I59" s="2">
        <f t="shared" si="0"/>
        <v>0</v>
      </c>
      <c r="J59" s="10">
        <f t="shared" si="2"/>
        <v>-9</v>
      </c>
      <c r="K59" s="10">
        <f t="shared" si="1"/>
        <v>49</v>
      </c>
      <c r="X59" s="7">
        <f ca="1">AVERAGE(E59:OFFSET(E59,-$X$5+1,0))</f>
        <v>8722.6</v>
      </c>
      <c r="Y59" s="7">
        <f ca="1">AVERAGE(E59:OFFSET(E59,-$Y$5+1,0))</f>
        <v>8651.5</v>
      </c>
      <c r="Z59" s="7"/>
      <c r="AA59" s="28"/>
      <c r="AB59" s="28"/>
    </row>
    <row r="60" spans="1:30">
      <c r="A60" s="3" t="s">
        <v>26</v>
      </c>
      <c r="B60" s="4">
        <v>41731</v>
      </c>
      <c r="C60" s="3">
        <v>8850</v>
      </c>
      <c r="D60" s="3">
        <v>8888</v>
      </c>
      <c r="E60" s="3">
        <v>8841</v>
      </c>
      <c r="F60" s="3">
        <v>8855</v>
      </c>
      <c r="G60" s="3">
        <v>73667</v>
      </c>
      <c r="H60" s="3">
        <v>1.355</v>
      </c>
      <c r="I60" s="2">
        <f t="shared" si="0"/>
        <v>0</v>
      </c>
      <c r="J60" s="10">
        <f t="shared" si="2"/>
        <v>21</v>
      </c>
      <c r="K60" s="10">
        <f t="shared" si="1"/>
        <v>5</v>
      </c>
      <c r="L60" s="10">
        <v>0</v>
      </c>
      <c r="M60" s="10">
        <v>0</v>
      </c>
      <c r="N60" s="10">
        <v>0</v>
      </c>
      <c r="O60" s="10">
        <v>0</v>
      </c>
      <c r="P60" s="10">
        <v>0</v>
      </c>
      <c r="Q60" s="12">
        <v>0</v>
      </c>
      <c r="U60" s="12">
        <v>0</v>
      </c>
      <c r="X60" s="7">
        <f ca="1">AVERAGE(E60:OFFSET(F60,-$X$5+1,0))</f>
        <v>8773.4</v>
      </c>
      <c r="Y60" s="7">
        <f ca="1">AVERAGE(E60:OFFSET(F60,-$Y$5+1,0))</f>
        <v>8687.4</v>
      </c>
      <c r="Z60" s="7">
        <f ca="1">IF(AND(X59&lt;=Y59,X60&gt;Y60),1,IF(AND(X59&gt;Y59,X60&lt;=Y60),-1,0))</f>
        <v>0</v>
      </c>
      <c r="AA60" s="28"/>
      <c r="AB60" s="28"/>
    </row>
    <row r="61" spans="1:30">
      <c r="A61" s="3" t="s">
        <v>26</v>
      </c>
      <c r="B61" s="4">
        <v>41732</v>
      </c>
      <c r="C61" s="3">
        <v>8858</v>
      </c>
      <c r="D61" s="3">
        <v>8878</v>
      </c>
      <c r="E61" s="3">
        <v>8845</v>
      </c>
      <c r="F61" s="3">
        <v>8868</v>
      </c>
      <c r="G61" s="3">
        <v>58189</v>
      </c>
      <c r="H61" s="3">
        <v>1.355</v>
      </c>
      <c r="I61" s="2">
        <f t="shared" si="0"/>
        <v>0</v>
      </c>
      <c r="J61" s="10">
        <f t="shared" si="2"/>
        <v>3</v>
      </c>
      <c r="K61" s="10">
        <f t="shared" si="1"/>
        <v>10</v>
      </c>
      <c r="L61" s="10">
        <f t="shared" ref="L61:L92" ca="1" si="3">Z61</f>
        <v>0</v>
      </c>
      <c r="M61" s="10">
        <f>IF(I61=1,0,IF(M60+L60&gt;=$M$5,$M$5,IF(M60+L60&lt;=$M$7,$M$7,M60+L60)))</f>
        <v>0</v>
      </c>
      <c r="N61" s="10">
        <f>IF(M61=0,0,IF(M61&gt;M60,(C61+N60*M60)*$S$5,0))</f>
        <v>0</v>
      </c>
      <c r="O61" s="10">
        <f>IF(M61=0,0,IF(M61=M60,O60,((M61-M60)*C61+N60*M60)*$S$5/M61))</f>
        <v>0</v>
      </c>
      <c r="P61" s="10">
        <f>IF(M60=M61,(M60*J61+M61*K61)*$S$5,(M60*J61+M61*K61)*$S$5-$S$6)</f>
        <v>0</v>
      </c>
      <c r="Q61" s="12">
        <f>P61+Q60</f>
        <v>0</v>
      </c>
      <c r="R61" s="10">
        <f>IF(P61=0,0,IF(O61=0,100*P61/O60,100*P61/O61))</f>
        <v>0</v>
      </c>
      <c r="U61" s="12">
        <f>IF(Q61&gt;U60,Q61,U60)</f>
        <v>0</v>
      </c>
      <c r="V61" s="12">
        <f>IF(U61=0,0,100*(Q61-U61)/U61)</f>
        <v>0</v>
      </c>
      <c r="X61" s="7">
        <f ca="1">AVERAGE(E61:OFFSET(F61,-$X$5+1,0))</f>
        <v>8799.7999999999993</v>
      </c>
      <c r="Y61" s="7">
        <f ca="1">AVERAGE(E61:OFFSET(F61,-$Y$5+1,0))</f>
        <v>8716.6</v>
      </c>
      <c r="Z61" s="7">
        <f t="shared" ref="Z61:Z124" ca="1" si="4">IF(AND(X60&lt;=Y60,X61&gt;Y61),1,IF(AND(X60&gt;Y60,X61&lt;=Y61),-1,0))</f>
        <v>0</v>
      </c>
      <c r="AA61" s="28"/>
      <c r="AB61" s="28"/>
    </row>
    <row r="62" spans="1:30">
      <c r="A62" s="3" t="s">
        <v>26</v>
      </c>
      <c r="B62" s="4">
        <v>41736</v>
      </c>
      <c r="C62" s="3">
        <v>8811</v>
      </c>
      <c r="D62" s="3">
        <v>8861</v>
      </c>
      <c r="E62" s="3">
        <v>8803</v>
      </c>
      <c r="F62" s="3">
        <v>8858</v>
      </c>
      <c r="G62" s="3">
        <v>63927</v>
      </c>
      <c r="H62" s="3">
        <v>1.355</v>
      </c>
      <c r="I62" s="2">
        <f t="shared" si="0"/>
        <v>0</v>
      </c>
      <c r="J62" s="10">
        <f t="shared" si="2"/>
        <v>-57</v>
      </c>
      <c r="K62" s="10">
        <f t="shared" si="1"/>
        <v>47</v>
      </c>
      <c r="L62" s="10">
        <f t="shared" ca="1" si="3"/>
        <v>0</v>
      </c>
      <c r="M62" s="10">
        <f t="shared" ref="M62:M125" ca="1" si="5">IF(I62=1,0,IF(M61+L61&gt;=$M$5,$M$5,IF(M61+L61&lt;=$M$7,$M$7,M61+L61)))</f>
        <v>0</v>
      </c>
      <c r="N62" s="30">
        <f t="shared" ref="N62:N125" ca="1" si="6">IF(M62=0,0,IF(M62&gt;M61,(C62+N61*M61)*$S$5,0))</f>
        <v>0</v>
      </c>
      <c r="O62" s="10">
        <f t="shared" ref="O62:O125" ca="1" si="7">IF(M62=0,0,IF(M62=M61,O61,((M62-M61)*C62+N61*M61)*$S$5/M62))</f>
        <v>0</v>
      </c>
      <c r="P62" s="29">
        <f t="shared" ref="P62:P125" ca="1" si="8">IF(M61=M62,(M61*J62+M62*K62)*$S$5,(M61*J62+M62*K62)*$S$5-$S$6)</f>
        <v>0</v>
      </c>
      <c r="Q62" s="12">
        <f t="shared" ref="Q62:Q125" ca="1" si="9">P62+Q61</f>
        <v>0</v>
      </c>
      <c r="R62" s="10">
        <f t="shared" ref="R62:R125" ca="1" si="10">IF(P62=0,0,IF(O62=0,100*P62/O61,100*P62/O62))</f>
        <v>0</v>
      </c>
      <c r="U62" s="12">
        <f t="shared" ref="U62:U125" ca="1" si="11">IF(Q62&gt;U61,Q62,U61)</f>
        <v>0</v>
      </c>
      <c r="V62" s="14">
        <f t="shared" ref="V62:V125" ca="1" si="12">IF(U62=0,0,100*(Q62-U62)/U62)</f>
        <v>0</v>
      </c>
      <c r="X62" s="7">
        <f ca="1">AVERAGE(E62:OFFSET(F62,-$X$5+1,0))</f>
        <v>8819.5</v>
      </c>
      <c r="Y62" s="7">
        <f ca="1">AVERAGE(E62:OFFSET(F62,-$Y$5+1,0))</f>
        <v>8743</v>
      </c>
      <c r="Z62" s="7">
        <f t="shared" ca="1" si="4"/>
        <v>0</v>
      </c>
      <c r="AA62" s="28"/>
      <c r="AB62" s="28"/>
    </row>
    <row r="63" spans="1:30">
      <c r="A63" s="3" t="s">
        <v>26</v>
      </c>
      <c r="B63" s="4">
        <v>41737</v>
      </c>
      <c r="C63" s="3">
        <v>8853</v>
      </c>
      <c r="D63" s="3">
        <v>8887</v>
      </c>
      <c r="E63" s="3">
        <v>8837</v>
      </c>
      <c r="F63" s="3">
        <v>8879</v>
      </c>
      <c r="G63" s="3">
        <v>79196</v>
      </c>
      <c r="H63" s="3">
        <v>1.355</v>
      </c>
      <c r="I63" s="2">
        <f t="shared" si="0"/>
        <v>0</v>
      </c>
      <c r="J63" s="10">
        <f t="shared" si="2"/>
        <v>-5</v>
      </c>
      <c r="K63" s="10">
        <f t="shared" si="1"/>
        <v>26</v>
      </c>
      <c r="L63" s="10">
        <f t="shared" ca="1" si="3"/>
        <v>0</v>
      </c>
      <c r="M63" s="10">
        <f t="shared" ca="1" si="5"/>
        <v>0</v>
      </c>
      <c r="N63" s="30">
        <f t="shared" ca="1" si="6"/>
        <v>0</v>
      </c>
      <c r="O63" s="10">
        <f t="shared" ca="1" si="7"/>
        <v>0</v>
      </c>
      <c r="P63" s="29">
        <f t="shared" ca="1" si="8"/>
        <v>0</v>
      </c>
      <c r="Q63" s="12">
        <f t="shared" ca="1" si="9"/>
        <v>0</v>
      </c>
      <c r="R63" s="10">
        <f t="shared" ca="1" si="10"/>
        <v>0</v>
      </c>
      <c r="U63" s="12">
        <f t="shared" ca="1" si="11"/>
        <v>0</v>
      </c>
      <c r="V63" s="14">
        <f t="shared" ca="1" si="12"/>
        <v>0</v>
      </c>
      <c r="X63" s="7">
        <f ca="1">AVERAGE(E63:OFFSET(F63,-$X$5+1,0))</f>
        <v>8838.7999999999993</v>
      </c>
      <c r="Y63" s="7">
        <f ca="1">AVERAGE(E63:OFFSET(F63,-$Y$5+1,0))</f>
        <v>8772.6</v>
      </c>
      <c r="Z63" s="7">
        <f t="shared" ca="1" si="4"/>
        <v>0</v>
      </c>
      <c r="AA63" s="28"/>
      <c r="AB63" s="28"/>
      <c r="AC63" s="28"/>
      <c r="AD63" s="28"/>
    </row>
    <row r="64" spans="1:30">
      <c r="A64" s="3" t="s">
        <v>26</v>
      </c>
      <c r="B64" s="4">
        <v>41738</v>
      </c>
      <c r="C64" s="3">
        <v>8886</v>
      </c>
      <c r="D64" s="3">
        <v>8903</v>
      </c>
      <c r="E64" s="3">
        <v>8878</v>
      </c>
      <c r="F64" s="3">
        <v>8896</v>
      </c>
      <c r="G64" s="3">
        <v>52603</v>
      </c>
      <c r="H64" s="3">
        <v>1.355</v>
      </c>
      <c r="I64" s="2">
        <f t="shared" si="0"/>
        <v>0</v>
      </c>
      <c r="J64" s="10">
        <f t="shared" si="2"/>
        <v>7</v>
      </c>
      <c r="K64" s="10">
        <f t="shared" si="1"/>
        <v>10</v>
      </c>
      <c r="L64" s="10">
        <f t="shared" ca="1" si="3"/>
        <v>0</v>
      </c>
      <c r="M64" s="10">
        <f t="shared" ca="1" si="5"/>
        <v>0</v>
      </c>
      <c r="N64" s="30">
        <f t="shared" ca="1" si="6"/>
        <v>0</v>
      </c>
      <c r="O64" s="10">
        <f t="shared" ca="1" si="7"/>
        <v>0</v>
      </c>
      <c r="P64" s="29">
        <f t="shared" ca="1" si="8"/>
        <v>0</v>
      </c>
      <c r="Q64" s="12">
        <f t="shared" ca="1" si="9"/>
        <v>0</v>
      </c>
      <c r="R64" s="10">
        <f t="shared" ca="1" si="10"/>
        <v>0</v>
      </c>
      <c r="U64" s="12">
        <f t="shared" ca="1" si="11"/>
        <v>0</v>
      </c>
      <c r="V64" s="14">
        <f t="shared" ca="1" si="12"/>
        <v>0</v>
      </c>
      <c r="X64" s="7">
        <f ca="1">AVERAGE(E64:OFFSET(F64,-$X$5+1,0))</f>
        <v>8856</v>
      </c>
      <c r="Y64" s="7">
        <f ca="1">AVERAGE(E64:OFFSET(F64,-$Y$5+1,0))</f>
        <v>8799.5499999999993</v>
      </c>
      <c r="Z64" s="7">
        <f t="shared" ca="1" si="4"/>
        <v>0</v>
      </c>
      <c r="AA64" s="28"/>
      <c r="AB64" s="28"/>
      <c r="AC64" s="28"/>
      <c r="AD64" s="28"/>
    </row>
    <row r="65" spans="1:30">
      <c r="A65" s="3" t="s">
        <v>26</v>
      </c>
      <c r="B65" s="4">
        <v>41739</v>
      </c>
      <c r="C65" s="3">
        <v>8929</v>
      </c>
      <c r="D65" s="3">
        <v>8939</v>
      </c>
      <c r="E65" s="3">
        <v>8866</v>
      </c>
      <c r="F65" s="3">
        <v>8907</v>
      </c>
      <c r="G65" s="3">
        <v>86825</v>
      </c>
      <c r="H65" s="3">
        <v>1.355</v>
      </c>
      <c r="I65" s="2">
        <f t="shared" si="0"/>
        <v>0</v>
      </c>
      <c r="J65" s="10">
        <f t="shared" si="2"/>
        <v>33</v>
      </c>
      <c r="K65" s="10">
        <f t="shared" si="1"/>
        <v>-22</v>
      </c>
      <c r="L65" s="10">
        <f t="shared" ca="1" si="3"/>
        <v>0</v>
      </c>
      <c r="M65" s="10">
        <f t="shared" ca="1" si="5"/>
        <v>0</v>
      </c>
      <c r="N65" s="30">
        <f t="shared" ca="1" si="6"/>
        <v>0</v>
      </c>
      <c r="O65" s="10">
        <f t="shared" ca="1" si="7"/>
        <v>0</v>
      </c>
      <c r="P65" s="29">
        <f t="shared" ca="1" si="8"/>
        <v>0</v>
      </c>
      <c r="Q65" s="12">
        <f t="shared" ca="1" si="9"/>
        <v>0</v>
      </c>
      <c r="R65" s="10">
        <f t="shared" ca="1" si="10"/>
        <v>0</v>
      </c>
      <c r="U65" s="12">
        <f t="shared" ca="1" si="11"/>
        <v>0</v>
      </c>
      <c r="V65" s="14">
        <f t="shared" ca="1" si="12"/>
        <v>0</v>
      </c>
      <c r="X65" s="7">
        <f ca="1">AVERAGE(E65:OFFSET(F65,-$X$5+1,0))</f>
        <v>8863.7000000000007</v>
      </c>
      <c r="Y65" s="7">
        <f ca="1">AVERAGE(E65:OFFSET(F65,-$Y$5+1,0))</f>
        <v>8818.5499999999993</v>
      </c>
      <c r="Z65" s="7">
        <f t="shared" ca="1" si="4"/>
        <v>0</v>
      </c>
      <c r="AA65" s="28"/>
      <c r="AB65" s="28"/>
      <c r="AC65" s="28"/>
      <c r="AD65" s="28"/>
    </row>
    <row r="66" spans="1:30">
      <c r="A66" s="3" t="s">
        <v>26</v>
      </c>
      <c r="B66" s="4">
        <v>41740</v>
      </c>
      <c r="C66" s="3">
        <v>8850</v>
      </c>
      <c r="D66" s="3">
        <v>8891</v>
      </c>
      <c r="E66" s="3">
        <v>8840</v>
      </c>
      <c r="F66" s="3">
        <v>8870</v>
      </c>
      <c r="G66" s="3">
        <v>95782</v>
      </c>
      <c r="H66" s="3">
        <v>1.355</v>
      </c>
      <c r="I66" s="2">
        <f t="shared" si="0"/>
        <v>0</v>
      </c>
      <c r="J66" s="10">
        <f t="shared" si="2"/>
        <v>-57</v>
      </c>
      <c r="K66" s="10">
        <f t="shared" si="1"/>
        <v>20</v>
      </c>
      <c r="L66" s="10">
        <f t="shared" ca="1" si="3"/>
        <v>0</v>
      </c>
      <c r="M66" s="10">
        <f t="shared" ca="1" si="5"/>
        <v>0</v>
      </c>
      <c r="N66" s="30">
        <f t="shared" ca="1" si="6"/>
        <v>0</v>
      </c>
      <c r="O66" s="10">
        <f t="shared" ca="1" si="7"/>
        <v>0</v>
      </c>
      <c r="P66" s="29">
        <f t="shared" ca="1" si="8"/>
        <v>0</v>
      </c>
      <c r="Q66" s="12">
        <f t="shared" ca="1" si="9"/>
        <v>0</v>
      </c>
      <c r="R66" s="10">
        <f t="shared" ca="1" si="10"/>
        <v>0</v>
      </c>
      <c r="U66" s="12">
        <f t="shared" ca="1" si="11"/>
        <v>0</v>
      </c>
      <c r="V66" s="14">
        <f t="shared" ca="1" si="12"/>
        <v>0</v>
      </c>
      <c r="X66" s="7">
        <f ca="1">AVERAGE(E66:OFFSET(F66,-$X$5+1,0))</f>
        <v>8863.4</v>
      </c>
      <c r="Y66" s="7">
        <f ca="1">AVERAGE(E66:OFFSET(F66,-$Y$5+1,0))</f>
        <v>8831.6</v>
      </c>
      <c r="Z66" s="7">
        <f t="shared" ca="1" si="4"/>
        <v>0</v>
      </c>
      <c r="AA66" s="28"/>
      <c r="AB66" s="28"/>
      <c r="AC66" s="28"/>
      <c r="AD66" s="28"/>
    </row>
    <row r="67" spans="1:30">
      <c r="A67" s="3" t="s">
        <v>26</v>
      </c>
      <c r="B67" s="4">
        <v>41743</v>
      </c>
      <c r="C67" s="3">
        <v>8870</v>
      </c>
      <c r="D67" s="3">
        <v>8885</v>
      </c>
      <c r="E67" s="3">
        <v>8853</v>
      </c>
      <c r="F67" s="3">
        <v>8858</v>
      </c>
      <c r="G67" s="3">
        <v>65746</v>
      </c>
      <c r="H67" s="3">
        <v>1.355</v>
      </c>
      <c r="I67" s="2">
        <f t="shared" si="0"/>
        <v>0</v>
      </c>
      <c r="J67" s="10">
        <f t="shared" si="2"/>
        <v>0</v>
      </c>
      <c r="K67" s="10">
        <f t="shared" si="1"/>
        <v>-12</v>
      </c>
      <c r="L67" s="10">
        <f t="shared" ca="1" si="3"/>
        <v>0</v>
      </c>
      <c r="M67" s="10">
        <f t="shared" ca="1" si="5"/>
        <v>0</v>
      </c>
      <c r="N67" s="30">
        <f t="shared" ca="1" si="6"/>
        <v>0</v>
      </c>
      <c r="O67" s="10">
        <f t="shared" ca="1" si="7"/>
        <v>0</v>
      </c>
      <c r="P67" s="29">
        <f t="shared" ca="1" si="8"/>
        <v>0</v>
      </c>
      <c r="Q67" s="12">
        <f t="shared" ca="1" si="9"/>
        <v>0</v>
      </c>
      <c r="R67" s="10">
        <f t="shared" ca="1" si="10"/>
        <v>0</v>
      </c>
      <c r="U67" s="12">
        <f t="shared" ca="1" si="11"/>
        <v>0</v>
      </c>
      <c r="V67" s="14">
        <f t="shared" ca="1" si="12"/>
        <v>0</v>
      </c>
      <c r="X67" s="7">
        <f ca="1">AVERAGE(E67:OFFSET(F67,-$X$5+1,0))</f>
        <v>8868.4</v>
      </c>
      <c r="Y67" s="7">
        <f ca="1">AVERAGE(E67:OFFSET(F67,-$Y$5+1,0))</f>
        <v>8843.9500000000007</v>
      </c>
      <c r="Z67" s="7">
        <f t="shared" ca="1" si="4"/>
        <v>0</v>
      </c>
      <c r="AA67" s="28"/>
      <c r="AB67" s="28"/>
      <c r="AC67" s="28"/>
      <c r="AD67" s="28"/>
    </row>
    <row r="68" spans="1:30">
      <c r="A68" s="3" t="s">
        <v>26</v>
      </c>
      <c r="B68" s="4">
        <v>41744</v>
      </c>
      <c r="C68" s="3">
        <v>8861</v>
      </c>
      <c r="D68" s="3">
        <v>8902</v>
      </c>
      <c r="E68" s="3">
        <v>8859</v>
      </c>
      <c r="F68" s="3">
        <v>8896</v>
      </c>
      <c r="G68" s="3">
        <v>72126</v>
      </c>
      <c r="H68" s="3">
        <v>1.355</v>
      </c>
      <c r="I68" s="2">
        <f t="shared" ref="I68:I131" si="13">IF(A68=A69,0,1)</f>
        <v>0</v>
      </c>
      <c r="J68" s="10">
        <f t="shared" si="2"/>
        <v>3</v>
      </c>
      <c r="K68" s="10">
        <f t="shared" ref="K68:K131" si="14">F68-C68</f>
        <v>35</v>
      </c>
      <c r="L68" s="10">
        <f t="shared" ca="1" si="3"/>
        <v>0</v>
      </c>
      <c r="M68" s="10">
        <f t="shared" ca="1" si="5"/>
        <v>0</v>
      </c>
      <c r="N68" s="30">
        <f t="shared" ca="1" si="6"/>
        <v>0</v>
      </c>
      <c r="O68" s="10">
        <f t="shared" ca="1" si="7"/>
        <v>0</v>
      </c>
      <c r="P68" s="29">
        <f t="shared" ca="1" si="8"/>
        <v>0</v>
      </c>
      <c r="Q68" s="12">
        <f t="shared" ca="1" si="9"/>
        <v>0</v>
      </c>
      <c r="R68" s="10">
        <f t="shared" ca="1" si="10"/>
        <v>0</v>
      </c>
      <c r="U68" s="12">
        <f t="shared" ca="1" si="11"/>
        <v>0</v>
      </c>
      <c r="V68" s="14">
        <f t="shared" ca="1" si="12"/>
        <v>0</v>
      </c>
      <c r="X68" s="7">
        <f ca="1">AVERAGE(E68:OFFSET(F68,-$X$5+1,0))</f>
        <v>8872.2999999999993</v>
      </c>
      <c r="Y68" s="7">
        <f ca="1">AVERAGE(E68:OFFSET(F68,-$Y$5+1,0))</f>
        <v>8855.5499999999993</v>
      </c>
      <c r="Z68" s="7">
        <f t="shared" ca="1" si="4"/>
        <v>0</v>
      </c>
      <c r="AA68" s="28"/>
      <c r="AB68" s="28"/>
      <c r="AC68" s="28"/>
      <c r="AD68" s="28"/>
    </row>
    <row r="69" spans="1:30">
      <c r="A69" s="3" t="s">
        <v>26</v>
      </c>
      <c r="B69" s="4">
        <v>41745</v>
      </c>
      <c r="C69" s="3">
        <v>8910</v>
      </c>
      <c r="D69" s="3">
        <v>8956</v>
      </c>
      <c r="E69" s="3">
        <v>8887</v>
      </c>
      <c r="F69" s="3">
        <v>8955</v>
      </c>
      <c r="G69" s="3">
        <v>49182</v>
      </c>
      <c r="H69" s="3">
        <v>1.355</v>
      </c>
      <c r="I69" s="2">
        <f t="shared" si="13"/>
        <v>1</v>
      </c>
      <c r="J69" s="10">
        <f t="shared" ref="J69:J132" si="15">C69-F68</f>
        <v>14</v>
      </c>
      <c r="K69" s="10">
        <f t="shared" si="14"/>
        <v>45</v>
      </c>
      <c r="L69" s="10">
        <f t="shared" ca="1" si="3"/>
        <v>0</v>
      </c>
      <c r="M69" s="10">
        <f t="shared" si="5"/>
        <v>0</v>
      </c>
      <c r="N69" s="30">
        <f t="shared" si="6"/>
        <v>0</v>
      </c>
      <c r="O69" s="10">
        <f t="shared" si="7"/>
        <v>0</v>
      </c>
      <c r="P69" s="29">
        <f t="shared" ca="1" si="8"/>
        <v>0</v>
      </c>
      <c r="Q69" s="12">
        <f t="shared" ca="1" si="9"/>
        <v>0</v>
      </c>
      <c r="R69" s="10">
        <f t="shared" ca="1" si="10"/>
        <v>0</v>
      </c>
      <c r="U69" s="12">
        <f t="shared" ca="1" si="11"/>
        <v>0</v>
      </c>
      <c r="V69" s="14">
        <f t="shared" ca="1" si="12"/>
        <v>0</v>
      </c>
      <c r="X69" s="7">
        <f ca="1">AVERAGE(E69:OFFSET(F69,-$X$5+1,0))</f>
        <v>8879.1</v>
      </c>
      <c r="Y69" s="7">
        <f ca="1">AVERAGE(E69:OFFSET(F69,-$Y$5+1,0))</f>
        <v>8867.5499999999993</v>
      </c>
      <c r="Z69" s="7">
        <f t="shared" ca="1" si="4"/>
        <v>0</v>
      </c>
      <c r="AA69" s="28"/>
      <c r="AB69" s="28"/>
      <c r="AC69" s="28"/>
      <c r="AD69" s="28"/>
    </row>
    <row r="70" spans="1:30">
      <c r="A70" s="3" t="s">
        <v>27</v>
      </c>
      <c r="B70" s="4">
        <v>41746</v>
      </c>
      <c r="C70" s="3">
        <v>8884</v>
      </c>
      <c r="D70" s="3">
        <v>8910</v>
      </c>
      <c r="E70" s="3">
        <v>8872</v>
      </c>
      <c r="F70" s="3">
        <v>8897</v>
      </c>
      <c r="G70" s="3">
        <v>77255</v>
      </c>
      <c r="H70" s="3">
        <v>1.355</v>
      </c>
      <c r="I70" s="2">
        <f t="shared" si="13"/>
        <v>0</v>
      </c>
      <c r="J70" s="10">
        <f t="shared" si="15"/>
        <v>-71</v>
      </c>
      <c r="K70" s="10">
        <f t="shared" si="14"/>
        <v>13</v>
      </c>
      <c r="L70" s="10">
        <f t="shared" ca="1" si="3"/>
        <v>0</v>
      </c>
      <c r="M70" s="10">
        <f t="shared" ca="1" si="5"/>
        <v>0</v>
      </c>
      <c r="N70" s="30">
        <f t="shared" ca="1" si="6"/>
        <v>0</v>
      </c>
      <c r="O70" s="10">
        <f t="shared" ca="1" si="7"/>
        <v>0</v>
      </c>
      <c r="P70" s="29">
        <f t="shared" ca="1" si="8"/>
        <v>0</v>
      </c>
      <c r="Q70" s="12">
        <f t="shared" ca="1" si="9"/>
        <v>0</v>
      </c>
      <c r="R70" s="10">
        <f t="shared" ca="1" si="10"/>
        <v>0</v>
      </c>
      <c r="U70" s="12">
        <f t="shared" ca="1" si="11"/>
        <v>0</v>
      </c>
      <c r="V70" s="14">
        <f t="shared" ca="1" si="12"/>
        <v>0</v>
      </c>
      <c r="X70" s="7">
        <f ca="1">AVERAGE(E70:OFFSET(F70,-$X$5+1,0))</f>
        <v>8878.7000000000007</v>
      </c>
      <c r="Y70" s="7">
        <f ca="1">AVERAGE(E70:OFFSET(F70,-$Y$5+1,0))</f>
        <v>8871.2000000000007</v>
      </c>
      <c r="Z70" s="7">
        <f t="shared" ca="1" si="4"/>
        <v>0</v>
      </c>
      <c r="AA70" s="28"/>
      <c r="AB70" s="28"/>
      <c r="AC70" s="28"/>
      <c r="AD70" s="28"/>
    </row>
    <row r="71" spans="1:30">
      <c r="A71" s="3" t="s">
        <v>27</v>
      </c>
      <c r="B71" s="4">
        <v>41747</v>
      </c>
      <c r="C71" s="3">
        <v>8961</v>
      </c>
      <c r="D71" s="3">
        <v>8972</v>
      </c>
      <c r="E71" s="3">
        <v>8916</v>
      </c>
      <c r="F71" s="3">
        <v>8918</v>
      </c>
      <c r="G71" s="3">
        <v>63285</v>
      </c>
      <c r="H71" s="3">
        <v>1.355</v>
      </c>
      <c r="I71" s="2">
        <f t="shared" si="13"/>
        <v>0</v>
      </c>
      <c r="J71" s="10">
        <f t="shared" si="15"/>
        <v>64</v>
      </c>
      <c r="K71" s="10">
        <f t="shared" si="14"/>
        <v>-43</v>
      </c>
      <c r="L71" s="10">
        <f t="shared" ca="1" si="3"/>
        <v>0</v>
      </c>
      <c r="M71" s="10">
        <f t="shared" ca="1" si="5"/>
        <v>0</v>
      </c>
      <c r="N71" s="30">
        <f t="shared" ca="1" si="6"/>
        <v>0</v>
      </c>
      <c r="O71" s="10">
        <f t="shared" ca="1" si="7"/>
        <v>0</v>
      </c>
      <c r="P71" s="29">
        <f t="shared" ca="1" si="8"/>
        <v>0</v>
      </c>
      <c r="Q71" s="12">
        <f t="shared" ca="1" si="9"/>
        <v>0</v>
      </c>
      <c r="R71" s="10">
        <f t="shared" ca="1" si="10"/>
        <v>0</v>
      </c>
      <c r="U71" s="12">
        <f t="shared" ca="1" si="11"/>
        <v>0</v>
      </c>
      <c r="V71" s="14">
        <f t="shared" ca="1" si="12"/>
        <v>0</v>
      </c>
      <c r="X71" s="7">
        <f ca="1">AVERAGE(E71:OFFSET(F71,-$X$5+1,0))</f>
        <v>8891.1</v>
      </c>
      <c r="Y71" s="7">
        <f ca="1">AVERAGE(E71:OFFSET(F71,-$Y$5+1,0))</f>
        <v>8877.25</v>
      </c>
      <c r="Z71" s="7">
        <f t="shared" ca="1" si="4"/>
        <v>0</v>
      </c>
      <c r="AA71" s="28"/>
      <c r="AB71" s="28"/>
      <c r="AC71" s="28"/>
      <c r="AD71" s="28"/>
    </row>
    <row r="72" spans="1:30">
      <c r="A72" s="3" t="s">
        <v>27</v>
      </c>
      <c r="B72" s="4">
        <v>41750</v>
      </c>
      <c r="C72" s="3">
        <v>8917</v>
      </c>
      <c r="D72" s="3">
        <v>8926</v>
      </c>
      <c r="E72" s="3">
        <v>8903</v>
      </c>
      <c r="F72" s="3">
        <v>8923</v>
      </c>
      <c r="G72" s="3">
        <v>36842</v>
      </c>
      <c r="H72" s="3">
        <v>1.355</v>
      </c>
      <c r="I72" s="2">
        <f t="shared" si="13"/>
        <v>0</v>
      </c>
      <c r="J72" s="10">
        <f t="shared" si="15"/>
        <v>-1</v>
      </c>
      <c r="K72" s="10">
        <f t="shared" si="14"/>
        <v>6</v>
      </c>
      <c r="L72" s="10">
        <f t="shared" ca="1" si="3"/>
        <v>0</v>
      </c>
      <c r="M72" s="10">
        <f t="shared" ca="1" si="5"/>
        <v>0</v>
      </c>
      <c r="N72" s="30">
        <f t="shared" ca="1" si="6"/>
        <v>0</v>
      </c>
      <c r="O72" s="10">
        <f t="shared" ca="1" si="7"/>
        <v>0</v>
      </c>
      <c r="P72" s="29">
        <f t="shared" ca="1" si="8"/>
        <v>0</v>
      </c>
      <c r="Q72" s="12">
        <f t="shared" ca="1" si="9"/>
        <v>0</v>
      </c>
      <c r="R72" s="10">
        <f t="shared" ca="1" si="10"/>
        <v>0</v>
      </c>
      <c r="U72" s="12">
        <f t="shared" ca="1" si="11"/>
        <v>0</v>
      </c>
      <c r="V72" s="14">
        <f t="shared" ca="1" si="12"/>
        <v>0</v>
      </c>
      <c r="X72" s="7">
        <f ca="1">AVERAGE(E72:OFFSET(F72,-$X$5+1,0))</f>
        <v>8902.6</v>
      </c>
      <c r="Y72" s="7">
        <f ca="1">AVERAGE(E72:OFFSET(F72,-$Y$5+1,0))</f>
        <v>8885.5</v>
      </c>
      <c r="Z72" s="7">
        <f t="shared" ca="1" si="4"/>
        <v>0</v>
      </c>
      <c r="AA72" s="28"/>
      <c r="AB72" s="28"/>
      <c r="AC72" s="28"/>
      <c r="AD72" s="28"/>
    </row>
    <row r="73" spans="1:30">
      <c r="A73" s="3" t="s">
        <v>27</v>
      </c>
      <c r="B73" s="4">
        <v>41751</v>
      </c>
      <c r="C73" s="3">
        <v>8925</v>
      </c>
      <c r="D73" s="3">
        <v>8962</v>
      </c>
      <c r="E73" s="3">
        <v>8917</v>
      </c>
      <c r="F73" s="3">
        <v>8950</v>
      </c>
      <c r="G73" s="3">
        <v>60169</v>
      </c>
      <c r="H73" s="3">
        <v>1.355</v>
      </c>
      <c r="I73" s="2">
        <f t="shared" si="13"/>
        <v>0</v>
      </c>
      <c r="J73" s="10">
        <f t="shared" si="15"/>
        <v>2</v>
      </c>
      <c r="K73" s="10">
        <f t="shared" si="14"/>
        <v>25</v>
      </c>
      <c r="L73" s="10">
        <f t="shared" ca="1" si="3"/>
        <v>0</v>
      </c>
      <c r="M73" s="10">
        <f t="shared" ca="1" si="5"/>
        <v>0</v>
      </c>
      <c r="N73" s="30">
        <f t="shared" ca="1" si="6"/>
        <v>0</v>
      </c>
      <c r="O73" s="10">
        <f t="shared" ca="1" si="7"/>
        <v>0</v>
      </c>
      <c r="P73" s="29">
        <f t="shared" ca="1" si="8"/>
        <v>0</v>
      </c>
      <c r="Q73" s="12">
        <f t="shared" ca="1" si="9"/>
        <v>0</v>
      </c>
      <c r="R73" s="10">
        <f t="shared" ca="1" si="10"/>
        <v>0</v>
      </c>
      <c r="U73" s="12">
        <f t="shared" ca="1" si="11"/>
        <v>0</v>
      </c>
      <c r="V73" s="14">
        <f t="shared" ca="1" si="12"/>
        <v>0</v>
      </c>
      <c r="X73" s="7">
        <f ca="1">AVERAGE(E73:OFFSET(F73,-$X$5+1,0))</f>
        <v>8913.7999999999993</v>
      </c>
      <c r="Y73" s="7">
        <f ca="1">AVERAGE(E73:OFFSET(F73,-$Y$5+1,0))</f>
        <v>8893.0499999999993</v>
      </c>
      <c r="Z73" s="7">
        <f t="shared" ca="1" si="4"/>
        <v>0</v>
      </c>
      <c r="AA73" s="28"/>
      <c r="AB73" s="28"/>
      <c r="AC73" s="28"/>
      <c r="AD73" s="28"/>
    </row>
    <row r="74" spans="1:30">
      <c r="A74" s="3" t="s">
        <v>27</v>
      </c>
      <c r="B74" s="4">
        <v>41752</v>
      </c>
      <c r="C74" s="3">
        <v>8970</v>
      </c>
      <c r="D74" s="3">
        <v>8980</v>
      </c>
      <c r="E74" s="3">
        <v>8910</v>
      </c>
      <c r="F74" s="3">
        <v>8922</v>
      </c>
      <c r="G74" s="3">
        <v>80288</v>
      </c>
      <c r="H74" s="3">
        <v>1.355</v>
      </c>
      <c r="I74" s="2">
        <f t="shared" si="13"/>
        <v>0</v>
      </c>
      <c r="J74" s="10">
        <f t="shared" si="15"/>
        <v>20</v>
      </c>
      <c r="K74" s="10">
        <f t="shared" si="14"/>
        <v>-48</v>
      </c>
      <c r="L74" s="10">
        <f t="shared" ca="1" si="3"/>
        <v>0</v>
      </c>
      <c r="M74" s="10">
        <f t="shared" ca="1" si="5"/>
        <v>0</v>
      </c>
      <c r="N74" s="30">
        <f t="shared" ca="1" si="6"/>
        <v>0</v>
      </c>
      <c r="O74" s="10">
        <f t="shared" ca="1" si="7"/>
        <v>0</v>
      </c>
      <c r="P74" s="29">
        <f t="shared" ca="1" si="8"/>
        <v>0</v>
      </c>
      <c r="Q74" s="12">
        <f t="shared" ca="1" si="9"/>
        <v>0</v>
      </c>
      <c r="R74" s="10">
        <f t="shared" ca="1" si="10"/>
        <v>0</v>
      </c>
      <c r="U74" s="12">
        <f t="shared" ca="1" si="11"/>
        <v>0</v>
      </c>
      <c r="V74" s="14">
        <f t="shared" ca="1" si="12"/>
        <v>0</v>
      </c>
      <c r="X74" s="7">
        <f ca="1">AVERAGE(E74:OFFSET(F74,-$X$5+1,0))</f>
        <v>8912.7999999999993</v>
      </c>
      <c r="Y74" s="7">
        <f ca="1">AVERAGE(E74:OFFSET(F74,-$Y$5+1,0))</f>
        <v>8895.9500000000007</v>
      </c>
      <c r="Z74" s="7">
        <f t="shared" ca="1" si="4"/>
        <v>0</v>
      </c>
      <c r="AA74" s="28"/>
      <c r="AB74" s="28"/>
      <c r="AC74" s="28"/>
      <c r="AD74" s="28"/>
    </row>
    <row r="75" spans="1:30">
      <c r="A75" s="3" t="s">
        <v>27</v>
      </c>
      <c r="B75" s="4">
        <v>41753</v>
      </c>
      <c r="C75" s="3">
        <v>8928</v>
      </c>
      <c r="D75" s="3">
        <v>8942</v>
      </c>
      <c r="E75" s="3">
        <v>8915</v>
      </c>
      <c r="F75" s="3">
        <v>8937</v>
      </c>
      <c r="G75" s="3">
        <v>54152</v>
      </c>
      <c r="H75" s="3">
        <v>1.355</v>
      </c>
      <c r="I75" s="2">
        <f t="shared" si="13"/>
        <v>0</v>
      </c>
      <c r="J75" s="10">
        <f t="shared" si="15"/>
        <v>6</v>
      </c>
      <c r="K75" s="10">
        <f t="shared" si="14"/>
        <v>9</v>
      </c>
      <c r="L75" s="10">
        <f t="shared" ca="1" si="3"/>
        <v>0</v>
      </c>
      <c r="M75" s="10">
        <f t="shared" ca="1" si="5"/>
        <v>0</v>
      </c>
      <c r="N75" s="30">
        <f t="shared" ca="1" si="6"/>
        <v>0</v>
      </c>
      <c r="O75" s="10">
        <f t="shared" ca="1" si="7"/>
        <v>0</v>
      </c>
      <c r="P75" s="29">
        <f t="shared" ca="1" si="8"/>
        <v>0</v>
      </c>
      <c r="Q75" s="12">
        <f t="shared" ca="1" si="9"/>
        <v>0</v>
      </c>
      <c r="R75" s="10">
        <f t="shared" ca="1" si="10"/>
        <v>0</v>
      </c>
      <c r="U75" s="12">
        <f t="shared" ca="1" si="11"/>
        <v>0</v>
      </c>
      <c r="V75" s="14">
        <f t="shared" ca="1" si="12"/>
        <v>0</v>
      </c>
      <c r="X75" s="7">
        <f ca="1">AVERAGE(E75:OFFSET(F75,-$X$5+1,0))</f>
        <v>8921.1</v>
      </c>
      <c r="Y75" s="7">
        <f ca="1">AVERAGE(E75:OFFSET(F75,-$Y$5+1,0))</f>
        <v>8899.9</v>
      </c>
      <c r="Z75" s="7">
        <f t="shared" ca="1" si="4"/>
        <v>0</v>
      </c>
      <c r="AA75" s="28"/>
      <c r="AB75" s="28"/>
      <c r="AC75" s="28"/>
      <c r="AD75" s="28"/>
    </row>
    <row r="76" spans="1:30">
      <c r="A76" s="3" t="s">
        <v>27</v>
      </c>
      <c r="B76" s="4">
        <v>41754</v>
      </c>
      <c r="C76" s="3">
        <v>8925</v>
      </c>
      <c r="D76" s="3">
        <v>8928</v>
      </c>
      <c r="E76" s="3">
        <v>8743</v>
      </c>
      <c r="F76" s="3">
        <v>8750</v>
      </c>
      <c r="G76" s="3">
        <v>174633</v>
      </c>
      <c r="H76" s="3">
        <v>1.355</v>
      </c>
      <c r="I76" s="2">
        <f t="shared" si="13"/>
        <v>0</v>
      </c>
      <c r="J76" s="10">
        <f t="shared" si="15"/>
        <v>-12</v>
      </c>
      <c r="K76" s="10">
        <f t="shared" si="14"/>
        <v>-175</v>
      </c>
      <c r="L76" s="10">
        <f t="shared" ca="1" si="3"/>
        <v>-1</v>
      </c>
      <c r="M76" s="10">
        <f t="shared" ca="1" si="5"/>
        <v>0</v>
      </c>
      <c r="N76" s="30">
        <f t="shared" ca="1" si="6"/>
        <v>0</v>
      </c>
      <c r="O76" s="10">
        <f t="shared" ca="1" si="7"/>
        <v>0</v>
      </c>
      <c r="P76" s="29">
        <f t="shared" ca="1" si="8"/>
        <v>0</v>
      </c>
      <c r="Q76" s="12">
        <f t="shared" ca="1" si="9"/>
        <v>0</v>
      </c>
      <c r="R76" s="10">
        <f t="shared" ca="1" si="10"/>
        <v>0</v>
      </c>
      <c r="U76" s="12">
        <f t="shared" ca="1" si="11"/>
        <v>0</v>
      </c>
      <c r="V76" s="14">
        <f t="shared" ca="1" si="12"/>
        <v>0</v>
      </c>
      <c r="X76" s="7">
        <f ca="1">AVERAGE(E76:OFFSET(F76,-$X$5+1,0))</f>
        <v>8887</v>
      </c>
      <c r="Y76" s="7">
        <f ca="1">AVERAGE(E76:OFFSET(F76,-$Y$5+1,0))</f>
        <v>8889.0499999999993</v>
      </c>
      <c r="Z76" s="7">
        <f t="shared" ca="1" si="4"/>
        <v>-1</v>
      </c>
      <c r="AA76" s="23"/>
      <c r="AB76" s="23"/>
      <c r="AC76" s="28"/>
      <c r="AD76" s="28"/>
    </row>
    <row r="77" spans="1:30">
      <c r="A77" s="3" t="s">
        <v>27</v>
      </c>
      <c r="B77" s="4">
        <v>41757</v>
      </c>
      <c r="C77" s="3">
        <v>8698</v>
      </c>
      <c r="D77" s="3">
        <v>8835</v>
      </c>
      <c r="E77" s="3">
        <v>8690</v>
      </c>
      <c r="F77" s="3">
        <v>8819</v>
      </c>
      <c r="G77" s="3">
        <v>129874</v>
      </c>
      <c r="H77" s="3">
        <v>1.355</v>
      </c>
      <c r="I77" s="2">
        <f t="shared" si="13"/>
        <v>0</v>
      </c>
      <c r="J77" s="10">
        <f t="shared" si="15"/>
        <v>-52</v>
      </c>
      <c r="K77" s="10">
        <f t="shared" si="14"/>
        <v>121</v>
      </c>
      <c r="L77" s="10">
        <f t="shared" ca="1" si="3"/>
        <v>0</v>
      </c>
      <c r="M77" s="10">
        <f t="shared" ca="1" si="5"/>
        <v>-1</v>
      </c>
      <c r="N77" s="30">
        <f t="shared" ca="1" si="6"/>
        <v>0</v>
      </c>
      <c r="O77" s="10">
        <f t="shared" ca="1" si="7"/>
        <v>1739600</v>
      </c>
      <c r="P77" s="29">
        <f t="shared" ca="1" si="8"/>
        <v>-24700</v>
      </c>
      <c r="Q77" s="12">
        <f t="shared" ca="1" si="9"/>
        <v>-24700</v>
      </c>
      <c r="R77" s="10">
        <f t="shared" ca="1" si="10"/>
        <v>-1.4198666360082777</v>
      </c>
      <c r="U77" s="12">
        <f t="shared" ca="1" si="11"/>
        <v>0</v>
      </c>
      <c r="V77" s="14">
        <f t="shared" ca="1" si="12"/>
        <v>0</v>
      </c>
      <c r="X77" s="7">
        <f ca="1">AVERAGE(E77:OFFSET(F77,-$X$5+1,0))</f>
        <v>8855.2999999999993</v>
      </c>
      <c r="Y77" s="7">
        <f ca="1">AVERAGE(E77:OFFSET(F77,-$Y$5+1,0))</f>
        <v>8878.9500000000007</v>
      </c>
      <c r="Z77" s="7">
        <f t="shared" ca="1" si="4"/>
        <v>0</v>
      </c>
      <c r="AA77" s="23"/>
      <c r="AB77" s="23"/>
      <c r="AC77" s="28"/>
      <c r="AD77" s="28"/>
    </row>
    <row r="78" spans="1:30">
      <c r="A78" s="3" t="s">
        <v>27</v>
      </c>
      <c r="B78" s="4">
        <v>41758</v>
      </c>
      <c r="C78" s="3">
        <v>8828</v>
      </c>
      <c r="D78" s="3">
        <v>8855</v>
      </c>
      <c r="E78" s="3">
        <v>8809</v>
      </c>
      <c r="F78" s="3">
        <v>8840</v>
      </c>
      <c r="G78" s="3">
        <v>91179</v>
      </c>
      <c r="H78" s="3">
        <v>1.355</v>
      </c>
      <c r="I78" s="2">
        <f t="shared" si="13"/>
        <v>0</v>
      </c>
      <c r="J78" s="10">
        <f t="shared" si="15"/>
        <v>9</v>
      </c>
      <c r="K78" s="10">
        <f t="shared" si="14"/>
        <v>12</v>
      </c>
      <c r="L78" s="10">
        <f t="shared" ca="1" si="3"/>
        <v>0</v>
      </c>
      <c r="M78" s="10">
        <f t="shared" ca="1" si="5"/>
        <v>-1</v>
      </c>
      <c r="N78" s="30">
        <f t="shared" ca="1" si="6"/>
        <v>0</v>
      </c>
      <c r="O78" s="10">
        <f t="shared" ca="1" si="7"/>
        <v>1739600</v>
      </c>
      <c r="P78" s="29">
        <f t="shared" ca="1" si="8"/>
        <v>-4200</v>
      </c>
      <c r="Q78" s="12">
        <f t="shared" ca="1" si="9"/>
        <v>-28900</v>
      </c>
      <c r="R78" s="10">
        <f t="shared" ca="1" si="10"/>
        <v>-0.24143481260059785</v>
      </c>
      <c r="U78" s="12">
        <f t="shared" ca="1" si="11"/>
        <v>0</v>
      </c>
      <c r="V78" s="14">
        <f t="shared" ca="1" si="12"/>
        <v>0</v>
      </c>
      <c r="X78" s="7">
        <f ca="1">AVERAGE(E78:OFFSET(F78,-$X$5+1,0))</f>
        <v>8833.5</v>
      </c>
      <c r="Y78" s="7">
        <f ca="1">AVERAGE(E78:OFFSET(F78,-$Y$5+1,0))</f>
        <v>8873.65</v>
      </c>
      <c r="Z78" s="7">
        <f t="shared" ca="1" si="4"/>
        <v>0</v>
      </c>
      <c r="AA78" s="23"/>
      <c r="AB78" s="23"/>
      <c r="AC78" s="28"/>
      <c r="AD78" s="28"/>
    </row>
    <row r="79" spans="1:30">
      <c r="A79" s="3" t="s">
        <v>27</v>
      </c>
      <c r="B79" s="4">
        <v>41759</v>
      </c>
      <c r="C79" s="3">
        <v>8850</v>
      </c>
      <c r="D79" s="3">
        <v>8857</v>
      </c>
      <c r="E79" s="3">
        <v>8750</v>
      </c>
      <c r="F79" s="3">
        <v>8758</v>
      </c>
      <c r="G79" s="3">
        <v>122688</v>
      </c>
      <c r="H79" s="3">
        <v>1.355</v>
      </c>
      <c r="I79" s="2">
        <f t="shared" si="13"/>
        <v>0</v>
      </c>
      <c r="J79" s="10">
        <f t="shared" si="15"/>
        <v>10</v>
      </c>
      <c r="K79" s="10">
        <f t="shared" si="14"/>
        <v>-92</v>
      </c>
      <c r="L79" s="10">
        <f t="shared" ca="1" si="3"/>
        <v>0</v>
      </c>
      <c r="M79" s="10">
        <f t="shared" ca="1" si="5"/>
        <v>-1</v>
      </c>
      <c r="N79" s="30">
        <f t="shared" ca="1" si="6"/>
        <v>0</v>
      </c>
      <c r="O79" s="10">
        <f t="shared" ca="1" si="7"/>
        <v>1739600</v>
      </c>
      <c r="P79" s="29">
        <f t="shared" ca="1" si="8"/>
        <v>16400</v>
      </c>
      <c r="Q79" s="12">
        <f t="shared" ca="1" si="9"/>
        <v>-12500</v>
      </c>
      <c r="R79" s="10">
        <f t="shared" ca="1" si="10"/>
        <v>0.9427454587261439</v>
      </c>
      <c r="U79" s="12">
        <f t="shared" ca="1" si="11"/>
        <v>0</v>
      </c>
      <c r="V79" s="14">
        <f t="shared" ca="1" si="12"/>
        <v>0</v>
      </c>
      <c r="X79" s="7">
        <f ca="1">AVERAGE(E79:OFFSET(F79,-$X$5+1,0))</f>
        <v>8801.1</v>
      </c>
      <c r="Y79" s="7">
        <f ca="1">AVERAGE(E79:OFFSET(F79,-$Y$5+1,0))</f>
        <v>8856.9500000000007</v>
      </c>
      <c r="Z79" s="7">
        <f t="shared" ca="1" si="4"/>
        <v>0</v>
      </c>
      <c r="AA79" s="23"/>
      <c r="AB79" s="23"/>
      <c r="AC79" s="28"/>
      <c r="AD79" s="28"/>
    </row>
    <row r="80" spans="1:30">
      <c r="A80" s="3" t="s">
        <v>27</v>
      </c>
      <c r="B80" s="4">
        <v>41761</v>
      </c>
      <c r="C80" s="3">
        <v>8768</v>
      </c>
      <c r="D80" s="3">
        <v>8843</v>
      </c>
      <c r="E80" s="3">
        <v>8761</v>
      </c>
      <c r="F80" s="3">
        <v>8841</v>
      </c>
      <c r="G80" s="3">
        <v>90635</v>
      </c>
      <c r="H80" s="3">
        <v>1.355</v>
      </c>
      <c r="I80" s="2">
        <f t="shared" si="13"/>
        <v>0</v>
      </c>
      <c r="J80" s="10">
        <f t="shared" si="15"/>
        <v>10</v>
      </c>
      <c r="K80" s="10">
        <f t="shared" si="14"/>
        <v>73</v>
      </c>
      <c r="L80" s="10">
        <f t="shared" ca="1" si="3"/>
        <v>0</v>
      </c>
      <c r="M80" s="10">
        <f t="shared" ca="1" si="5"/>
        <v>-1</v>
      </c>
      <c r="N80" s="30">
        <f t="shared" ca="1" si="6"/>
        <v>0</v>
      </c>
      <c r="O80" s="10">
        <f t="shared" ca="1" si="7"/>
        <v>1739600</v>
      </c>
      <c r="P80" s="29">
        <f t="shared" ca="1" si="8"/>
        <v>-16600</v>
      </c>
      <c r="Q80" s="12">
        <f t="shared" ca="1" si="9"/>
        <v>-29100</v>
      </c>
      <c r="R80" s="10">
        <f t="shared" ca="1" si="10"/>
        <v>-0.95424235456426765</v>
      </c>
      <c r="U80" s="12">
        <f t="shared" ca="1" si="11"/>
        <v>0</v>
      </c>
      <c r="V80" s="14">
        <f t="shared" ca="1" si="12"/>
        <v>0</v>
      </c>
      <c r="X80" s="7">
        <f ca="1">AVERAGE(E80:OFFSET(F80,-$X$5+1,0))</f>
        <v>8776.1</v>
      </c>
      <c r="Y80" s="7">
        <f ca="1">AVERAGE(E80:OFFSET(F80,-$Y$5+1,0))</f>
        <v>8848.6</v>
      </c>
      <c r="Z80" s="7">
        <f t="shared" ca="1" si="4"/>
        <v>0</v>
      </c>
      <c r="AA80" s="23"/>
      <c r="AB80" s="23"/>
      <c r="AC80" s="28"/>
      <c r="AD80" s="28"/>
    </row>
    <row r="81" spans="1:30">
      <c r="A81" s="3" t="s">
        <v>27</v>
      </c>
      <c r="B81" s="4">
        <v>41764</v>
      </c>
      <c r="C81" s="3">
        <v>8864</v>
      </c>
      <c r="D81" s="3">
        <v>8888</v>
      </c>
      <c r="E81" s="3">
        <v>8802</v>
      </c>
      <c r="F81" s="3">
        <v>8827</v>
      </c>
      <c r="G81" s="3">
        <v>94208</v>
      </c>
      <c r="H81" s="3">
        <v>1.355</v>
      </c>
      <c r="I81" s="2">
        <f t="shared" si="13"/>
        <v>0</v>
      </c>
      <c r="J81" s="10">
        <f t="shared" si="15"/>
        <v>23</v>
      </c>
      <c r="K81" s="10">
        <f t="shared" si="14"/>
        <v>-37</v>
      </c>
      <c r="L81" s="10">
        <f t="shared" ca="1" si="3"/>
        <v>0</v>
      </c>
      <c r="M81" s="10">
        <f t="shared" ca="1" si="5"/>
        <v>-1</v>
      </c>
      <c r="N81" s="30">
        <f t="shared" ca="1" si="6"/>
        <v>0</v>
      </c>
      <c r="O81" s="10">
        <f t="shared" ca="1" si="7"/>
        <v>1739600</v>
      </c>
      <c r="P81" s="29">
        <f t="shared" ca="1" si="8"/>
        <v>2800</v>
      </c>
      <c r="Q81" s="12">
        <f t="shared" ca="1" si="9"/>
        <v>-26300</v>
      </c>
      <c r="R81" s="10">
        <f t="shared" ca="1" si="10"/>
        <v>0.16095654173373189</v>
      </c>
      <c r="U81" s="12">
        <f t="shared" ca="1" si="11"/>
        <v>0</v>
      </c>
      <c r="V81" s="14">
        <f t="shared" ca="1" si="12"/>
        <v>0</v>
      </c>
      <c r="X81" s="7">
        <f ca="1">AVERAGE(E81:OFFSET(F81,-$X$5+1,0))</f>
        <v>8789.7000000000007</v>
      </c>
      <c r="Y81" s="7">
        <f ca="1">AVERAGE(E81:OFFSET(F81,-$Y$5+1,0))</f>
        <v>8838.35</v>
      </c>
      <c r="Z81" s="7">
        <f t="shared" ca="1" si="4"/>
        <v>0</v>
      </c>
      <c r="AA81" s="23"/>
      <c r="AB81" s="23"/>
      <c r="AC81" s="28"/>
      <c r="AD81" s="28"/>
    </row>
    <row r="82" spans="1:30">
      <c r="A82" s="3" t="s">
        <v>27</v>
      </c>
      <c r="B82" s="4">
        <v>41765</v>
      </c>
      <c r="C82" s="3">
        <v>8849</v>
      </c>
      <c r="D82" s="3">
        <v>8889</v>
      </c>
      <c r="E82" s="3">
        <v>8813</v>
      </c>
      <c r="F82" s="3">
        <v>8885</v>
      </c>
      <c r="G82" s="3">
        <v>97864</v>
      </c>
      <c r="H82" s="3">
        <v>1.355</v>
      </c>
      <c r="I82" s="2">
        <f t="shared" si="13"/>
        <v>0</v>
      </c>
      <c r="J82" s="10">
        <f t="shared" si="15"/>
        <v>22</v>
      </c>
      <c r="K82" s="10">
        <f t="shared" si="14"/>
        <v>36</v>
      </c>
      <c r="L82" s="10">
        <f t="shared" ca="1" si="3"/>
        <v>0</v>
      </c>
      <c r="M82" s="10">
        <f t="shared" ca="1" si="5"/>
        <v>-1</v>
      </c>
      <c r="N82" s="30">
        <f t="shared" ca="1" si="6"/>
        <v>0</v>
      </c>
      <c r="O82" s="10">
        <f t="shared" ca="1" si="7"/>
        <v>1739600</v>
      </c>
      <c r="P82" s="29">
        <f t="shared" ca="1" si="8"/>
        <v>-11600</v>
      </c>
      <c r="Q82" s="12">
        <f t="shared" ca="1" si="9"/>
        <v>-37900</v>
      </c>
      <c r="R82" s="10">
        <f t="shared" ca="1" si="10"/>
        <v>-0.66681995861117493</v>
      </c>
      <c r="U82" s="12">
        <f t="shared" ca="1" si="11"/>
        <v>0</v>
      </c>
      <c r="V82" s="14">
        <f t="shared" ca="1" si="12"/>
        <v>0</v>
      </c>
      <c r="X82" s="7">
        <f ca="1">AVERAGE(E82:OFFSET(F82,-$X$5+1,0))</f>
        <v>8808.6</v>
      </c>
      <c r="Y82" s="7">
        <f ca="1">AVERAGE(E82:OFFSET(F82,-$Y$5+1,0))</f>
        <v>8831.9500000000007</v>
      </c>
      <c r="Z82" s="7">
        <f t="shared" ca="1" si="4"/>
        <v>0</v>
      </c>
      <c r="AA82" s="28"/>
      <c r="AB82" s="28"/>
      <c r="AC82" s="28"/>
      <c r="AD82" s="28"/>
    </row>
    <row r="83" spans="1:30">
      <c r="A83" s="3" t="s">
        <v>27</v>
      </c>
      <c r="B83" s="4">
        <v>41766</v>
      </c>
      <c r="C83" s="3">
        <v>8845</v>
      </c>
      <c r="D83" s="3">
        <v>8861</v>
      </c>
      <c r="E83" s="3">
        <v>8809</v>
      </c>
      <c r="F83" s="3">
        <v>8840</v>
      </c>
      <c r="G83" s="3">
        <v>104464</v>
      </c>
      <c r="H83" s="3">
        <v>1.355</v>
      </c>
      <c r="I83" s="2">
        <f t="shared" si="13"/>
        <v>0</v>
      </c>
      <c r="J83" s="10">
        <f t="shared" si="15"/>
        <v>-40</v>
      </c>
      <c r="K83" s="10">
        <f t="shared" si="14"/>
        <v>-5</v>
      </c>
      <c r="L83" s="10">
        <f t="shared" ca="1" si="3"/>
        <v>0</v>
      </c>
      <c r="M83" s="10">
        <f t="shared" ca="1" si="5"/>
        <v>-1</v>
      </c>
      <c r="N83" s="30">
        <f t="shared" ca="1" si="6"/>
        <v>0</v>
      </c>
      <c r="O83" s="10">
        <f t="shared" ca="1" si="7"/>
        <v>1739600</v>
      </c>
      <c r="P83" s="29">
        <f t="shared" ca="1" si="8"/>
        <v>9000</v>
      </c>
      <c r="Q83" s="12">
        <f t="shared" ca="1" si="9"/>
        <v>-28900</v>
      </c>
      <c r="R83" s="10">
        <f t="shared" ca="1" si="10"/>
        <v>0.51736031271556682</v>
      </c>
      <c r="U83" s="12">
        <f t="shared" ca="1" si="11"/>
        <v>0</v>
      </c>
      <c r="V83" s="14">
        <f t="shared" ca="1" si="12"/>
        <v>0</v>
      </c>
      <c r="X83" s="7">
        <f ca="1">AVERAGE(E83:OFFSET(F83,-$X$5+1,0))</f>
        <v>8808.6</v>
      </c>
      <c r="Y83" s="7">
        <f ca="1">AVERAGE(E83:OFFSET(F83,-$Y$5+1,0))</f>
        <v>8821.0499999999993</v>
      </c>
      <c r="Z83" s="7">
        <f t="shared" ca="1" si="4"/>
        <v>0</v>
      </c>
      <c r="AA83" s="28"/>
      <c r="AB83" s="28"/>
      <c r="AC83" s="28"/>
      <c r="AD83" s="28"/>
    </row>
    <row r="84" spans="1:30">
      <c r="A84" s="3" t="s">
        <v>27</v>
      </c>
      <c r="B84" s="4">
        <v>41767</v>
      </c>
      <c r="C84" s="3">
        <v>8860</v>
      </c>
      <c r="D84" s="3">
        <v>8887</v>
      </c>
      <c r="E84" s="3">
        <v>8836</v>
      </c>
      <c r="F84" s="3">
        <v>8881</v>
      </c>
      <c r="G84" s="3">
        <v>88751</v>
      </c>
      <c r="H84" s="3">
        <v>1.355</v>
      </c>
      <c r="I84" s="2">
        <f t="shared" si="13"/>
        <v>0</v>
      </c>
      <c r="J84" s="10">
        <f t="shared" si="15"/>
        <v>20</v>
      </c>
      <c r="K84" s="10">
        <f t="shared" si="14"/>
        <v>21</v>
      </c>
      <c r="L84" s="10">
        <f t="shared" ca="1" si="3"/>
        <v>1</v>
      </c>
      <c r="M84" s="10">
        <f t="shared" ca="1" si="5"/>
        <v>-1</v>
      </c>
      <c r="N84" s="30">
        <f t="shared" ca="1" si="6"/>
        <v>0</v>
      </c>
      <c r="O84" s="10">
        <f t="shared" ca="1" si="7"/>
        <v>1739600</v>
      </c>
      <c r="P84" s="29">
        <f t="shared" ca="1" si="8"/>
        <v>-8200</v>
      </c>
      <c r="Q84" s="12">
        <f t="shared" ca="1" si="9"/>
        <v>-37100</v>
      </c>
      <c r="R84" s="10">
        <f t="shared" ca="1" si="10"/>
        <v>-0.47137272936307195</v>
      </c>
      <c r="U84" s="12">
        <f t="shared" ca="1" si="11"/>
        <v>0</v>
      </c>
      <c r="V84" s="14">
        <f t="shared" ca="1" si="12"/>
        <v>0</v>
      </c>
      <c r="X84" s="7">
        <f ca="1">AVERAGE(E84:OFFSET(F84,-$X$5+1,0))</f>
        <v>8829.5</v>
      </c>
      <c r="Y84" s="7">
        <f ca="1">AVERAGE(E84:OFFSET(F84,-$Y$5+1,0))</f>
        <v>8815.2999999999993</v>
      </c>
      <c r="Z84" s="7">
        <f t="shared" ca="1" si="4"/>
        <v>1</v>
      </c>
      <c r="AA84" s="28"/>
      <c r="AB84" s="28"/>
      <c r="AC84" s="28"/>
      <c r="AD84" s="28"/>
    </row>
    <row r="85" spans="1:30">
      <c r="A85" s="3" t="s">
        <v>27</v>
      </c>
      <c r="B85" s="4">
        <v>41768</v>
      </c>
      <c r="C85" s="3">
        <v>8888</v>
      </c>
      <c r="D85" s="3">
        <v>8889</v>
      </c>
      <c r="E85" s="3">
        <v>8833</v>
      </c>
      <c r="F85" s="3">
        <v>8842</v>
      </c>
      <c r="G85" s="3">
        <v>77008</v>
      </c>
      <c r="H85" s="3">
        <v>1.355</v>
      </c>
      <c r="I85" s="2">
        <f t="shared" si="13"/>
        <v>0</v>
      </c>
      <c r="J85" s="10">
        <f t="shared" si="15"/>
        <v>7</v>
      </c>
      <c r="K85" s="10">
        <f t="shared" si="14"/>
        <v>-46</v>
      </c>
      <c r="L85" s="10">
        <f t="shared" ca="1" si="3"/>
        <v>0</v>
      </c>
      <c r="M85" s="10">
        <f t="shared" ca="1" si="5"/>
        <v>0</v>
      </c>
      <c r="N85" s="30">
        <f t="shared" ca="1" si="6"/>
        <v>0</v>
      </c>
      <c r="O85" s="10">
        <f t="shared" ca="1" si="7"/>
        <v>0</v>
      </c>
      <c r="P85" s="29">
        <f t="shared" ca="1" si="8"/>
        <v>-1900</v>
      </c>
      <c r="Q85" s="12">
        <f t="shared" ca="1" si="9"/>
        <v>-39000</v>
      </c>
      <c r="R85" s="10">
        <f t="shared" ca="1" si="10"/>
        <v>-0.10922051046217521</v>
      </c>
      <c r="U85" s="12">
        <f t="shared" ca="1" si="11"/>
        <v>0</v>
      </c>
      <c r="V85" s="14">
        <f t="shared" ca="1" si="12"/>
        <v>0</v>
      </c>
      <c r="X85" s="7">
        <f ca="1">AVERAGE(E85:OFFSET(F85,-$X$5+1,0))</f>
        <v>8836.7999999999993</v>
      </c>
      <c r="Y85" s="7">
        <f ca="1">AVERAGE(E85:OFFSET(F85,-$Y$5+1,0))</f>
        <v>8806.4500000000007</v>
      </c>
      <c r="Z85" s="7">
        <f t="shared" ca="1" si="4"/>
        <v>0</v>
      </c>
      <c r="AA85" s="28"/>
      <c r="AB85" s="28"/>
      <c r="AC85" s="28"/>
      <c r="AD85" s="28"/>
    </row>
    <row r="86" spans="1:30">
      <c r="A86" s="3" t="s">
        <v>27</v>
      </c>
      <c r="B86" s="4">
        <v>41771</v>
      </c>
      <c r="C86" s="3">
        <v>8842</v>
      </c>
      <c r="D86" s="3">
        <v>8850</v>
      </c>
      <c r="E86" s="3">
        <v>8790</v>
      </c>
      <c r="F86" s="3">
        <v>8821</v>
      </c>
      <c r="G86" s="3">
        <v>88270</v>
      </c>
      <c r="H86" s="3">
        <v>1.355</v>
      </c>
      <c r="I86" s="2">
        <f t="shared" si="13"/>
        <v>0</v>
      </c>
      <c r="J86" s="10">
        <f t="shared" si="15"/>
        <v>0</v>
      </c>
      <c r="K86" s="10">
        <f t="shared" si="14"/>
        <v>-21</v>
      </c>
      <c r="L86" s="10">
        <f t="shared" ca="1" si="3"/>
        <v>0</v>
      </c>
      <c r="M86" s="10">
        <f t="shared" ca="1" si="5"/>
        <v>0</v>
      </c>
      <c r="N86" s="30">
        <f t="shared" ca="1" si="6"/>
        <v>0</v>
      </c>
      <c r="O86" s="10">
        <f t="shared" ca="1" si="7"/>
        <v>0</v>
      </c>
      <c r="P86" s="29">
        <f t="shared" ca="1" si="8"/>
        <v>0</v>
      </c>
      <c r="Q86" s="12">
        <f t="shared" ca="1" si="9"/>
        <v>-39000</v>
      </c>
      <c r="R86" s="10">
        <f t="shared" ca="1" si="10"/>
        <v>0</v>
      </c>
      <c r="U86" s="12">
        <f t="shared" ca="1" si="11"/>
        <v>0</v>
      </c>
      <c r="V86" s="14">
        <f t="shared" ca="1" si="12"/>
        <v>0</v>
      </c>
      <c r="X86" s="7">
        <f ca="1">AVERAGE(E86:OFFSET(F86,-$X$5+1,0))</f>
        <v>8835</v>
      </c>
      <c r="Y86" s="7">
        <f ca="1">AVERAGE(E86:OFFSET(F86,-$Y$5+1,0))</f>
        <v>8812.35</v>
      </c>
      <c r="Z86" s="7">
        <f t="shared" ca="1" si="4"/>
        <v>0</v>
      </c>
      <c r="AA86" s="28"/>
      <c r="AB86" s="28"/>
      <c r="AC86" s="28"/>
      <c r="AD86" s="28"/>
    </row>
    <row r="87" spans="1:30">
      <c r="A87" s="3" t="s">
        <v>27</v>
      </c>
      <c r="B87" s="4">
        <v>41772</v>
      </c>
      <c r="C87" s="3">
        <v>8855</v>
      </c>
      <c r="D87" s="3">
        <v>8875</v>
      </c>
      <c r="E87" s="3">
        <v>8821</v>
      </c>
      <c r="F87" s="3">
        <v>8830</v>
      </c>
      <c r="G87" s="3">
        <v>83445</v>
      </c>
      <c r="H87" s="3">
        <v>1.355</v>
      </c>
      <c r="I87" s="2">
        <f t="shared" si="13"/>
        <v>0</v>
      </c>
      <c r="J87" s="10">
        <f t="shared" si="15"/>
        <v>34</v>
      </c>
      <c r="K87" s="10">
        <f t="shared" si="14"/>
        <v>-25</v>
      </c>
      <c r="L87" s="10">
        <f t="shared" ca="1" si="3"/>
        <v>0</v>
      </c>
      <c r="M87" s="10">
        <f t="shared" ca="1" si="5"/>
        <v>0</v>
      </c>
      <c r="N87" s="30">
        <f t="shared" ca="1" si="6"/>
        <v>0</v>
      </c>
      <c r="O87" s="10">
        <f t="shared" ca="1" si="7"/>
        <v>0</v>
      </c>
      <c r="P87" s="29">
        <f t="shared" ca="1" si="8"/>
        <v>0</v>
      </c>
      <c r="Q87" s="12">
        <f t="shared" ca="1" si="9"/>
        <v>-39000</v>
      </c>
      <c r="R87" s="10">
        <f t="shared" ca="1" si="10"/>
        <v>0</v>
      </c>
      <c r="U87" s="12">
        <f t="shared" ca="1" si="11"/>
        <v>0</v>
      </c>
      <c r="V87" s="14">
        <f t="shared" ca="1" si="12"/>
        <v>0</v>
      </c>
      <c r="X87" s="7">
        <f ca="1">AVERAGE(E87:OFFSET(F87,-$X$5+1,0))</f>
        <v>8830.2999999999993</v>
      </c>
      <c r="Y87" s="7">
        <f ca="1">AVERAGE(E87:OFFSET(F87,-$Y$5+1,0))</f>
        <v>8819.4500000000007</v>
      </c>
      <c r="Z87" s="7">
        <f t="shared" ca="1" si="4"/>
        <v>0</v>
      </c>
      <c r="AA87" s="28"/>
      <c r="AB87" s="28"/>
      <c r="AC87" s="28"/>
      <c r="AD87" s="28"/>
    </row>
    <row r="88" spans="1:30">
      <c r="A88" s="3" t="s">
        <v>27</v>
      </c>
      <c r="B88" s="4">
        <v>41773</v>
      </c>
      <c r="C88" s="3">
        <v>8855</v>
      </c>
      <c r="D88" s="3">
        <v>8885</v>
      </c>
      <c r="E88" s="3">
        <v>8830</v>
      </c>
      <c r="F88" s="3">
        <v>8882</v>
      </c>
      <c r="G88" s="3">
        <v>85759</v>
      </c>
      <c r="H88" s="3">
        <v>1.355</v>
      </c>
      <c r="I88" s="2">
        <f t="shared" si="13"/>
        <v>0</v>
      </c>
      <c r="J88" s="10">
        <f t="shared" si="15"/>
        <v>25</v>
      </c>
      <c r="K88" s="10">
        <f t="shared" si="14"/>
        <v>27</v>
      </c>
      <c r="L88" s="10">
        <f t="shared" ca="1" si="3"/>
        <v>0</v>
      </c>
      <c r="M88" s="10">
        <f t="shared" ca="1" si="5"/>
        <v>0</v>
      </c>
      <c r="N88" s="30">
        <f t="shared" ca="1" si="6"/>
        <v>0</v>
      </c>
      <c r="O88" s="10">
        <f t="shared" ca="1" si="7"/>
        <v>0</v>
      </c>
      <c r="P88" s="29">
        <f t="shared" ca="1" si="8"/>
        <v>0</v>
      </c>
      <c r="Q88" s="12">
        <f t="shared" ca="1" si="9"/>
        <v>-39000</v>
      </c>
      <c r="R88" s="10">
        <f t="shared" ca="1" si="10"/>
        <v>0</v>
      </c>
      <c r="U88" s="12">
        <f t="shared" ca="1" si="11"/>
        <v>0</v>
      </c>
      <c r="V88" s="14">
        <f t="shared" ca="1" si="12"/>
        <v>0</v>
      </c>
      <c r="X88" s="7">
        <f ca="1">AVERAGE(E88:OFFSET(F88,-$X$5+1,0))</f>
        <v>8836.6</v>
      </c>
      <c r="Y88" s="7">
        <f ca="1">AVERAGE(E88:OFFSET(F88,-$Y$5+1,0))</f>
        <v>8822.6</v>
      </c>
      <c r="Z88" s="7">
        <f t="shared" ca="1" si="4"/>
        <v>0</v>
      </c>
      <c r="AA88" s="28"/>
      <c r="AB88" s="28"/>
      <c r="AC88" s="28"/>
      <c r="AD88" s="28"/>
    </row>
    <row r="89" spans="1:30">
      <c r="A89" s="3" t="s">
        <v>27</v>
      </c>
      <c r="B89" s="4">
        <v>41774</v>
      </c>
      <c r="C89" s="3">
        <v>8868</v>
      </c>
      <c r="D89" s="3">
        <v>8887</v>
      </c>
      <c r="E89" s="3">
        <v>8857</v>
      </c>
      <c r="F89" s="3">
        <v>8877</v>
      </c>
      <c r="G89" s="3">
        <v>59657</v>
      </c>
      <c r="H89" s="3">
        <v>1.355</v>
      </c>
      <c r="I89" s="2">
        <f t="shared" si="13"/>
        <v>0</v>
      </c>
      <c r="J89" s="10">
        <f t="shared" si="15"/>
        <v>-14</v>
      </c>
      <c r="K89" s="10">
        <f t="shared" si="14"/>
        <v>9</v>
      </c>
      <c r="L89" s="10">
        <f t="shared" ca="1" si="3"/>
        <v>0</v>
      </c>
      <c r="M89" s="10">
        <f t="shared" ca="1" si="5"/>
        <v>0</v>
      </c>
      <c r="N89" s="30">
        <f t="shared" ca="1" si="6"/>
        <v>0</v>
      </c>
      <c r="O89" s="10">
        <f t="shared" ca="1" si="7"/>
        <v>0</v>
      </c>
      <c r="P89" s="29">
        <f t="shared" ca="1" si="8"/>
        <v>0</v>
      </c>
      <c r="Q89" s="12">
        <f t="shared" ca="1" si="9"/>
        <v>-39000</v>
      </c>
      <c r="R89" s="10">
        <f t="shared" ca="1" si="10"/>
        <v>0</v>
      </c>
      <c r="U89" s="12">
        <f t="shared" ca="1" si="11"/>
        <v>0</v>
      </c>
      <c r="V89" s="14">
        <f t="shared" ca="1" si="12"/>
        <v>0</v>
      </c>
      <c r="X89" s="7">
        <f ca="1">AVERAGE(E89:OFFSET(F89,-$X$5+1,0))</f>
        <v>8838.2999999999993</v>
      </c>
      <c r="Y89" s="7">
        <f ca="1">AVERAGE(E89:OFFSET(F89,-$Y$5+1,0))</f>
        <v>8833.9</v>
      </c>
      <c r="Z89" s="7">
        <f t="shared" ca="1" si="4"/>
        <v>0</v>
      </c>
      <c r="AA89" s="28"/>
      <c r="AB89" s="28"/>
      <c r="AC89" s="28"/>
      <c r="AD89" s="28"/>
    </row>
    <row r="90" spans="1:30">
      <c r="A90" s="3" t="s">
        <v>27</v>
      </c>
      <c r="B90" s="4">
        <v>41775</v>
      </c>
      <c r="C90" s="3">
        <v>8842</v>
      </c>
      <c r="D90" s="3">
        <v>8883</v>
      </c>
      <c r="E90" s="3">
        <v>8816</v>
      </c>
      <c r="F90" s="3">
        <v>8876</v>
      </c>
      <c r="G90" s="3">
        <v>88877</v>
      </c>
      <c r="H90" s="3">
        <v>1.355</v>
      </c>
      <c r="I90" s="2">
        <f t="shared" si="13"/>
        <v>0</v>
      </c>
      <c r="J90" s="10">
        <f t="shared" si="15"/>
        <v>-35</v>
      </c>
      <c r="K90" s="10">
        <f t="shared" si="14"/>
        <v>34</v>
      </c>
      <c r="L90" s="10">
        <f t="shared" ca="1" si="3"/>
        <v>0</v>
      </c>
      <c r="M90" s="10">
        <f t="shared" ca="1" si="5"/>
        <v>0</v>
      </c>
      <c r="N90" s="30">
        <f t="shared" ca="1" si="6"/>
        <v>0</v>
      </c>
      <c r="O90" s="10">
        <f t="shared" ca="1" si="7"/>
        <v>0</v>
      </c>
      <c r="P90" s="29">
        <f t="shared" ca="1" si="8"/>
        <v>0</v>
      </c>
      <c r="Q90" s="12">
        <f t="shared" ca="1" si="9"/>
        <v>-39000</v>
      </c>
      <c r="R90" s="10">
        <f t="shared" ca="1" si="10"/>
        <v>0</v>
      </c>
      <c r="U90" s="12">
        <f t="shared" ca="1" si="11"/>
        <v>0</v>
      </c>
      <c r="V90" s="14">
        <f t="shared" ca="1" si="12"/>
        <v>0</v>
      </c>
      <c r="X90" s="7">
        <f ca="1">AVERAGE(E90:OFFSET(F90,-$X$5+1,0))</f>
        <v>8840</v>
      </c>
      <c r="Y90" s="7">
        <f ca="1">AVERAGE(E90:OFFSET(F90,-$Y$5+1,0))</f>
        <v>8838.4</v>
      </c>
      <c r="Z90" s="7">
        <f t="shared" ca="1" si="4"/>
        <v>0</v>
      </c>
      <c r="AA90" s="28"/>
      <c r="AB90" s="28"/>
      <c r="AC90" s="28"/>
      <c r="AD90" s="28"/>
    </row>
    <row r="91" spans="1:30">
      <c r="A91" s="3" t="s">
        <v>27</v>
      </c>
      <c r="B91" s="4">
        <v>41778</v>
      </c>
      <c r="C91" s="3">
        <v>8876</v>
      </c>
      <c r="D91" s="3">
        <v>8901</v>
      </c>
      <c r="E91" s="3">
        <v>8869</v>
      </c>
      <c r="F91" s="3">
        <v>8888</v>
      </c>
      <c r="G91" s="3">
        <v>70962</v>
      </c>
      <c r="H91" s="3">
        <v>1.355</v>
      </c>
      <c r="I91" s="2">
        <f t="shared" si="13"/>
        <v>0</v>
      </c>
      <c r="J91" s="10">
        <f t="shared" si="15"/>
        <v>0</v>
      </c>
      <c r="K91" s="10">
        <f t="shared" si="14"/>
        <v>12</v>
      </c>
      <c r="L91" s="10">
        <f t="shared" ca="1" si="3"/>
        <v>0</v>
      </c>
      <c r="M91" s="10">
        <f t="shared" ca="1" si="5"/>
        <v>0</v>
      </c>
      <c r="N91" s="30">
        <f t="shared" ca="1" si="6"/>
        <v>0</v>
      </c>
      <c r="O91" s="10">
        <f t="shared" ca="1" si="7"/>
        <v>0</v>
      </c>
      <c r="P91" s="29">
        <f t="shared" ca="1" si="8"/>
        <v>0</v>
      </c>
      <c r="Q91" s="12">
        <f t="shared" ca="1" si="9"/>
        <v>-39000</v>
      </c>
      <c r="R91" s="10">
        <f t="shared" ca="1" si="10"/>
        <v>0</v>
      </c>
      <c r="U91" s="12">
        <f t="shared" ca="1" si="11"/>
        <v>0</v>
      </c>
      <c r="V91" s="14">
        <f t="shared" ca="1" si="12"/>
        <v>0</v>
      </c>
      <c r="X91" s="7">
        <f ca="1">AVERAGE(E91:OFFSET(F91,-$X$5+1,0))</f>
        <v>8854.6</v>
      </c>
      <c r="Y91" s="7">
        <f ca="1">AVERAGE(E91:OFFSET(F91,-$Y$5+1,0))</f>
        <v>8844.7999999999993</v>
      </c>
      <c r="Z91" s="7">
        <f t="shared" ca="1" si="4"/>
        <v>0</v>
      </c>
      <c r="AA91" s="28"/>
      <c r="AB91" s="28"/>
      <c r="AC91" s="28"/>
      <c r="AD91" s="28"/>
    </row>
    <row r="92" spans="1:30">
      <c r="A92" s="3" t="s">
        <v>27</v>
      </c>
      <c r="B92" s="4">
        <v>41779</v>
      </c>
      <c r="C92" s="3">
        <v>8902</v>
      </c>
      <c r="D92" s="3">
        <v>8926</v>
      </c>
      <c r="E92" s="3">
        <v>8890</v>
      </c>
      <c r="F92" s="3">
        <v>8897</v>
      </c>
      <c r="G92" s="3">
        <v>74046</v>
      </c>
      <c r="H92" s="3">
        <v>1.355</v>
      </c>
      <c r="I92" s="2">
        <f t="shared" si="13"/>
        <v>0</v>
      </c>
      <c r="J92" s="10">
        <f t="shared" si="15"/>
        <v>14</v>
      </c>
      <c r="K92" s="10">
        <f t="shared" si="14"/>
        <v>-5</v>
      </c>
      <c r="L92" s="10">
        <f t="shared" ca="1" si="3"/>
        <v>0</v>
      </c>
      <c r="M92" s="10">
        <f t="shared" ca="1" si="5"/>
        <v>0</v>
      </c>
      <c r="N92" s="30">
        <f t="shared" ca="1" si="6"/>
        <v>0</v>
      </c>
      <c r="O92" s="10">
        <f t="shared" ca="1" si="7"/>
        <v>0</v>
      </c>
      <c r="P92" s="29">
        <f t="shared" ca="1" si="8"/>
        <v>0</v>
      </c>
      <c r="Q92" s="12">
        <f t="shared" ca="1" si="9"/>
        <v>-39000</v>
      </c>
      <c r="R92" s="10">
        <f t="shared" ca="1" si="10"/>
        <v>0</v>
      </c>
      <c r="U92" s="12">
        <f t="shared" ca="1" si="11"/>
        <v>0</v>
      </c>
      <c r="V92" s="14">
        <f t="shared" ca="1" si="12"/>
        <v>0</v>
      </c>
      <c r="X92" s="7">
        <f ca="1">AVERAGE(E92:OFFSET(F92,-$X$5+1,0))</f>
        <v>8868.2000000000007</v>
      </c>
      <c r="Y92" s="7">
        <f ca="1">AVERAGE(E92:OFFSET(F92,-$Y$5+1,0))</f>
        <v>8849.25</v>
      </c>
      <c r="Z92" s="7">
        <f t="shared" ca="1" si="4"/>
        <v>0</v>
      </c>
      <c r="AA92" s="28"/>
      <c r="AB92" s="28"/>
      <c r="AC92" s="28"/>
      <c r="AD92" s="28"/>
    </row>
    <row r="93" spans="1:30">
      <c r="A93" s="3" t="s">
        <v>27</v>
      </c>
      <c r="B93" s="4">
        <v>41780</v>
      </c>
      <c r="C93" s="3">
        <v>8892</v>
      </c>
      <c r="D93" s="3">
        <v>8909</v>
      </c>
      <c r="E93" s="3">
        <v>8850</v>
      </c>
      <c r="F93" s="3">
        <v>8860</v>
      </c>
      <c r="G93" s="3">
        <v>54036</v>
      </c>
      <c r="H93" s="3">
        <v>1.355</v>
      </c>
      <c r="I93" s="2">
        <f t="shared" si="13"/>
        <v>1</v>
      </c>
      <c r="J93" s="10">
        <f t="shared" si="15"/>
        <v>-5</v>
      </c>
      <c r="K93" s="10">
        <f t="shared" si="14"/>
        <v>-32</v>
      </c>
      <c r="L93" s="10">
        <f t="shared" ref="L93:L124" ca="1" si="16">Z93</f>
        <v>0</v>
      </c>
      <c r="M93" s="10">
        <f t="shared" si="5"/>
        <v>0</v>
      </c>
      <c r="N93" s="30">
        <f t="shared" si="6"/>
        <v>0</v>
      </c>
      <c r="O93" s="10">
        <f t="shared" si="7"/>
        <v>0</v>
      </c>
      <c r="P93" s="29">
        <f t="shared" ca="1" si="8"/>
        <v>0</v>
      </c>
      <c r="Q93" s="12">
        <f t="shared" ca="1" si="9"/>
        <v>-39000</v>
      </c>
      <c r="R93" s="10">
        <f t="shared" ca="1" si="10"/>
        <v>0</v>
      </c>
      <c r="U93" s="12">
        <f t="shared" ca="1" si="11"/>
        <v>0</v>
      </c>
      <c r="V93" s="14">
        <f t="shared" ca="1" si="12"/>
        <v>0</v>
      </c>
      <c r="X93" s="7">
        <f ca="1">AVERAGE(E93:OFFSET(F93,-$X$5+1,0))</f>
        <v>8868</v>
      </c>
      <c r="Y93" s="7">
        <f ca="1">AVERAGE(E93:OFFSET(F93,-$Y$5+1,0))</f>
        <v>8852.2999999999993</v>
      </c>
      <c r="Z93" s="7">
        <f t="shared" ca="1" si="4"/>
        <v>0</v>
      </c>
      <c r="AA93" s="28"/>
      <c r="AB93" s="28"/>
      <c r="AC93" s="28"/>
      <c r="AD93" s="28"/>
    </row>
    <row r="94" spans="1:30">
      <c r="A94" s="3" t="s">
        <v>28</v>
      </c>
      <c r="B94" s="4">
        <v>41781</v>
      </c>
      <c r="C94" s="3">
        <v>8873</v>
      </c>
      <c r="D94" s="3">
        <v>8960</v>
      </c>
      <c r="E94" s="3">
        <v>8866</v>
      </c>
      <c r="F94" s="3">
        <v>8959</v>
      </c>
      <c r="G94" s="3">
        <v>100620</v>
      </c>
      <c r="H94" s="3">
        <v>1.355</v>
      </c>
      <c r="I94" s="2">
        <f t="shared" si="13"/>
        <v>0</v>
      </c>
      <c r="J94" s="10">
        <f t="shared" si="15"/>
        <v>13</v>
      </c>
      <c r="K94" s="10">
        <f t="shared" si="14"/>
        <v>86</v>
      </c>
      <c r="L94" s="10">
        <f t="shared" ca="1" si="16"/>
        <v>0</v>
      </c>
      <c r="M94" s="10">
        <f t="shared" ca="1" si="5"/>
        <v>0</v>
      </c>
      <c r="N94" s="30">
        <f t="shared" ca="1" si="6"/>
        <v>0</v>
      </c>
      <c r="O94" s="10">
        <f t="shared" ca="1" si="7"/>
        <v>0</v>
      </c>
      <c r="P94" s="29">
        <f t="shared" ca="1" si="8"/>
        <v>0</v>
      </c>
      <c r="Q94" s="12">
        <f t="shared" ca="1" si="9"/>
        <v>-39000</v>
      </c>
      <c r="R94" s="10">
        <f t="shared" ca="1" si="10"/>
        <v>0</v>
      </c>
      <c r="U94" s="12">
        <f t="shared" ca="1" si="11"/>
        <v>0</v>
      </c>
      <c r="V94" s="14">
        <f t="shared" ca="1" si="12"/>
        <v>0</v>
      </c>
      <c r="X94" s="7">
        <f ca="1">AVERAGE(E94:OFFSET(F94,-$X$5+1,0))</f>
        <v>8877.1</v>
      </c>
      <c r="Y94" s="7">
        <f ca="1">AVERAGE(E94:OFFSET(F94,-$Y$5+1,0))</f>
        <v>8857.7000000000007</v>
      </c>
      <c r="Z94" s="7">
        <f t="shared" ca="1" si="4"/>
        <v>0</v>
      </c>
      <c r="AA94" s="28"/>
      <c r="AB94" s="28"/>
      <c r="AC94" s="28"/>
      <c r="AD94" s="28"/>
    </row>
    <row r="95" spans="1:30">
      <c r="A95" s="3" t="s">
        <v>28</v>
      </c>
      <c r="B95" s="4">
        <v>41782</v>
      </c>
      <c r="C95" s="3">
        <v>8971</v>
      </c>
      <c r="D95" s="3">
        <v>9014</v>
      </c>
      <c r="E95" s="3">
        <v>8966</v>
      </c>
      <c r="F95" s="3">
        <v>9013</v>
      </c>
      <c r="G95" s="3">
        <v>75182</v>
      </c>
      <c r="H95" s="3">
        <v>1.355</v>
      </c>
      <c r="I95" s="2">
        <f t="shared" si="13"/>
        <v>0</v>
      </c>
      <c r="J95" s="10">
        <f t="shared" si="15"/>
        <v>12</v>
      </c>
      <c r="K95" s="10">
        <f t="shared" si="14"/>
        <v>42</v>
      </c>
      <c r="L95" s="10">
        <f t="shared" ca="1" si="16"/>
        <v>0</v>
      </c>
      <c r="M95" s="10">
        <f t="shared" ca="1" si="5"/>
        <v>0</v>
      </c>
      <c r="N95" s="30">
        <f t="shared" ca="1" si="6"/>
        <v>0</v>
      </c>
      <c r="O95" s="10">
        <f t="shared" ca="1" si="7"/>
        <v>0</v>
      </c>
      <c r="P95" s="29">
        <f t="shared" ca="1" si="8"/>
        <v>0</v>
      </c>
      <c r="Q95" s="12">
        <f t="shared" ca="1" si="9"/>
        <v>-39000</v>
      </c>
      <c r="R95" s="10">
        <f t="shared" ca="1" si="10"/>
        <v>0</v>
      </c>
      <c r="U95" s="12">
        <f t="shared" ca="1" si="11"/>
        <v>0</v>
      </c>
      <c r="V95" s="14">
        <f t="shared" ca="1" si="12"/>
        <v>0</v>
      </c>
      <c r="X95" s="7">
        <f ca="1">AVERAGE(E95:OFFSET(F95,-$X$5+1,0))</f>
        <v>8905.7999999999993</v>
      </c>
      <c r="Y95" s="7">
        <f ca="1">AVERAGE(E95:OFFSET(F95,-$Y$5+1,0))</f>
        <v>8872.9</v>
      </c>
      <c r="Z95" s="7">
        <f t="shared" ca="1" si="4"/>
        <v>0</v>
      </c>
      <c r="AA95" s="28"/>
      <c r="AB95" s="28"/>
      <c r="AC95" s="28"/>
      <c r="AD95" s="28"/>
    </row>
    <row r="96" spans="1:30">
      <c r="A96" s="3" t="s">
        <v>28</v>
      </c>
      <c r="B96" s="4">
        <v>41785</v>
      </c>
      <c r="C96" s="3">
        <v>9020</v>
      </c>
      <c r="D96" s="3">
        <v>9049</v>
      </c>
      <c r="E96" s="3">
        <v>9009</v>
      </c>
      <c r="F96" s="3">
        <v>9041</v>
      </c>
      <c r="G96" s="3">
        <v>51900</v>
      </c>
      <c r="H96" s="3">
        <v>1.355</v>
      </c>
      <c r="I96" s="2">
        <f t="shared" si="13"/>
        <v>0</v>
      </c>
      <c r="J96" s="10">
        <f t="shared" si="15"/>
        <v>7</v>
      </c>
      <c r="K96" s="10">
        <f t="shared" si="14"/>
        <v>21</v>
      </c>
      <c r="L96" s="10">
        <f t="shared" ca="1" si="16"/>
        <v>0</v>
      </c>
      <c r="M96" s="10">
        <f t="shared" ca="1" si="5"/>
        <v>0</v>
      </c>
      <c r="N96" s="30">
        <f t="shared" ca="1" si="6"/>
        <v>0</v>
      </c>
      <c r="O96" s="10">
        <f t="shared" ca="1" si="7"/>
        <v>0</v>
      </c>
      <c r="P96" s="29">
        <f t="shared" ca="1" si="8"/>
        <v>0</v>
      </c>
      <c r="Q96" s="12">
        <f t="shared" ca="1" si="9"/>
        <v>-39000</v>
      </c>
      <c r="R96" s="10">
        <f t="shared" ca="1" si="10"/>
        <v>0</v>
      </c>
      <c r="U96" s="12">
        <f t="shared" ca="1" si="11"/>
        <v>0</v>
      </c>
      <c r="V96" s="14">
        <f t="shared" ca="1" si="12"/>
        <v>0</v>
      </c>
      <c r="X96" s="7">
        <f ca="1">AVERAGE(E96:OFFSET(F96,-$X$5+1,0))</f>
        <v>8935.1</v>
      </c>
      <c r="Y96" s="7">
        <f ca="1">AVERAGE(E96:OFFSET(F96,-$Y$5+1,0))</f>
        <v>8894.85</v>
      </c>
      <c r="Z96" s="7">
        <f t="shared" ca="1" si="4"/>
        <v>0</v>
      </c>
      <c r="AA96" s="28"/>
      <c r="AB96" s="28"/>
      <c r="AC96" s="28"/>
      <c r="AD96" s="28"/>
    </row>
    <row r="97" spans="1:30">
      <c r="A97" s="3" t="s">
        <v>28</v>
      </c>
      <c r="B97" s="4">
        <v>41786</v>
      </c>
      <c r="C97" s="3">
        <v>9047</v>
      </c>
      <c r="D97" s="3">
        <v>9058</v>
      </c>
      <c r="E97" s="3">
        <v>9025</v>
      </c>
      <c r="F97" s="3">
        <v>9056</v>
      </c>
      <c r="G97" s="3">
        <v>52031</v>
      </c>
      <c r="H97" s="3">
        <v>1.355</v>
      </c>
      <c r="I97" s="2">
        <f t="shared" si="13"/>
        <v>0</v>
      </c>
      <c r="J97" s="10">
        <f t="shared" si="15"/>
        <v>6</v>
      </c>
      <c r="K97" s="10">
        <f t="shared" si="14"/>
        <v>9</v>
      </c>
      <c r="L97" s="10">
        <f t="shared" ca="1" si="16"/>
        <v>0</v>
      </c>
      <c r="M97" s="10">
        <f t="shared" ca="1" si="5"/>
        <v>0</v>
      </c>
      <c r="N97" s="30">
        <f t="shared" ca="1" si="6"/>
        <v>0</v>
      </c>
      <c r="O97" s="10">
        <f t="shared" ca="1" si="7"/>
        <v>0</v>
      </c>
      <c r="P97" s="29">
        <f t="shared" ca="1" si="8"/>
        <v>0</v>
      </c>
      <c r="Q97" s="12">
        <f t="shared" ca="1" si="9"/>
        <v>-39000</v>
      </c>
      <c r="R97" s="10">
        <f t="shared" ca="1" si="10"/>
        <v>0</v>
      </c>
      <c r="U97" s="12">
        <f t="shared" ca="1" si="11"/>
        <v>0</v>
      </c>
      <c r="V97" s="14">
        <f t="shared" ca="1" si="12"/>
        <v>0</v>
      </c>
      <c r="X97" s="7">
        <f ca="1">AVERAGE(E97:OFFSET(F97,-$X$5+1,0))</f>
        <v>8964.5</v>
      </c>
      <c r="Y97" s="7">
        <f ca="1">AVERAGE(E97:OFFSET(F97,-$Y$5+1,0))</f>
        <v>8916.35</v>
      </c>
      <c r="Z97" s="7">
        <f t="shared" ca="1" si="4"/>
        <v>0</v>
      </c>
      <c r="AA97" s="28"/>
      <c r="AB97" s="28"/>
      <c r="AC97" s="28"/>
      <c r="AD97" s="28"/>
    </row>
    <row r="98" spans="1:30">
      <c r="A98" s="3" t="s">
        <v>28</v>
      </c>
      <c r="B98" s="4">
        <v>41787</v>
      </c>
      <c r="C98" s="3">
        <v>9062</v>
      </c>
      <c r="D98" s="3">
        <v>9144</v>
      </c>
      <c r="E98" s="3">
        <v>9055</v>
      </c>
      <c r="F98" s="3">
        <v>9136</v>
      </c>
      <c r="G98" s="3">
        <v>94218</v>
      </c>
      <c r="H98" s="3">
        <v>1.355</v>
      </c>
      <c r="I98" s="2">
        <f t="shared" si="13"/>
        <v>0</v>
      </c>
      <c r="J98" s="10">
        <f t="shared" si="15"/>
        <v>6</v>
      </c>
      <c r="K98" s="10">
        <f t="shared" si="14"/>
        <v>74</v>
      </c>
      <c r="L98" s="10">
        <f t="shared" ca="1" si="16"/>
        <v>0</v>
      </c>
      <c r="M98" s="10">
        <f t="shared" ca="1" si="5"/>
        <v>0</v>
      </c>
      <c r="N98" s="30">
        <f t="shared" ca="1" si="6"/>
        <v>0</v>
      </c>
      <c r="O98" s="10">
        <f t="shared" ca="1" si="7"/>
        <v>0</v>
      </c>
      <c r="P98" s="29">
        <f t="shared" ca="1" si="8"/>
        <v>0</v>
      </c>
      <c r="Q98" s="12">
        <f t="shared" ca="1" si="9"/>
        <v>-39000</v>
      </c>
      <c r="R98" s="10">
        <f t="shared" ca="1" si="10"/>
        <v>0</v>
      </c>
      <c r="U98" s="12">
        <f t="shared" ca="1" si="11"/>
        <v>0</v>
      </c>
      <c r="V98" s="14">
        <f t="shared" ca="1" si="12"/>
        <v>0</v>
      </c>
      <c r="X98" s="7">
        <f ca="1">AVERAGE(E98:OFFSET(F98,-$X$5+1,0))</f>
        <v>9012.6</v>
      </c>
      <c r="Y98" s="7">
        <f ca="1">AVERAGE(E98:OFFSET(F98,-$Y$5+1,0))</f>
        <v>8940.2999999999993</v>
      </c>
      <c r="Z98" s="7">
        <f t="shared" ca="1" si="4"/>
        <v>0</v>
      </c>
      <c r="AA98" s="28"/>
      <c r="AB98" s="28"/>
      <c r="AC98" s="28"/>
      <c r="AD98" s="28"/>
    </row>
    <row r="99" spans="1:30">
      <c r="A99" s="3" t="s">
        <v>28</v>
      </c>
      <c r="B99" s="4">
        <v>41788</v>
      </c>
      <c r="C99" s="3">
        <v>9132</v>
      </c>
      <c r="D99" s="3">
        <v>9149</v>
      </c>
      <c r="E99" s="3">
        <v>9111</v>
      </c>
      <c r="F99" s="3">
        <v>9116</v>
      </c>
      <c r="G99" s="3">
        <v>69424</v>
      </c>
      <c r="H99" s="3">
        <v>1.355</v>
      </c>
      <c r="I99" s="2">
        <f t="shared" si="13"/>
        <v>0</v>
      </c>
      <c r="J99" s="10">
        <f t="shared" si="15"/>
        <v>-4</v>
      </c>
      <c r="K99" s="10">
        <f t="shared" si="14"/>
        <v>-16</v>
      </c>
      <c r="L99" s="10">
        <f t="shared" ca="1" si="16"/>
        <v>0</v>
      </c>
      <c r="M99" s="10">
        <f t="shared" ca="1" si="5"/>
        <v>0</v>
      </c>
      <c r="N99" s="30">
        <f t="shared" ca="1" si="6"/>
        <v>0</v>
      </c>
      <c r="O99" s="10">
        <f t="shared" ca="1" si="7"/>
        <v>0</v>
      </c>
      <c r="P99" s="29">
        <f t="shared" ca="1" si="8"/>
        <v>0</v>
      </c>
      <c r="Q99" s="12">
        <f t="shared" ca="1" si="9"/>
        <v>-39000</v>
      </c>
      <c r="R99" s="10">
        <f t="shared" ca="1" si="10"/>
        <v>0</v>
      </c>
      <c r="U99" s="12">
        <f t="shared" ca="1" si="11"/>
        <v>0</v>
      </c>
      <c r="V99" s="14">
        <f t="shared" ca="1" si="12"/>
        <v>0</v>
      </c>
      <c r="X99" s="7">
        <f ca="1">AVERAGE(E99:OFFSET(F99,-$X$5+1,0))</f>
        <v>9052.7999999999993</v>
      </c>
      <c r="Y99" s="7">
        <f ca="1">AVERAGE(E99:OFFSET(F99,-$Y$5+1,0))</f>
        <v>8964.9500000000007</v>
      </c>
      <c r="Z99" s="7">
        <f t="shared" ca="1" si="4"/>
        <v>0</v>
      </c>
      <c r="AA99" s="28"/>
      <c r="AB99" s="28"/>
      <c r="AC99" s="28"/>
      <c r="AD99" s="28"/>
    </row>
    <row r="100" spans="1:30">
      <c r="A100" s="3" t="s">
        <v>28</v>
      </c>
      <c r="B100" s="4">
        <v>41789</v>
      </c>
      <c r="C100" s="3">
        <v>9121</v>
      </c>
      <c r="D100" s="3">
        <v>9130</v>
      </c>
      <c r="E100" s="3">
        <v>9086</v>
      </c>
      <c r="F100" s="3">
        <v>9091</v>
      </c>
      <c r="G100" s="3">
        <v>76393</v>
      </c>
      <c r="H100" s="3">
        <v>1.355</v>
      </c>
      <c r="I100" s="2">
        <f t="shared" si="13"/>
        <v>0</v>
      </c>
      <c r="J100" s="10">
        <f t="shared" si="15"/>
        <v>5</v>
      </c>
      <c r="K100" s="10">
        <f t="shared" si="14"/>
        <v>-30</v>
      </c>
      <c r="L100" s="10">
        <f t="shared" ca="1" si="16"/>
        <v>0</v>
      </c>
      <c r="M100" s="10">
        <f t="shared" ca="1" si="5"/>
        <v>0</v>
      </c>
      <c r="N100" s="30">
        <f t="shared" ca="1" si="6"/>
        <v>0</v>
      </c>
      <c r="O100" s="10">
        <f t="shared" ca="1" si="7"/>
        <v>0</v>
      </c>
      <c r="P100" s="29">
        <f t="shared" ca="1" si="8"/>
        <v>0</v>
      </c>
      <c r="Q100" s="12">
        <f t="shared" ca="1" si="9"/>
        <v>-39000</v>
      </c>
      <c r="R100" s="10">
        <f t="shared" ca="1" si="10"/>
        <v>0</v>
      </c>
      <c r="U100" s="12">
        <f t="shared" ca="1" si="11"/>
        <v>0</v>
      </c>
      <c r="V100" s="14">
        <f t="shared" ca="1" si="12"/>
        <v>0</v>
      </c>
      <c r="X100" s="7">
        <f ca="1">AVERAGE(E100:OFFSET(F100,-$X$5+1,0))</f>
        <v>9072.6</v>
      </c>
      <c r="Y100" s="7">
        <f ca="1">AVERAGE(E100:OFFSET(F100,-$Y$5+1,0))</f>
        <v>8989.2000000000007</v>
      </c>
      <c r="Z100" s="7">
        <f t="shared" ca="1" si="4"/>
        <v>0</v>
      </c>
      <c r="AA100" s="28"/>
      <c r="AB100" s="28"/>
      <c r="AC100" s="28"/>
      <c r="AD100" s="28"/>
    </row>
    <row r="101" spans="1:30">
      <c r="A101" s="3" t="s">
        <v>28</v>
      </c>
      <c r="B101" s="4">
        <v>41793</v>
      </c>
      <c r="C101" s="3">
        <v>9112</v>
      </c>
      <c r="D101" s="3">
        <v>9133</v>
      </c>
      <c r="E101" s="3">
        <v>9061</v>
      </c>
      <c r="F101" s="3">
        <v>9104</v>
      </c>
      <c r="G101" s="3">
        <v>83254</v>
      </c>
      <c r="H101" s="3">
        <v>1.355</v>
      </c>
      <c r="I101" s="2">
        <f t="shared" si="13"/>
        <v>0</v>
      </c>
      <c r="J101" s="10">
        <f t="shared" si="15"/>
        <v>21</v>
      </c>
      <c r="K101" s="10">
        <f t="shared" si="14"/>
        <v>-8</v>
      </c>
      <c r="L101" s="10">
        <f t="shared" ca="1" si="16"/>
        <v>0</v>
      </c>
      <c r="M101" s="10">
        <f t="shared" ca="1" si="5"/>
        <v>0</v>
      </c>
      <c r="N101" s="30">
        <f t="shared" ca="1" si="6"/>
        <v>0</v>
      </c>
      <c r="O101" s="10">
        <f t="shared" ca="1" si="7"/>
        <v>0</v>
      </c>
      <c r="P101" s="29">
        <f t="shared" ca="1" si="8"/>
        <v>0</v>
      </c>
      <c r="Q101" s="12">
        <f t="shared" ca="1" si="9"/>
        <v>-39000</v>
      </c>
      <c r="R101" s="10">
        <f t="shared" ca="1" si="10"/>
        <v>0</v>
      </c>
      <c r="U101" s="12">
        <f t="shared" ca="1" si="11"/>
        <v>0</v>
      </c>
      <c r="V101" s="14">
        <f t="shared" ca="1" si="12"/>
        <v>0</v>
      </c>
      <c r="X101" s="7">
        <f ca="1">AVERAGE(E101:OFFSET(F101,-$X$5+1,0))</f>
        <v>9084.1</v>
      </c>
      <c r="Y101" s="7">
        <f ca="1">AVERAGE(E101:OFFSET(F101,-$Y$5+1,0))</f>
        <v>9009.6</v>
      </c>
      <c r="Z101" s="7">
        <f t="shared" ca="1" si="4"/>
        <v>0</v>
      </c>
      <c r="AA101" s="28"/>
      <c r="AB101" s="28"/>
      <c r="AC101" s="28"/>
      <c r="AD101" s="28"/>
    </row>
    <row r="102" spans="1:30">
      <c r="A102" s="3" t="s">
        <v>28</v>
      </c>
      <c r="B102" s="4">
        <v>41794</v>
      </c>
      <c r="C102" s="3">
        <v>9118</v>
      </c>
      <c r="D102" s="3">
        <v>9124</v>
      </c>
      <c r="E102" s="3">
        <v>9097</v>
      </c>
      <c r="F102" s="3">
        <v>9102</v>
      </c>
      <c r="G102" s="3">
        <v>53898</v>
      </c>
      <c r="H102" s="3">
        <v>1.355</v>
      </c>
      <c r="I102" s="2">
        <f t="shared" si="13"/>
        <v>0</v>
      </c>
      <c r="J102" s="10">
        <f t="shared" si="15"/>
        <v>14</v>
      </c>
      <c r="K102" s="10">
        <f t="shared" si="14"/>
        <v>-16</v>
      </c>
      <c r="L102" s="10">
        <f t="shared" ca="1" si="16"/>
        <v>0</v>
      </c>
      <c r="M102" s="10">
        <f t="shared" ca="1" si="5"/>
        <v>0</v>
      </c>
      <c r="N102" s="30">
        <f t="shared" ca="1" si="6"/>
        <v>0</v>
      </c>
      <c r="O102" s="10">
        <f t="shared" ca="1" si="7"/>
        <v>0</v>
      </c>
      <c r="P102" s="29">
        <f t="shared" ca="1" si="8"/>
        <v>0</v>
      </c>
      <c r="Q102" s="12">
        <f t="shared" ca="1" si="9"/>
        <v>-39000</v>
      </c>
      <c r="R102" s="10">
        <f t="shared" ca="1" si="10"/>
        <v>0</v>
      </c>
      <c r="U102" s="12">
        <f t="shared" ca="1" si="11"/>
        <v>0</v>
      </c>
      <c r="V102" s="14">
        <f t="shared" ca="1" si="12"/>
        <v>0</v>
      </c>
      <c r="X102" s="7">
        <f ca="1">AVERAGE(E102:OFFSET(F102,-$X$5+1,0))</f>
        <v>9095.9</v>
      </c>
      <c r="Y102" s="7">
        <f ca="1">AVERAGE(E102:OFFSET(F102,-$Y$5+1,0))</f>
        <v>9030.2000000000007</v>
      </c>
      <c r="Z102" s="7">
        <f t="shared" ca="1" si="4"/>
        <v>0</v>
      </c>
      <c r="AA102" s="28"/>
      <c r="AB102" s="28"/>
      <c r="AC102" s="28"/>
      <c r="AD102" s="28"/>
    </row>
    <row r="103" spans="1:30">
      <c r="A103" s="3" t="s">
        <v>28</v>
      </c>
      <c r="B103" s="4">
        <v>41795</v>
      </c>
      <c r="C103" s="3">
        <v>9117</v>
      </c>
      <c r="D103" s="3">
        <v>9118</v>
      </c>
      <c r="E103" s="3">
        <v>9074</v>
      </c>
      <c r="F103" s="3">
        <v>9118</v>
      </c>
      <c r="G103" s="3">
        <v>67500</v>
      </c>
      <c r="H103" s="3">
        <v>1.355</v>
      </c>
      <c r="I103" s="2">
        <f t="shared" si="13"/>
        <v>0</v>
      </c>
      <c r="J103" s="10">
        <f t="shared" si="15"/>
        <v>15</v>
      </c>
      <c r="K103" s="10">
        <f t="shared" si="14"/>
        <v>1</v>
      </c>
      <c r="L103" s="10">
        <f t="shared" ca="1" si="16"/>
        <v>0</v>
      </c>
      <c r="M103" s="10">
        <f t="shared" ca="1" si="5"/>
        <v>0</v>
      </c>
      <c r="N103" s="30">
        <f t="shared" ca="1" si="6"/>
        <v>0</v>
      </c>
      <c r="O103" s="10">
        <f t="shared" ca="1" si="7"/>
        <v>0</v>
      </c>
      <c r="P103" s="29">
        <f t="shared" ca="1" si="8"/>
        <v>0</v>
      </c>
      <c r="Q103" s="12">
        <f t="shared" ca="1" si="9"/>
        <v>-39000</v>
      </c>
      <c r="R103" s="10">
        <f t="shared" ca="1" si="10"/>
        <v>0</v>
      </c>
      <c r="U103" s="12">
        <f t="shared" ca="1" si="11"/>
        <v>0</v>
      </c>
      <c r="V103" s="14">
        <f t="shared" ca="1" si="12"/>
        <v>0</v>
      </c>
      <c r="X103" s="7">
        <f ca="1">AVERAGE(E103:OFFSET(F103,-$X$5+1,0))</f>
        <v>9096</v>
      </c>
      <c r="Y103" s="7">
        <f ca="1">AVERAGE(E103:OFFSET(F103,-$Y$5+1,0))</f>
        <v>9054.2999999999993</v>
      </c>
      <c r="Z103" s="7">
        <f t="shared" ca="1" si="4"/>
        <v>0</v>
      </c>
      <c r="AA103" s="28"/>
      <c r="AB103" s="28"/>
      <c r="AC103" s="28"/>
      <c r="AD103" s="28"/>
    </row>
    <row r="104" spans="1:30">
      <c r="A104" s="3" t="s">
        <v>28</v>
      </c>
      <c r="B104" s="4">
        <v>41796</v>
      </c>
      <c r="C104" s="3">
        <v>9138</v>
      </c>
      <c r="D104" s="3">
        <v>9158</v>
      </c>
      <c r="E104" s="3">
        <v>9120</v>
      </c>
      <c r="F104" s="3">
        <v>9125</v>
      </c>
      <c r="G104" s="3">
        <v>59766</v>
      </c>
      <c r="H104" s="3">
        <v>1.355</v>
      </c>
      <c r="I104" s="2">
        <f t="shared" si="13"/>
        <v>0</v>
      </c>
      <c r="J104" s="10">
        <f t="shared" si="15"/>
        <v>20</v>
      </c>
      <c r="K104" s="10">
        <f t="shared" si="14"/>
        <v>-13</v>
      </c>
      <c r="L104" s="10">
        <f t="shared" ca="1" si="16"/>
        <v>0</v>
      </c>
      <c r="M104" s="10">
        <f t="shared" ca="1" si="5"/>
        <v>0</v>
      </c>
      <c r="N104" s="30">
        <f t="shared" ca="1" si="6"/>
        <v>0</v>
      </c>
      <c r="O104" s="10">
        <f t="shared" ca="1" si="7"/>
        <v>0</v>
      </c>
      <c r="P104" s="29">
        <f t="shared" ca="1" si="8"/>
        <v>0</v>
      </c>
      <c r="Q104" s="12">
        <f t="shared" ca="1" si="9"/>
        <v>-39000</v>
      </c>
      <c r="R104" s="10">
        <f t="shared" ca="1" si="10"/>
        <v>0</v>
      </c>
      <c r="U104" s="12">
        <f t="shared" ca="1" si="11"/>
        <v>0</v>
      </c>
      <c r="V104" s="14">
        <f t="shared" ca="1" si="12"/>
        <v>0</v>
      </c>
      <c r="X104" s="7">
        <f ca="1">AVERAGE(E104:OFFSET(F104,-$X$5+1,0))</f>
        <v>9097.7999999999993</v>
      </c>
      <c r="Y104" s="7">
        <f ca="1">AVERAGE(E104:OFFSET(F104,-$Y$5+1,0))</f>
        <v>9075.2999999999993</v>
      </c>
      <c r="Z104" s="7">
        <f t="shared" ca="1" si="4"/>
        <v>0</v>
      </c>
      <c r="AA104" s="28"/>
      <c r="AB104" s="28"/>
      <c r="AC104" s="28"/>
      <c r="AD104" s="28"/>
    </row>
    <row r="105" spans="1:30">
      <c r="A105" s="3" t="s">
        <v>28</v>
      </c>
      <c r="B105" s="4">
        <v>41799</v>
      </c>
      <c r="C105" s="3">
        <v>9140</v>
      </c>
      <c r="D105" s="3">
        <v>9155</v>
      </c>
      <c r="E105" s="3">
        <v>9129</v>
      </c>
      <c r="F105" s="3">
        <v>9146</v>
      </c>
      <c r="G105" s="3">
        <v>45298</v>
      </c>
      <c r="H105" s="3">
        <v>1.355</v>
      </c>
      <c r="I105" s="2">
        <f t="shared" si="13"/>
        <v>0</v>
      </c>
      <c r="J105" s="10">
        <f t="shared" si="15"/>
        <v>15</v>
      </c>
      <c r="K105" s="10">
        <f t="shared" si="14"/>
        <v>6</v>
      </c>
      <c r="L105" s="10">
        <f t="shared" ca="1" si="16"/>
        <v>0</v>
      </c>
      <c r="M105" s="10">
        <f t="shared" ca="1" si="5"/>
        <v>0</v>
      </c>
      <c r="N105" s="30">
        <f t="shared" ca="1" si="6"/>
        <v>0</v>
      </c>
      <c r="O105" s="10">
        <f t="shared" ca="1" si="7"/>
        <v>0</v>
      </c>
      <c r="P105" s="29">
        <f t="shared" ca="1" si="8"/>
        <v>0</v>
      </c>
      <c r="Q105" s="12">
        <f t="shared" ca="1" si="9"/>
        <v>-39000</v>
      </c>
      <c r="R105" s="10">
        <f t="shared" ca="1" si="10"/>
        <v>0</v>
      </c>
      <c r="U105" s="12">
        <f t="shared" ca="1" si="11"/>
        <v>0</v>
      </c>
      <c r="V105" s="14">
        <f t="shared" ca="1" si="12"/>
        <v>0</v>
      </c>
      <c r="X105" s="7">
        <f ca="1">AVERAGE(E105:OFFSET(F105,-$X$5+1,0))</f>
        <v>9107.6</v>
      </c>
      <c r="Y105" s="7">
        <f ca="1">AVERAGE(E105:OFFSET(F105,-$Y$5+1,0))</f>
        <v>9090.1</v>
      </c>
      <c r="Z105" s="7">
        <f t="shared" ca="1" si="4"/>
        <v>0</v>
      </c>
      <c r="AA105" s="28"/>
      <c r="AB105" s="28"/>
      <c r="AC105" s="28"/>
      <c r="AD105" s="28"/>
    </row>
    <row r="106" spans="1:30">
      <c r="A106" s="3" t="s">
        <v>28</v>
      </c>
      <c r="B106" s="4">
        <v>41800</v>
      </c>
      <c r="C106" s="3">
        <v>9159</v>
      </c>
      <c r="D106" s="3">
        <v>9202</v>
      </c>
      <c r="E106" s="3">
        <v>9155</v>
      </c>
      <c r="F106" s="3">
        <v>9185</v>
      </c>
      <c r="G106" s="3">
        <v>72200</v>
      </c>
      <c r="H106" s="3">
        <v>1.355</v>
      </c>
      <c r="I106" s="2">
        <f t="shared" si="13"/>
        <v>0</v>
      </c>
      <c r="J106" s="10">
        <f t="shared" si="15"/>
        <v>13</v>
      </c>
      <c r="K106" s="10">
        <f t="shared" si="14"/>
        <v>26</v>
      </c>
      <c r="L106" s="10">
        <f t="shared" ca="1" si="16"/>
        <v>0</v>
      </c>
      <c r="M106" s="10">
        <f t="shared" ca="1" si="5"/>
        <v>0</v>
      </c>
      <c r="N106" s="30">
        <f t="shared" ca="1" si="6"/>
        <v>0</v>
      </c>
      <c r="O106" s="10">
        <f t="shared" ca="1" si="7"/>
        <v>0</v>
      </c>
      <c r="P106" s="29">
        <f t="shared" ca="1" si="8"/>
        <v>0</v>
      </c>
      <c r="Q106" s="12">
        <f t="shared" ca="1" si="9"/>
        <v>-39000</v>
      </c>
      <c r="R106" s="10">
        <f t="shared" ca="1" si="10"/>
        <v>0</v>
      </c>
      <c r="U106" s="12">
        <f t="shared" ca="1" si="11"/>
        <v>0</v>
      </c>
      <c r="V106" s="14">
        <f t="shared" ca="1" si="12"/>
        <v>0</v>
      </c>
      <c r="X106" s="7">
        <f ca="1">AVERAGE(E106:OFFSET(F106,-$X$5+1,0))</f>
        <v>9125.1</v>
      </c>
      <c r="Y106" s="7">
        <f ca="1">AVERAGE(E106:OFFSET(F106,-$Y$5+1,0))</f>
        <v>9104.6</v>
      </c>
      <c r="Z106" s="7">
        <f t="shared" ca="1" si="4"/>
        <v>0</v>
      </c>
      <c r="AA106" s="28"/>
      <c r="AB106" s="28"/>
      <c r="AC106" s="28"/>
      <c r="AD106" s="28"/>
    </row>
    <row r="107" spans="1:30">
      <c r="A107" s="3" t="s">
        <v>28</v>
      </c>
      <c r="B107" s="4">
        <v>41801</v>
      </c>
      <c r="C107" s="3">
        <v>9194</v>
      </c>
      <c r="D107" s="3">
        <v>9212</v>
      </c>
      <c r="E107" s="3">
        <v>9183</v>
      </c>
      <c r="F107" s="3">
        <v>9211</v>
      </c>
      <c r="G107" s="3">
        <v>43499</v>
      </c>
      <c r="H107" s="3">
        <v>1.355</v>
      </c>
      <c r="I107" s="2">
        <f t="shared" si="13"/>
        <v>0</v>
      </c>
      <c r="J107" s="10">
        <f t="shared" si="15"/>
        <v>9</v>
      </c>
      <c r="K107" s="10">
        <f t="shared" si="14"/>
        <v>17</v>
      </c>
      <c r="L107" s="10">
        <f t="shared" ca="1" si="16"/>
        <v>0</v>
      </c>
      <c r="M107" s="10">
        <f t="shared" ca="1" si="5"/>
        <v>0</v>
      </c>
      <c r="N107" s="30">
        <f t="shared" ca="1" si="6"/>
        <v>0</v>
      </c>
      <c r="O107" s="10">
        <f t="shared" ca="1" si="7"/>
        <v>0</v>
      </c>
      <c r="P107" s="29">
        <f t="shared" ca="1" si="8"/>
        <v>0</v>
      </c>
      <c r="Q107" s="12">
        <f t="shared" ca="1" si="9"/>
        <v>-39000</v>
      </c>
      <c r="R107" s="10">
        <f t="shared" ca="1" si="10"/>
        <v>0</v>
      </c>
      <c r="U107" s="12">
        <f t="shared" ca="1" si="11"/>
        <v>0</v>
      </c>
      <c r="V107" s="14">
        <f t="shared" ca="1" si="12"/>
        <v>0</v>
      </c>
      <c r="X107" s="7">
        <f ca="1">AVERAGE(E107:OFFSET(F107,-$X$5+1,0))</f>
        <v>9144.6</v>
      </c>
      <c r="Y107" s="7">
        <f ca="1">AVERAGE(E107:OFFSET(F107,-$Y$5+1,0))</f>
        <v>9120.25</v>
      </c>
      <c r="Z107" s="7">
        <f t="shared" ca="1" si="4"/>
        <v>0</v>
      </c>
      <c r="AA107" s="28"/>
      <c r="AB107" s="28"/>
      <c r="AC107" s="28"/>
      <c r="AD107" s="28"/>
    </row>
    <row r="108" spans="1:30">
      <c r="A108" s="3" t="s">
        <v>28</v>
      </c>
      <c r="B108" s="4">
        <v>41802</v>
      </c>
      <c r="C108" s="3">
        <v>9195</v>
      </c>
      <c r="D108" s="3">
        <v>9215</v>
      </c>
      <c r="E108" s="3">
        <v>9181</v>
      </c>
      <c r="F108" s="3">
        <v>9204</v>
      </c>
      <c r="G108" s="3">
        <v>46433</v>
      </c>
      <c r="H108" s="3">
        <v>1.355</v>
      </c>
      <c r="I108" s="2">
        <f t="shared" si="13"/>
        <v>0</v>
      </c>
      <c r="J108" s="10">
        <f t="shared" si="15"/>
        <v>-16</v>
      </c>
      <c r="K108" s="10">
        <f t="shared" si="14"/>
        <v>9</v>
      </c>
      <c r="L108" s="10">
        <f t="shared" ca="1" si="16"/>
        <v>0</v>
      </c>
      <c r="M108" s="10">
        <f t="shared" ca="1" si="5"/>
        <v>0</v>
      </c>
      <c r="N108" s="30">
        <f t="shared" ca="1" si="6"/>
        <v>0</v>
      </c>
      <c r="O108" s="10">
        <f t="shared" ca="1" si="7"/>
        <v>0</v>
      </c>
      <c r="P108" s="29">
        <f t="shared" ca="1" si="8"/>
        <v>0</v>
      </c>
      <c r="Q108" s="12">
        <f t="shared" ca="1" si="9"/>
        <v>-39000</v>
      </c>
      <c r="R108" s="10">
        <f t="shared" ca="1" si="10"/>
        <v>0</v>
      </c>
      <c r="U108" s="12">
        <f t="shared" ca="1" si="11"/>
        <v>0</v>
      </c>
      <c r="V108" s="14">
        <f t="shared" ca="1" si="12"/>
        <v>0</v>
      </c>
      <c r="X108" s="7">
        <f ca="1">AVERAGE(E108:OFFSET(F108,-$X$5+1,0))</f>
        <v>9163.9</v>
      </c>
      <c r="Y108" s="7">
        <f ca="1">AVERAGE(E108:OFFSET(F108,-$Y$5+1,0))</f>
        <v>9129.9500000000007</v>
      </c>
      <c r="Z108" s="7">
        <f t="shared" ca="1" si="4"/>
        <v>0</v>
      </c>
      <c r="AA108" s="28"/>
      <c r="AB108" s="28"/>
      <c r="AC108" s="28"/>
      <c r="AD108" s="28"/>
    </row>
    <row r="109" spans="1:30">
      <c r="A109" s="3" t="s">
        <v>28</v>
      </c>
      <c r="B109" s="4">
        <v>41803</v>
      </c>
      <c r="C109" s="3">
        <v>9170</v>
      </c>
      <c r="D109" s="3">
        <v>9199</v>
      </c>
      <c r="E109" s="3">
        <v>9156</v>
      </c>
      <c r="F109" s="3">
        <v>9198</v>
      </c>
      <c r="G109" s="3">
        <v>69155</v>
      </c>
      <c r="H109" s="3">
        <v>1.355</v>
      </c>
      <c r="I109" s="2">
        <f t="shared" si="13"/>
        <v>0</v>
      </c>
      <c r="J109" s="10">
        <f t="shared" si="15"/>
        <v>-34</v>
      </c>
      <c r="K109" s="10">
        <f t="shared" si="14"/>
        <v>28</v>
      </c>
      <c r="L109" s="10">
        <f t="shared" ca="1" si="16"/>
        <v>0</v>
      </c>
      <c r="M109" s="10">
        <f t="shared" ca="1" si="5"/>
        <v>0</v>
      </c>
      <c r="N109" s="30">
        <f t="shared" ca="1" si="6"/>
        <v>0</v>
      </c>
      <c r="O109" s="10">
        <f t="shared" ca="1" si="7"/>
        <v>0</v>
      </c>
      <c r="P109" s="29">
        <f t="shared" ca="1" si="8"/>
        <v>0</v>
      </c>
      <c r="Q109" s="12">
        <f t="shared" ca="1" si="9"/>
        <v>-39000</v>
      </c>
      <c r="R109" s="10">
        <f t="shared" ca="1" si="10"/>
        <v>0</v>
      </c>
      <c r="U109" s="12">
        <f t="shared" ca="1" si="11"/>
        <v>0</v>
      </c>
      <c r="V109" s="14">
        <f t="shared" ca="1" si="12"/>
        <v>0</v>
      </c>
      <c r="X109" s="7">
        <f ca="1">AVERAGE(E109:OFFSET(F109,-$X$5+1,0))</f>
        <v>9174.7999999999993</v>
      </c>
      <c r="Y109" s="7">
        <f ca="1">AVERAGE(E109:OFFSET(F109,-$Y$5+1,0))</f>
        <v>9136.2999999999993</v>
      </c>
      <c r="Z109" s="7">
        <f t="shared" ca="1" si="4"/>
        <v>0</v>
      </c>
      <c r="AA109" s="28"/>
      <c r="AB109" s="28"/>
      <c r="AC109" s="28"/>
      <c r="AD109" s="28"/>
    </row>
    <row r="110" spans="1:30">
      <c r="A110" s="3" t="s">
        <v>28</v>
      </c>
      <c r="B110" s="4">
        <v>41806</v>
      </c>
      <c r="C110" s="3">
        <v>9180</v>
      </c>
      <c r="D110" s="3">
        <v>9214</v>
      </c>
      <c r="E110" s="3">
        <v>9175</v>
      </c>
      <c r="F110" s="3">
        <v>9200</v>
      </c>
      <c r="G110" s="3">
        <v>54947</v>
      </c>
      <c r="H110" s="3">
        <v>1.355</v>
      </c>
      <c r="I110" s="2">
        <f t="shared" si="13"/>
        <v>0</v>
      </c>
      <c r="J110" s="10">
        <f t="shared" si="15"/>
        <v>-18</v>
      </c>
      <c r="K110" s="10">
        <f t="shared" si="14"/>
        <v>20</v>
      </c>
      <c r="L110" s="10">
        <f t="shared" ca="1" si="16"/>
        <v>0</v>
      </c>
      <c r="M110" s="10">
        <f t="shared" ca="1" si="5"/>
        <v>0</v>
      </c>
      <c r="N110" s="30">
        <f t="shared" ca="1" si="6"/>
        <v>0</v>
      </c>
      <c r="O110" s="10">
        <f t="shared" ca="1" si="7"/>
        <v>0</v>
      </c>
      <c r="P110" s="29">
        <f t="shared" ca="1" si="8"/>
        <v>0</v>
      </c>
      <c r="Q110" s="12">
        <f t="shared" ca="1" si="9"/>
        <v>-39000</v>
      </c>
      <c r="R110" s="10">
        <f t="shared" ca="1" si="10"/>
        <v>0</v>
      </c>
      <c r="U110" s="12">
        <f t="shared" ca="1" si="11"/>
        <v>0</v>
      </c>
      <c r="V110" s="14">
        <f t="shared" ca="1" si="12"/>
        <v>0</v>
      </c>
      <c r="X110" s="7">
        <f ca="1">AVERAGE(E110:OFFSET(F110,-$X$5+1,0))</f>
        <v>9184.7999999999993</v>
      </c>
      <c r="Y110" s="7">
        <f ca="1">AVERAGE(E110:OFFSET(F110,-$Y$5+1,0))</f>
        <v>9146.2000000000007</v>
      </c>
      <c r="Z110" s="7">
        <f t="shared" ca="1" si="4"/>
        <v>0</v>
      </c>
      <c r="AA110" s="28"/>
      <c r="AB110" s="28"/>
      <c r="AC110" s="28"/>
      <c r="AD110" s="28"/>
    </row>
    <row r="111" spans="1:30">
      <c r="A111" s="3" t="s">
        <v>28</v>
      </c>
      <c r="B111" s="4">
        <v>41807</v>
      </c>
      <c r="C111" s="3">
        <v>9207</v>
      </c>
      <c r="D111" s="3">
        <v>9248</v>
      </c>
      <c r="E111" s="3">
        <v>9203</v>
      </c>
      <c r="F111" s="3">
        <v>9241</v>
      </c>
      <c r="G111" s="3">
        <v>66123</v>
      </c>
      <c r="H111" s="3">
        <v>1.355</v>
      </c>
      <c r="I111" s="2">
        <f t="shared" si="13"/>
        <v>0</v>
      </c>
      <c r="J111" s="10">
        <f t="shared" si="15"/>
        <v>7</v>
      </c>
      <c r="K111" s="10">
        <f t="shared" si="14"/>
        <v>34</v>
      </c>
      <c r="L111" s="10">
        <f t="shared" ca="1" si="16"/>
        <v>0</v>
      </c>
      <c r="M111" s="10">
        <f t="shared" ca="1" si="5"/>
        <v>0</v>
      </c>
      <c r="N111" s="30">
        <f t="shared" ca="1" si="6"/>
        <v>0</v>
      </c>
      <c r="O111" s="10">
        <f t="shared" ca="1" si="7"/>
        <v>0</v>
      </c>
      <c r="P111" s="29">
        <f t="shared" ca="1" si="8"/>
        <v>0</v>
      </c>
      <c r="Q111" s="12">
        <f t="shared" ca="1" si="9"/>
        <v>-39000</v>
      </c>
      <c r="R111" s="10">
        <f t="shared" ca="1" si="10"/>
        <v>0</v>
      </c>
      <c r="U111" s="12">
        <f t="shared" ca="1" si="11"/>
        <v>0</v>
      </c>
      <c r="V111" s="14">
        <f t="shared" ca="1" si="12"/>
        <v>0</v>
      </c>
      <c r="X111" s="7">
        <f ca="1">AVERAGE(E111:OFFSET(F111,-$X$5+1,0))</f>
        <v>9195.2000000000007</v>
      </c>
      <c r="Y111" s="7">
        <f ca="1">AVERAGE(E111:OFFSET(F111,-$Y$5+1,0))</f>
        <v>9160.15</v>
      </c>
      <c r="Z111" s="7">
        <f t="shared" ca="1" si="4"/>
        <v>0</v>
      </c>
      <c r="AA111" s="28"/>
      <c r="AB111" s="28"/>
      <c r="AC111" s="28"/>
      <c r="AD111" s="28"/>
    </row>
    <row r="112" spans="1:30">
      <c r="A112" s="3" t="s">
        <v>28</v>
      </c>
      <c r="B112" s="4">
        <v>41808</v>
      </c>
      <c r="C112" s="3">
        <v>9241</v>
      </c>
      <c r="D112" s="3">
        <v>9307</v>
      </c>
      <c r="E112" s="3">
        <v>9208</v>
      </c>
      <c r="F112" s="3">
        <v>9302</v>
      </c>
      <c r="G112" s="3">
        <v>64896</v>
      </c>
      <c r="H112" s="3">
        <v>1.355</v>
      </c>
      <c r="I112" s="2">
        <f t="shared" si="13"/>
        <v>1</v>
      </c>
      <c r="J112" s="10">
        <f t="shared" si="15"/>
        <v>0</v>
      </c>
      <c r="K112" s="10">
        <f t="shared" si="14"/>
        <v>61</v>
      </c>
      <c r="L112" s="10">
        <f t="shared" ca="1" si="16"/>
        <v>0</v>
      </c>
      <c r="M112" s="10">
        <f t="shared" si="5"/>
        <v>0</v>
      </c>
      <c r="N112" s="30">
        <f t="shared" si="6"/>
        <v>0</v>
      </c>
      <c r="O112" s="10">
        <f t="shared" si="7"/>
        <v>0</v>
      </c>
      <c r="P112" s="29">
        <f t="shared" ca="1" si="8"/>
        <v>0</v>
      </c>
      <c r="Q112" s="12">
        <f t="shared" ca="1" si="9"/>
        <v>-39000</v>
      </c>
      <c r="R112" s="10">
        <f t="shared" ca="1" si="10"/>
        <v>0</v>
      </c>
      <c r="U112" s="12">
        <f t="shared" ca="1" si="11"/>
        <v>0</v>
      </c>
      <c r="V112" s="14">
        <f t="shared" ca="1" si="12"/>
        <v>0</v>
      </c>
      <c r="X112" s="7">
        <f ca="1">AVERAGE(E112:OFFSET(F112,-$X$5+1,0))</f>
        <v>9206.7999999999993</v>
      </c>
      <c r="Y112" s="7">
        <f ca="1">AVERAGE(E112:OFFSET(F112,-$Y$5+1,0))</f>
        <v>9175.7000000000007</v>
      </c>
      <c r="Z112" s="7">
        <f t="shared" ca="1" si="4"/>
        <v>0</v>
      </c>
      <c r="AA112" s="28"/>
      <c r="AB112" s="28"/>
      <c r="AC112" s="28"/>
      <c r="AD112" s="28"/>
    </row>
    <row r="113" spans="1:30">
      <c r="A113" s="3" t="s">
        <v>29</v>
      </c>
      <c r="B113" s="4">
        <v>41809</v>
      </c>
      <c r="C113" s="3">
        <v>9187</v>
      </c>
      <c r="D113" s="3">
        <v>9237</v>
      </c>
      <c r="E113" s="3">
        <v>9181</v>
      </c>
      <c r="F113" s="3">
        <v>9225</v>
      </c>
      <c r="G113" s="3">
        <v>74612</v>
      </c>
      <c r="H113" s="3">
        <v>1.355</v>
      </c>
      <c r="I113" s="2">
        <f t="shared" si="13"/>
        <v>0</v>
      </c>
      <c r="J113" s="10">
        <f t="shared" si="15"/>
        <v>-115</v>
      </c>
      <c r="K113" s="10">
        <f t="shared" si="14"/>
        <v>38</v>
      </c>
      <c r="L113" s="10">
        <f t="shared" ca="1" si="16"/>
        <v>0</v>
      </c>
      <c r="M113" s="10">
        <f t="shared" ca="1" si="5"/>
        <v>0</v>
      </c>
      <c r="N113" s="30">
        <f t="shared" ca="1" si="6"/>
        <v>0</v>
      </c>
      <c r="O113" s="10">
        <f t="shared" ca="1" si="7"/>
        <v>0</v>
      </c>
      <c r="P113" s="29">
        <f t="shared" ca="1" si="8"/>
        <v>0</v>
      </c>
      <c r="Q113" s="12">
        <f t="shared" ca="1" si="9"/>
        <v>-39000</v>
      </c>
      <c r="R113" s="10">
        <f t="shared" ca="1" si="10"/>
        <v>0</v>
      </c>
      <c r="U113" s="12">
        <f t="shared" ca="1" si="11"/>
        <v>0</v>
      </c>
      <c r="V113" s="14">
        <f t="shared" ca="1" si="12"/>
        <v>0</v>
      </c>
      <c r="X113" s="7">
        <f ca="1">AVERAGE(E113:OFFSET(F113,-$X$5+1,0))</f>
        <v>9208.9</v>
      </c>
      <c r="Y113" s="7">
        <f ca="1">AVERAGE(E113:OFFSET(F113,-$Y$5+1,0))</f>
        <v>9186.4</v>
      </c>
      <c r="Z113" s="7">
        <f t="shared" ca="1" si="4"/>
        <v>0</v>
      </c>
      <c r="AA113" s="28"/>
      <c r="AB113" s="28"/>
      <c r="AC113" s="28"/>
      <c r="AD113" s="28"/>
    </row>
    <row r="114" spans="1:30">
      <c r="A114" s="3" t="s">
        <v>29</v>
      </c>
      <c r="B114" s="4">
        <v>41810</v>
      </c>
      <c r="C114" s="3">
        <v>9227</v>
      </c>
      <c r="D114" s="3">
        <v>9230</v>
      </c>
      <c r="E114" s="3">
        <v>9178</v>
      </c>
      <c r="F114" s="3">
        <v>9180</v>
      </c>
      <c r="G114" s="3">
        <v>74727</v>
      </c>
      <c r="H114" s="3">
        <v>1.355</v>
      </c>
      <c r="I114" s="2">
        <f t="shared" si="13"/>
        <v>0</v>
      </c>
      <c r="J114" s="10">
        <f t="shared" si="15"/>
        <v>2</v>
      </c>
      <c r="K114" s="10">
        <f t="shared" si="14"/>
        <v>-47</v>
      </c>
      <c r="L114" s="10">
        <f t="shared" ca="1" si="16"/>
        <v>0</v>
      </c>
      <c r="M114" s="10">
        <f t="shared" ca="1" si="5"/>
        <v>0</v>
      </c>
      <c r="N114" s="30">
        <f t="shared" ca="1" si="6"/>
        <v>0</v>
      </c>
      <c r="O114" s="10">
        <f t="shared" ca="1" si="7"/>
        <v>0</v>
      </c>
      <c r="P114" s="29">
        <f t="shared" ca="1" si="8"/>
        <v>0</v>
      </c>
      <c r="Q114" s="12">
        <f t="shared" ca="1" si="9"/>
        <v>-39000</v>
      </c>
      <c r="R114" s="10">
        <f t="shared" ca="1" si="10"/>
        <v>0</v>
      </c>
      <c r="U114" s="12">
        <f t="shared" ca="1" si="11"/>
        <v>0</v>
      </c>
      <c r="V114" s="14">
        <f t="shared" ca="1" si="12"/>
        <v>0</v>
      </c>
      <c r="X114" s="7">
        <f ca="1">AVERAGE(E114:OFFSET(F114,-$X$5+1,0))</f>
        <v>9209.2999999999993</v>
      </c>
      <c r="Y114" s="7">
        <f ca="1">AVERAGE(E114:OFFSET(F114,-$Y$5+1,0))</f>
        <v>9192.0499999999993</v>
      </c>
      <c r="Z114" s="7">
        <f t="shared" ca="1" si="4"/>
        <v>0</v>
      </c>
      <c r="AA114" s="28"/>
      <c r="AB114" s="28"/>
      <c r="AC114" s="28"/>
      <c r="AD114" s="28"/>
    </row>
    <row r="115" spans="1:30">
      <c r="A115" s="3" t="s">
        <v>29</v>
      </c>
      <c r="B115" s="4">
        <v>41813</v>
      </c>
      <c r="C115" s="3">
        <v>9179</v>
      </c>
      <c r="D115" s="3">
        <v>9206</v>
      </c>
      <c r="E115" s="3">
        <v>9151</v>
      </c>
      <c r="F115" s="3">
        <v>9166</v>
      </c>
      <c r="G115" s="3">
        <v>82798</v>
      </c>
      <c r="H115" s="3">
        <v>1.355</v>
      </c>
      <c r="I115" s="2">
        <f t="shared" si="13"/>
        <v>0</v>
      </c>
      <c r="J115" s="10">
        <f t="shared" si="15"/>
        <v>-1</v>
      </c>
      <c r="K115" s="10">
        <f t="shared" si="14"/>
        <v>-13</v>
      </c>
      <c r="L115" s="10">
        <f t="shared" ca="1" si="16"/>
        <v>0</v>
      </c>
      <c r="M115" s="10">
        <f t="shared" ca="1" si="5"/>
        <v>0</v>
      </c>
      <c r="N115" s="30">
        <f t="shared" ca="1" si="6"/>
        <v>0</v>
      </c>
      <c r="O115" s="10">
        <f t="shared" ca="1" si="7"/>
        <v>0</v>
      </c>
      <c r="P115" s="29">
        <f t="shared" ca="1" si="8"/>
        <v>0</v>
      </c>
      <c r="Q115" s="12">
        <f t="shared" ca="1" si="9"/>
        <v>-39000</v>
      </c>
      <c r="R115" s="10">
        <f t="shared" ca="1" si="10"/>
        <v>0</v>
      </c>
      <c r="U115" s="12">
        <f t="shared" ca="1" si="11"/>
        <v>0</v>
      </c>
      <c r="V115" s="14">
        <f t="shared" ca="1" si="12"/>
        <v>0</v>
      </c>
      <c r="X115" s="7">
        <f ca="1">AVERAGE(E115:OFFSET(F115,-$X$5+1,0))</f>
        <v>9203.5</v>
      </c>
      <c r="Y115" s="7">
        <f ca="1">AVERAGE(E115:OFFSET(F115,-$Y$5+1,0))</f>
        <v>9194.15</v>
      </c>
      <c r="Z115" s="7">
        <f t="shared" ca="1" si="4"/>
        <v>0</v>
      </c>
      <c r="AA115" s="28"/>
      <c r="AB115" s="28"/>
      <c r="AC115" s="28"/>
      <c r="AD115" s="28"/>
    </row>
    <row r="116" spans="1:30">
      <c r="A116" s="3" t="s">
        <v>29</v>
      </c>
      <c r="B116" s="4">
        <v>41814</v>
      </c>
      <c r="C116" s="3">
        <v>9174</v>
      </c>
      <c r="D116" s="3">
        <v>9198</v>
      </c>
      <c r="E116" s="3">
        <v>9165</v>
      </c>
      <c r="F116" s="3">
        <v>9172</v>
      </c>
      <c r="G116" s="3">
        <v>65966</v>
      </c>
      <c r="H116" s="3">
        <v>1.355</v>
      </c>
      <c r="I116" s="2">
        <f t="shared" si="13"/>
        <v>0</v>
      </c>
      <c r="J116" s="10">
        <f t="shared" si="15"/>
        <v>8</v>
      </c>
      <c r="K116" s="10">
        <f t="shared" si="14"/>
        <v>-2</v>
      </c>
      <c r="L116" s="10">
        <f t="shared" ca="1" si="16"/>
        <v>-1</v>
      </c>
      <c r="M116" s="10">
        <f t="shared" ca="1" si="5"/>
        <v>0</v>
      </c>
      <c r="N116" s="30">
        <f t="shared" ca="1" si="6"/>
        <v>0</v>
      </c>
      <c r="O116" s="10">
        <f t="shared" ca="1" si="7"/>
        <v>0</v>
      </c>
      <c r="P116" s="29">
        <f t="shared" ca="1" si="8"/>
        <v>0</v>
      </c>
      <c r="Q116" s="12">
        <f t="shared" ca="1" si="9"/>
        <v>-39000</v>
      </c>
      <c r="R116" s="10">
        <f t="shared" ca="1" si="10"/>
        <v>0</v>
      </c>
      <c r="U116" s="12">
        <f t="shared" ca="1" si="11"/>
        <v>0</v>
      </c>
      <c r="V116" s="14">
        <f t="shared" ca="1" si="12"/>
        <v>0</v>
      </c>
      <c r="X116" s="7">
        <f ca="1">AVERAGE(E116:OFFSET(F116,-$X$5+1,0))</f>
        <v>9192.7999999999993</v>
      </c>
      <c r="Y116" s="7">
        <f ca="1">AVERAGE(E116:OFFSET(F116,-$Y$5+1,0))</f>
        <v>9194</v>
      </c>
      <c r="Z116" s="7">
        <f t="shared" ca="1" si="4"/>
        <v>-1</v>
      </c>
      <c r="AA116" s="28"/>
      <c r="AB116" s="28"/>
      <c r="AC116" s="28"/>
      <c r="AD116" s="28"/>
    </row>
    <row r="117" spans="1:30">
      <c r="A117" s="3" t="s">
        <v>29</v>
      </c>
      <c r="B117" s="4">
        <v>41815</v>
      </c>
      <c r="C117" s="3">
        <v>9146</v>
      </c>
      <c r="D117" s="3">
        <v>9170</v>
      </c>
      <c r="E117" s="3">
        <v>9137</v>
      </c>
      <c r="F117" s="3">
        <v>9157</v>
      </c>
      <c r="G117" s="3">
        <v>63400</v>
      </c>
      <c r="H117" s="3">
        <v>1.355</v>
      </c>
      <c r="I117" s="2">
        <f t="shared" si="13"/>
        <v>0</v>
      </c>
      <c r="J117" s="10">
        <f t="shared" si="15"/>
        <v>-26</v>
      </c>
      <c r="K117" s="10">
        <f t="shared" si="14"/>
        <v>11</v>
      </c>
      <c r="L117" s="10">
        <f t="shared" ca="1" si="16"/>
        <v>0</v>
      </c>
      <c r="M117" s="10">
        <f t="shared" ca="1" si="5"/>
        <v>-1</v>
      </c>
      <c r="N117" s="30">
        <f t="shared" ca="1" si="6"/>
        <v>0</v>
      </c>
      <c r="O117" s="10">
        <f t="shared" ca="1" si="7"/>
        <v>1829200</v>
      </c>
      <c r="P117" s="29">
        <f t="shared" ca="1" si="8"/>
        <v>-2700</v>
      </c>
      <c r="Q117" s="12">
        <f t="shared" ca="1" si="9"/>
        <v>-41700</v>
      </c>
      <c r="R117" s="10">
        <f t="shared" ca="1" si="10"/>
        <v>-0.14760551060572927</v>
      </c>
      <c r="U117" s="12">
        <f t="shared" ca="1" si="11"/>
        <v>0</v>
      </c>
      <c r="V117" s="14">
        <f t="shared" ca="1" si="12"/>
        <v>0</v>
      </c>
      <c r="X117" s="7">
        <f ca="1">AVERAGE(E117:OFFSET(F117,-$X$5+1,0))</f>
        <v>9171.2000000000007</v>
      </c>
      <c r="Y117" s="7">
        <f ca="1">AVERAGE(E117:OFFSET(F117,-$Y$5+1,0))</f>
        <v>9189</v>
      </c>
      <c r="Z117" s="7">
        <f t="shared" ca="1" si="4"/>
        <v>0</v>
      </c>
      <c r="AA117" s="28"/>
      <c r="AB117" s="28"/>
      <c r="AC117" s="28"/>
      <c r="AD117" s="28"/>
    </row>
    <row r="118" spans="1:30">
      <c r="A118" s="3" t="s">
        <v>29</v>
      </c>
      <c r="B118" s="4">
        <v>41816</v>
      </c>
      <c r="C118" s="3">
        <v>9181</v>
      </c>
      <c r="D118" s="3">
        <v>9237</v>
      </c>
      <c r="E118" s="3">
        <v>9176</v>
      </c>
      <c r="F118" s="3">
        <v>9233</v>
      </c>
      <c r="G118" s="3">
        <v>75765</v>
      </c>
      <c r="H118" s="3">
        <v>1.355</v>
      </c>
      <c r="I118" s="2">
        <f t="shared" si="13"/>
        <v>0</v>
      </c>
      <c r="J118" s="10">
        <f t="shared" si="15"/>
        <v>24</v>
      </c>
      <c r="K118" s="10">
        <f t="shared" si="14"/>
        <v>52</v>
      </c>
      <c r="L118" s="10">
        <f t="shared" ca="1" si="16"/>
        <v>0</v>
      </c>
      <c r="M118" s="10">
        <f t="shared" ca="1" si="5"/>
        <v>-1</v>
      </c>
      <c r="N118" s="30">
        <f t="shared" ca="1" si="6"/>
        <v>0</v>
      </c>
      <c r="O118" s="10">
        <f t="shared" ca="1" si="7"/>
        <v>1829200</v>
      </c>
      <c r="P118" s="29">
        <f t="shared" ca="1" si="8"/>
        <v>-15200</v>
      </c>
      <c r="Q118" s="12">
        <f t="shared" ca="1" si="9"/>
        <v>-56900</v>
      </c>
      <c r="R118" s="10">
        <f t="shared" ca="1" si="10"/>
        <v>-0.83096435600262408</v>
      </c>
      <c r="U118" s="12">
        <f t="shared" ca="1" si="11"/>
        <v>0</v>
      </c>
      <c r="V118" s="14">
        <f t="shared" ca="1" si="12"/>
        <v>0</v>
      </c>
      <c r="X118" s="7">
        <f ca="1">AVERAGE(E118:OFFSET(F118,-$X$5+1,0))</f>
        <v>9171.5</v>
      </c>
      <c r="Y118" s="7">
        <f ca="1">AVERAGE(E118:OFFSET(F118,-$Y$5+1,0))</f>
        <v>9190.2000000000007</v>
      </c>
      <c r="Z118" s="7">
        <f t="shared" ca="1" si="4"/>
        <v>0</v>
      </c>
      <c r="AA118" s="28"/>
      <c r="AB118" s="28"/>
      <c r="AC118" s="28"/>
      <c r="AD118" s="28"/>
    </row>
    <row r="119" spans="1:30">
      <c r="A119" s="3" t="s">
        <v>29</v>
      </c>
      <c r="B119" s="4">
        <v>41817</v>
      </c>
      <c r="C119" s="3">
        <v>9231</v>
      </c>
      <c r="D119" s="3">
        <v>9244</v>
      </c>
      <c r="E119" s="3">
        <v>9205</v>
      </c>
      <c r="F119" s="3">
        <v>9207</v>
      </c>
      <c r="G119" s="3">
        <v>58349</v>
      </c>
      <c r="H119" s="3">
        <v>1.355</v>
      </c>
      <c r="I119" s="2">
        <f t="shared" si="13"/>
        <v>0</v>
      </c>
      <c r="J119" s="10">
        <f t="shared" si="15"/>
        <v>-2</v>
      </c>
      <c r="K119" s="10">
        <f t="shared" si="14"/>
        <v>-24</v>
      </c>
      <c r="L119" s="10">
        <f t="shared" ca="1" si="16"/>
        <v>0</v>
      </c>
      <c r="M119" s="10">
        <f t="shared" ca="1" si="5"/>
        <v>-1</v>
      </c>
      <c r="N119" s="30">
        <f t="shared" ca="1" si="6"/>
        <v>0</v>
      </c>
      <c r="O119" s="10">
        <f t="shared" ca="1" si="7"/>
        <v>1829200</v>
      </c>
      <c r="P119" s="29">
        <f t="shared" ca="1" si="8"/>
        <v>5200</v>
      </c>
      <c r="Q119" s="12">
        <f t="shared" ca="1" si="9"/>
        <v>-51700</v>
      </c>
      <c r="R119" s="10">
        <f t="shared" ca="1" si="10"/>
        <v>0.28427727968510824</v>
      </c>
      <c r="U119" s="12">
        <f t="shared" ca="1" si="11"/>
        <v>0</v>
      </c>
      <c r="V119" s="14">
        <f t="shared" ca="1" si="12"/>
        <v>0</v>
      </c>
      <c r="X119" s="7">
        <f ca="1">AVERAGE(E119:OFFSET(F119,-$X$5+1,0))</f>
        <v>9176.9</v>
      </c>
      <c r="Y119" s="7">
        <f ca="1">AVERAGE(E119:OFFSET(F119,-$Y$5+1,0))</f>
        <v>9193.1</v>
      </c>
      <c r="Z119" s="7">
        <f t="shared" ca="1" si="4"/>
        <v>0</v>
      </c>
      <c r="AA119" s="28"/>
      <c r="AB119" s="28"/>
      <c r="AC119" s="28"/>
      <c r="AD119" s="28"/>
    </row>
    <row r="120" spans="1:30">
      <c r="A120" s="3" t="s">
        <v>29</v>
      </c>
      <c r="B120" s="4">
        <v>41820</v>
      </c>
      <c r="C120" s="3">
        <v>9220</v>
      </c>
      <c r="D120" s="3">
        <v>9307</v>
      </c>
      <c r="E120" s="3">
        <v>9218</v>
      </c>
      <c r="F120" s="3">
        <v>9290</v>
      </c>
      <c r="G120" s="3">
        <v>77543</v>
      </c>
      <c r="H120" s="3">
        <v>1.355</v>
      </c>
      <c r="I120" s="2">
        <f t="shared" si="13"/>
        <v>0</v>
      </c>
      <c r="J120" s="10">
        <f t="shared" si="15"/>
        <v>13</v>
      </c>
      <c r="K120" s="10">
        <f t="shared" si="14"/>
        <v>70</v>
      </c>
      <c r="L120" s="10">
        <f t="shared" ca="1" si="16"/>
        <v>0</v>
      </c>
      <c r="M120" s="10">
        <f t="shared" ca="1" si="5"/>
        <v>-1</v>
      </c>
      <c r="N120" s="30">
        <f t="shared" ca="1" si="6"/>
        <v>0</v>
      </c>
      <c r="O120" s="10">
        <f t="shared" ca="1" si="7"/>
        <v>1829200</v>
      </c>
      <c r="P120" s="29">
        <f t="shared" ca="1" si="8"/>
        <v>-16600</v>
      </c>
      <c r="Q120" s="12">
        <f t="shared" ca="1" si="9"/>
        <v>-68300</v>
      </c>
      <c r="R120" s="10">
        <f t="shared" ca="1" si="10"/>
        <v>-0.90750054668707636</v>
      </c>
      <c r="U120" s="12">
        <f t="shared" ca="1" si="11"/>
        <v>0</v>
      </c>
      <c r="V120" s="14">
        <f t="shared" ca="1" si="12"/>
        <v>0</v>
      </c>
      <c r="X120" s="7">
        <f ca="1">AVERAGE(E120:OFFSET(F120,-$X$5+1,0))</f>
        <v>9196</v>
      </c>
      <c r="Y120" s="7">
        <f ca="1">AVERAGE(E120:OFFSET(F120,-$Y$5+1,0))</f>
        <v>9199.75</v>
      </c>
      <c r="Z120" s="7">
        <f t="shared" ca="1" si="4"/>
        <v>0</v>
      </c>
      <c r="AA120" s="28"/>
      <c r="AB120" s="28"/>
      <c r="AC120" s="28"/>
      <c r="AD120" s="28"/>
    </row>
    <row r="121" spans="1:30">
      <c r="A121" s="3" t="s">
        <v>29</v>
      </c>
      <c r="B121" s="4">
        <v>41821</v>
      </c>
      <c r="C121" s="3">
        <v>9299</v>
      </c>
      <c r="D121" s="3">
        <v>9401</v>
      </c>
      <c r="E121" s="3">
        <v>9289</v>
      </c>
      <c r="F121" s="3">
        <v>9384</v>
      </c>
      <c r="G121" s="3">
        <v>101041</v>
      </c>
      <c r="H121" s="3">
        <v>1.355</v>
      </c>
      <c r="I121" s="2">
        <f t="shared" si="13"/>
        <v>0</v>
      </c>
      <c r="J121" s="10">
        <f t="shared" si="15"/>
        <v>9</v>
      </c>
      <c r="K121" s="10">
        <f t="shared" si="14"/>
        <v>85</v>
      </c>
      <c r="L121" s="10">
        <f t="shared" ca="1" si="16"/>
        <v>1</v>
      </c>
      <c r="M121" s="10">
        <f t="shared" ca="1" si="5"/>
        <v>-1</v>
      </c>
      <c r="N121" s="30">
        <f t="shared" ca="1" si="6"/>
        <v>0</v>
      </c>
      <c r="O121" s="10">
        <f t="shared" ca="1" si="7"/>
        <v>1829200</v>
      </c>
      <c r="P121" s="29">
        <f t="shared" ca="1" si="8"/>
        <v>-18800</v>
      </c>
      <c r="Q121" s="12">
        <f t="shared" ca="1" si="9"/>
        <v>-87100</v>
      </c>
      <c r="R121" s="10">
        <f t="shared" ca="1" si="10"/>
        <v>-1.0277717034769298</v>
      </c>
      <c r="U121" s="12">
        <f t="shared" ca="1" si="11"/>
        <v>0</v>
      </c>
      <c r="V121" s="14">
        <f t="shared" ca="1" si="12"/>
        <v>0</v>
      </c>
      <c r="X121" s="7">
        <f ca="1">AVERAGE(E121:OFFSET(F121,-$X$5+1,0))</f>
        <v>9229.6</v>
      </c>
      <c r="Y121" s="7">
        <f ca="1">AVERAGE(E121:OFFSET(F121,-$Y$5+1,0))</f>
        <v>9211.2000000000007</v>
      </c>
      <c r="Z121" s="7">
        <f t="shared" ca="1" si="4"/>
        <v>1</v>
      </c>
      <c r="AA121" s="28"/>
      <c r="AB121" s="28"/>
      <c r="AC121" s="28"/>
      <c r="AD121" s="28"/>
    </row>
    <row r="122" spans="1:30">
      <c r="A122" s="3" t="s">
        <v>29</v>
      </c>
      <c r="B122" s="4">
        <v>41822</v>
      </c>
      <c r="C122" s="3">
        <v>9404</v>
      </c>
      <c r="D122" s="3">
        <v>9488</v>
      </c>
      <c r="E122" s="3">
        <v>9310</v>
      </c>
      <c r="F122" s="3">
        <v>9402</v>
      </c>
      <c r="G122" s="3">
        <v>178185</v>
      </c>
      <c r="H122" s="3">
        <v>1.355</v>
      </c>
      <c r="I122" s="2">
        <f t="shared" si="13"/>
        <v>0</v>
      </c>
      <c r="J122" s="10">
        <f t="shared" si="15"/>
        <v>20</v>
      </c>
      <c r="K122" s="10">
        <f t="shared" si="14"/>
        <v>-2</v>
      </c>
      <c r="L122" s="10">
        <f t="shared" ca="1" si="16"/>
        <v>0</v>
      </c>
      <c r="M122" s="10">
        <f t="shared" ca="1" si="5"/>
        <v>0</v>
      </c>
      <c r="N122" s="30">
        <f t="shared" ca="1" si="6"/>
        <v>0</v>
      </c>
      <c r="O122" s="10">
        <f t="shared" ca="1" si="7"/>
        <v>0</v>
      </c>
      <c r="P122" s="29">
        <f t="shared" ca="1" si="8"/>
        <v>-4500</v>
      </c>
      <c r="Q122" s="12">
        <f t="shared" ca="1" si="9"/>
        <v>-91600</v>
      </c>
      <c r="R122" s="10">
        <f t="shared" ca="1" si="10"/>
        <v>-0.24600918434288213</v>
      </c>
      <c r="U122" s="12">
        <f t="shared" ca="1" si="11"/>
        <v>0</v>
      </c>
      <c r="V122" s="14">
        <f t="shared" ca="1" si="12"/>
        <v>0</v>
      </c>
      <c r="X122" s="7">
        <f ca="1">AVERAGE(E122:OFFSET(F122,-$X$5+1,0))</f>
        <v>9271.4</v>
      </c>
      <c r="Y122" s="7">
        <f ca="1">AVERAGE(E122:OFFSET(F122,-$Y$5+1,0))</f>
        <v>9221.2999999999993</v>
      </c>
      <c r="Z122" s="7">
        <f t="shared" ca="1" si="4"/>
        <v>0</v>
      </c>
      <c r="AA122" s="28"/>
      <c r="AB122" s="28"/>
      <c r="AC122" s="28"/>
      <c r="AD122" s="28"/>
    </row>
    <row r="123" spans="1:30">
      <c r="A123" s="3" t="s">
        <v>29</v>
      </c>
      <c r="B123" s="4">
        <v>41823</v>
      </c>
      <c r="C123" s="3">
        <v>9396</v>
      </c>
      <c r="D123" s="3">
        <v>9463</v>
      </c>
      <c r="E123" s="3">
        <v>9367</v>
      </c>
      <c r="F123" s="3">
        <v>9455</v>
      </c>
      <c r="G123" s="3">
        <v>111701</v>
      </c>
      <c r="H123" s="3">
        <v>1.355</v>
      </c>
      <c r="I123" s="2">
        <f t="shared" si="13"/>
        <v>0</v>
      </c>
      <c r="J123" s="10">
        <f t="shared" si="15"/>
        <v>-6</v>
      </c>
      <c r="K123" s="10">
        <f t="shared" si="14"/>
        <v>59</v>
      </c>
      <c r="L123" s="10">
        <f t="shared" ca="1" si="16"/>
        <v>0</v>
      </c>
      <c r="M123" s="10">
        <f t="shared" ca="1" si="5"/>
        <v>0</v>
      </c>
      <c r="N123" s="30">
        <f t="shared" ca="1" si="6"/>
        <v>0</v>
      </c>
      <c r="O123" s="10">
        <f t="shared" ca="1" si="7"/>
        <v>0</v>
      </c>
      <c r="P123" s="29">
        <f t="shared" ca="1" si="8"/>
        <v>0</v>
      </c>
      <c r="Q123" s="12">
        <f t="shared" ca="1" si="9"/>
        <v>-91600</v>
      </c>
      <c r="R123" s="10">
        <f t="shared" ca="1" si="10"/>
        <v>0</v>
      </c>
      <c r="U123" s="12">
        <f t="shared" ca="1" si="11"/>
        <v>0</v>
      </c>
      <c r="V123" s="14">
        <f t="shared" ca="1" si="12"/>
        <v>0</v>
      </c>
      <c r="X123" s="7">
        <f ca="1">AVERAGE(E123:OFFSET(F123,-$X$5+1,0))</f>
        <v>9312.7000000000007</v>
      </c>
      <c r="Y123" s="7">
        <f ca="1">AVERAGE(E123:OFFSET(F123,-$Y$5+1,0))</f>
        <v>9242.1</v>
      </c>
      <c r="Z123" s="7">
        <f t="shared" ca="1" si="4"/>
        <v>0</v>
      </c>
      <c r="AA123" s="28"/>
      <c r="AB123" s="28"/>
      <c r="AC123" s="28"/>
      <c r="AD123" s="28"/>
    </row>
    <row r="124" spans="1:30">
      <c r="A124" s="3" t="s">
        <v>29</v>
      </c>
      <c r="B124" s="4">
        <v>41824</v>
      </c>
      <c r="C124" s="3">
        <v>9488</v>
      </c>
      <c r="D124" s="3">
        <v>9494</v>
      </c>
      <c r="E124" s="3">
        <v>9411</v>
      </c>
      <c r="F124" s="3">
        <v>9453</v>
      </c>
      <c r="G124" s="3">
        <v>105559</v>
      </c>
      <c r="H124" s="3">
        <v>1.355</v>
      </c>
      <c r="I124" s="2">
        <f t="shared" si="13"/>
        <v>0</v>
      </c>
      <c r="J124" s="10">
        <f t="shared" si="15"/>
        <v>33</v>
      </c>
      <c r="K124" s="10">
        <f t="shared" si="14"/>
        <v>-35</v>
      </c>
      <c r="L124" s="10">
        <f t="shared" ca="1" si="16"/>
        <v>0</v>
      </c>
      <c r="M124" s="10">
        <f t="shared" ca="1" si="5"/>
        <v>0</v>
      </c>
      <c r="N124" s="30">
        <f t="shared" ca="1" si="6"/>
        <v>0</v>
      </c>
      <c r="O124" s="10">
        <f t="shared" ca="1" si="7"/>
        <v>0</v>
      </c>
      <c r="P124" s="29">
        <f t="shared" ca="1" si="8"/>
        <v>0</v>
      </c>
      <c r="Q124" s="12">
        <f t="shared" ca="1" si="9"/>
        <v>-91600</v>
      </c>
      <c r="R124" s="10">
        <f t="shared" ca="1" si="10"/>
        <v>0</v>
      </c>
      <c r="U124" s="12">
        <f t="shared" ca="1" si="11"/>
        <v>0</v>
      </c>
      <c r="V124" s="14">
        <f t="shared" ca="1" si="12"/>
        <v>0</v>
      </c>
      <c r="X124" s="7">
        <f ca="1">AVERAGE(E124:OFFSET(F124,-$X$5+1,0))</f>
        <v>9357.9</v>
      </c>
      <c r="Y124" s="7">
        <f ca="1">AVERAGE(E124:OFFSET(F124,-$Y$5+1,0))</f>
        <v>9267.4</v>
      </c>
      <c r="Z124" s="7">
        <f t="shared" ca="1" si="4"/>
        <v>0</v>
      </c>
      <c r="AA124" s="28"/>
      <c r="AB124" s="28"/>
      <c r="AC124" s="28"/>
      <c r="AD124" s="28"/>
    </row>
    <row r="125" spans="1:30">
      <c r="A125" s="3" t="s">
        <v>29</v>
      </c>
      <c r="B125" s="4">
        <v>41827</v>
      </c>
      <c r="C125" s="3">
        <v>9452</v>
      </c>
      <c r="D125" s="3">
        <v>9453</v>
      </c>
      <c r="E125" s="3">
        <v>9398</v>
      </c>
      <c r="F125" s="3">
        <v>9451</v>
      </c>
      <c r="G125" s="3">
        <v>86345</v>
      </c>
      <c r="H125" s="3">
        <v>1.355</v>
      </c>
      <c r="I125" s="2">
        <f t="shared" si="13"/>
        <v>0</v>
      </c>
      <c r="J125" s="10">
        <f t="shared" si="15"/>
        <v>-1</v>
      </c>
      <c r="K125" s="10">
        <f t="shared" si="14"/>
        <v>-1</v>
      </c>
      <c r="L125" s="10">
        <f t="shared" ref="L125:L188" ca="1" si="17">Z125</f>
        <v>0</v>
      </c>
      <c r="M125" s="10">
        <f t="shared" ca="1" si="5"/>
        <v>0</v>
      </c>
      <c r="N125" s="30">
        <f t="shared" ca="1" si="6"/>
        <v>0</v>
      </c>
      <c r="O125" s="10">
        <f t="shared" ca="1" si="7"/>
        <v>0</v>
      </c>
      <c r="P125" s="29">
        <f t="shared" ca="1" si="8"/>
        <v>0</v>
      </c>
      <c r="Q125" s="12">
        <f t="shared" ca="1" si="9"/>
        <v>-91600</v>
      </c>
      <c r="R125" s="10">
        <f t="shared" ca="1" si="10"/>
        <v>0</v>
      </c>
      <c r="U125" s="12">
        <f t="shared" ca="1" si="11"/>
        <v>0</v>
      </c>
      <c r="V125" s="14">
        <f t="shared" ca="1" si="12"/>
        <v>0</v>
      </c>
      <c r="X125" s="7">
        <f ca="1">AVERAGE(E125:OFFSET(F125,-$X$5+1,0))</f>
        <v>9392</v>
      </c>
      <c r="Y125" s="7">
        <f ca="1">AVERAGE(E125:OFFSET(F125,-$Y$5+1,0))</f>
        <v>9294</v>
      </c>
      <c r="Z125" s="7">
        <f t="shared" ref="Z125:Z188" ca="1" si="18">IF(AND(X124&lt;=Y124,X125&gt;Y125),1,IF(AND(X124&gt;Y124,X125&lt;=Y125),-1,0))</f>
        <v>0</v>
      </c>
      <c r="AA125" s="28"/>
      <c r="AB125" s="28"/>
      <c r="AC125" s="28"/>
      <c r="AD125" s="28"/>
    </row>
    <row r="126" spans="1:30">
      <c r="A126" s="3" t="s">
        <v>29</v>
      </c>
      <c r="B126" s="4">
        <v>41828</v>
      </c>
      <c r="C126" s="3">
        <v>9452</v>
      </c>
      <c r="D126" s="3">
        <v>9492</v>
      </c>
      <c r="E126" s="3">
        <v>9440</v>
      </c>
      <c r="F126" s="3">
        <v>9477</v>
      </c>
      <c r="G126" s="3">
        <v>82334</v>
      </c>
      <c r="H126" s="3">
        <v>1.355</v>
      </c>
      <c r="I126" s="2">
        <f t="shared" si="13"/>
        <v>0</v>
      </c>
      <c r="J126" s="10">
        <f t="shared" si="15"/>
        <v>1</v>
      </c>
      <c r="K126" s="10">
        <f t="shared" si="14"/>
        <v>25</v>
      </c>
      <c r="L126" s="10">
        <f t="shared" ca="1" si="17"/>
        <v>0</v>
      </c>
      <c r="M126" s="10">
        <f t="shared" ref="M126:M189" ca="1" si="19">IF(I126=1,0,IF(M125+L125&gt;=$M$5,$M$5,IF(M125+L125&lt;=$M$7,$M$7,M125+L125)))</f>
        <v>0</v>
      </c>
      <c r="N126" s="30">
        <f t="shared" ref="N126:N189" ca="1" si="20">IF(M126=0,0,IF(M126&gt;M125,(C126+N125*M125)*$S$5,0))</f>
        <v>0</v>
      </c>
      <c r="O126" s="10">
        <f t="shared" ref="O126:O189" ca="1" si="21">IF(M126=0,0,IF(M126=M125,O125,((M126-M125)*C126+N125*M125)*$S$5/M126))</f>
        <v>0</v>
      </c>
      <c r="P126" s="29">
        <f t="shared" ref="P126:P189" ca="1" si="22">IF(M125=M126,(M125*J126+M126*K126)*$S$5,(M125*J126+M126*K126)*$S$5-$S$6)</f>
        <v>0</v>
      </c>
      <c r="Q126" s="12">
        <f t="shared" ref="Q126:Q189" ca="1" si="23">P126+Q125</f>
        <v>-91600</v>
      </c>
      <c r="R126" s="10">
        <f t="shared" ref="R126:R189" ca="1" si="24">IF(P126=0,0,IF(O126=0,100*P126/O125,100*P126/O126))</f>
        <v>0</v>
      </c>
      <c r="U126" s="12">
        <f t="shared" ref="U126:U189" ca="1" si="25">IF(Q126&gt;U125,Q126,U125)</f>
        <v>0</v>
      </c>
      <c r="V126" s="14">
        <f t="shared" ref="V126:V189" ca="1" si="26">IF(U126=0,0,100*(Q126-U126)/U126)</f>
        <v>0</v>
      </c>
      <c r="X126" s="7">
        <f ca="1">AVERAGE(E126:OFFSET(F126,-$X$5+1,0))</f>
        <v>9416.4</v>
      </c>
      <c r="Y126" s="7">
        <f ca="1">AVERAGE(E126:OFFSET(F126,-$Y$5+1,0))</f>
        <v>9323</v>
      </c>
      <c r="Z126" s="7">
        <f t="shared" ca="1" si="18"/>
        <v>0</v>
      </c>
      <c r="AA126" s="28"/>
      <c r="AB126" s="28"/>
      <c r="AC126" s="28"/>
      <c r="AD126" s="28"/>
    </row>
    <row r="127" spans="1:30">
      <c r="A127" s="3" t="s">
        <v>29</v>
      </c>
      <c r="B127" s="4">
        <v>41829</v>
      </c>
      <c r="C127" s="3">
        <v>9450</v>
      </c>
      <c r="D127" s="3">
        <v>9477</v>
      </c>
      <c r="E127" s="3">
        <v>9436</v>
      </c>
      <c r="F127" s="3">
        <v>9465</v>
      </c>
      <c r="G127" s="3">
        <v>77026</v>
      </c>
      <c r="H127" s="3">
        <v>1.355</v>
      </c>
      <c r="I127" s="2">
        <f t="shared" si="13"/>
        <v>0</v>
      </c>
      <c r="J127" s="10">
        <f t="shared" si="15"/>
        <v>-27</v>
      </c>
      <c r="K127" s="10">
        <f t="shared" si="14"/>
        <v>15</v>
      </c>
      <c r="L127" s="10">
        <f t="shared" ca="1" si="17"/>
        <v>0</v>
      </c>
      <c r="M127" s="10">
        <f t="shared" ca="1" si="19"/>
        <v>0</v>
      </c>
      <c r="N127" s="30">
        <f t="shared" ca="1" si="20"/>
        <v>0</v>
      </c>
      <c r="O127" s="10">
        <f t="shared" ca="1" si="21"/>
        <v>0</v>
      </c>
      <c r="P127" s="29">
        <f t="shared" ca="1" si="22"/>
        <v>0</v>
      </c>
      <c r="Q127" s="12">
        <f t="shared" ca="1" si="23"/>
        <v>-91600</v>
      </c>
      <c r="R127" s="10">
        <f t="shared" ca="1" si="24"/>
        <v>0</v>
      </c>
      <c r="U127" s="12">
        <f t="shared" ca="1" si="25"/>
        <v>0</v>
      </c>
      <c r="V127" s="14">
        <f t="shared" ca="1" si="26"/>
        <v>0</v>
      </c>
      <c r="X127" s="7">
        <f ca="1">AVERAGE(E127:OFFSET(F127,-$X$5+1,0))</f>
        <v>9435.2999999999993</v>
      </c>
      <c r="Y127" s="7">
        <f ca="1">AVERAGE(E127:OFFSET(F127,-$Y$5+1,0))</f>
        <v>9353.35</v>
      </c>
      <c r="Z127" s="7">
        <f t="shared" ca="1" si="18"/>
        <v>0</v>
      </c>
      <c r="AA127" s="28"/>
      <c r="AB127" s="28"/>
      <c r="AC127" s="28"/>
      <c r="AD127" s="28"/>
    </row>
    <row r="128" spans="1:30">
      <c r="A128" s="3" t="s">
        <v>29</v>
      </c>
      <c r="B128" s="4">
        <v>41830</v>
      </c>
      <c r="C128" s="3">
        <v>9466</v>
      </c>
      <c r="D128" s="3">
        <v>9556</v>
      </c>
      <c r="E128" s="3">
        <v>9462</v>
      </c>
      <c r="F128" s="3">
        <v>9553</v>
      </c>
      <c r="G128" s="3">
        <v>100623</v>
      </c>
      <c r="H128" s="3">
        <v>1.355</v>
      </c>
      <c r="I128" s="2">
        <f t="shared" si="13"/>
        <v>0</v>
      </c>
      <c r="J128" s="10">
        <f t="shared" si="15"/>
        <v>1</v>
      </c>
      <c r="K128" s="10">
        <f t="shared" si="14"/>
        <v>87</v>
      </c>
      <c r="L128" s="10">
        <f t="shared" ca="1" si="17"/>
        <v>0</v>
      </c>
      <c r="M128" s="10">
        <f t="shared" ca="1" si="19"/>
        <v>0</v>
      </c>
      <c r="N128" s="30">
        <f t="shared" ca="1" si="20"/>
        <v>0</v>
      </c>
      <c r="O128" s="10">
        <f t="shared" ca="1" si="21"/>
        <v>0</v>
      </c>
      <c r="P128" s="29">
        <f t="shared" ca="1" si="22"/>
        <v>0</v>
      </c>
      <c r="Q128" s="12">
        <f t="shared" ca="1" si="23"/>
        <v>-91600</v>
      </c>
      <c r="R128" s="10">
        <f t="shared" ca="1" si="24"/>
        <v>0</v>
      </c>
      <c r="U128" s="12">
        <f t="shared" ca="1" si="25"/>
        <v>0</v>
      </c>
      <c r="V128" s="14">
        <f t="shared" ca="1" si="26"/>
        <v>0</v>
      </c>
      <c r="X128" s="7">
        <f ca="1">AVERAGE(E128:OFFSET(F128,-$X$5+1,0))</f>
        <v>9454.6</v>
      </c>
      <c r="Y128" s="7">
        <f ca="1">AVERAGE(E128:OFFSET(F128,-$Y$5+1,0))</f>
        <v>9383.65</v>
      </c>
      <c r="Z128" s="7">
        <f t="shared" ca="1" si="18"/>
        <v>0</v>
      </c>
      <c r="AA128" s="28"/>
      <c r="AB128" s="28"/>
      <c r="AC128" s="28"/>
      <c r="AD128" s="28"/>
    </row>
    <row r="129" spans="1:30">
      <c r="A129" s="3" t="s">
        <v>29</v>
      </c>
      <c r="B129" s="4">
        <v>41831</v>
      </c>
      <c r="C129" s="3">
        <v>9540</v>
      </c>
      <c r="D129" s="3">
        <v>9566</v>
      </c>
      <c r="E129" s="3">
        <v>9450</v>
      </c>
      <c r="F129" s="3">
        <v>9487</v>
      </c>
      <c r="G129" s="3">
        <v>157882</v>
      </c>
      <c r="H129" s="3">
        <v>1.355</v>
      </c>
      <c r="I129" s="2">
        <f t="shared" si="13"/>
        <v>0</v>
      </c>
      <c r="J129" s="10">
        <f t="shared" si="15"/>
        <v>-13</v>
      </c>
      <c r="K129" s="10">
        <f t="shared" si="14"/>
        <v>-53</v>
      </c>
      <c r="L129" s="10">
        <f t="shared" ca="1" si="17"/>
        <v>0</v>
      </c>
      <c r="M129" s="10">
        <f t="shared" ca="1" si="19"/>
        <v>0</v>
      </c>
      <c r="N129" s="30">
        <f t="shared" ca="1" si="20"/>
        <v>0</v>
      </c>
      <c r="O129" s="10">
        <f t="shared" ca="1" si="21"/>
        <v>0</v>
      </c>
      <c r="P129" s="29">
        <f t="shared" ca="1" si="22"/>
        <v>0</v>
      </c>
      <c r="Q129" s="12">
        <f t="shared" ca="1" si="23"/>
        <v>-91600</v>
      </c>
      <c r="R129" s="10">
        <f t="shared" ca="1" si="24"/>
        <v>0</v>
      </c>
      <c r="U129" s="12">
        <f t="shared" ca="1" si="25"/>
        <v>0</v>
      </c>
      <c r="V129" s="14">
        <f t="shared" ca="1" si="26"/>
        <v>0</v>
      </c>
      <c r="X129" s="7">
        <f ca="1">AVERAGE(E129:OFFSET(F129,-$X$5+1,0))</f>
        <v>9461.9</v>
      </c>
      <c r="Y129" s="7">
        <f ca="1">AVERAGE(E129:OFFSET(F129,-$Y$5+1,0))</f>
        <v>9409.9</v>
      </c>
      <c r="Z129" s="7">
        <f t="shared" ca="1" si="18"/>
        <v>0</v>
      </c>
      <c r="AA129" s="28"/>
      <c r="AB129" s="28"/>
      <c r="AC129" s="28"/>
      <c r="AD129" s="28"/>
    </row>
    <row r="130" spans="1:30">
      <c r="A130" s="3" t="s">
        <v>29</v>
      </c>
      <c r="B130" s="4">
        <v>41834</v>
      </c>
      <c r="C130" s="3">
        <v>9479</v>
      </c>
      <c r="D130" s="3">
        <v>9529</v>
      </c>
      <c r="E130" s="3">
        <v>9478</v>
      </c>
      <c r="F130" s="3">
        <v>9525</v>
      </c>
      <c r="G130" s="3">
        <v>85979</v>
      </c>
      <c r="H130" s="3">
        <v>1.355</v>
      </c>
      <c r="I130" s="2">
        <f t="shared" si="13"/>
        <v>0</v>
      </c>
      <c r="J130" s="10">
        <f t="shared" si="15"/>
        <v>-8</v>
      </c>
      <c r="K130" s="10">
        <f t="shared" si="14"/>
        <v>46</v>
      </c>
      <c r="L130" s="10">
        <f t="shared" ca="1" si="17"/>
        <v>0</v>
      </c>
      <c r="M130" s="10">
        <f t="shared" ca="1" si="19"/>
        <v>0</v>
      </c>
      <c r="N130" s="30">
        <f t="shared" ca="1" si="20"/>
        <v>0</v>
      </c>
      <c r="O130" s="10">
        <f t="shared" ca="1" si="21"/>
        <v>0</v>
      </c>
      <c r="P130" s="29">
        <f t="shared" ca="1" si="22"/>
        <v>0</v>
      </c>
      <c r="Q130" s="12">
        <f t="shared" ca="1" si="23"/>
        <v>-91600</v>
      </c>
      <c r="R130" s="10">
        <f t="shared" ca="1" si="24"/>
        <v>0</v>
      </c>
      <c r="U130" s="12">
        <f t="shared" ca="1" si="25"/>
        <v>0</v>
      </c>
      <c r="V130" s="14">
        <f t="shared" ca="1" si="26"/>
        <v>0</v>
      </c>
      <c r="X130" s="7">
        <f ca="1">AVERAGE(E130:OFFSET(F130,-$X$5+1,0))</f>
        <v>9477.2999999999993</v>
      </c>
      <c r="Y130" s="7">
        <f ca="1">AVERAGE(E130:OFFSET(F130,-$Y$5+1,0))</f>
        <v>9434.65</v>
      </c>
      <c r="Z130" s="7">
        <f t="shared" ca="1" si="18"/>
        <v>0</v>
      </c>
      <c r="AA130" s="28"/>
      <c r="AB130" s="28"/>
      <c r="AC130" s="28"/>
      <c r="AD130" s="28"/>
    </row>
    <row r="131" spans="1:30">
      <c r="A131" s="3" t="s">
        <v>29</v>
      </c>
      <c r="B131" s="4">
        <v>41835</v>
      </c>
      <c r="C131" s="3">
        <v>9575</v>
      </c>
      <c r="D131" s="3">
        <v>9581</v>
      </c>
      <c r="E131" s="3">
        <v>9534</v>
      </c>
      <c r="F131" s="3">
        <v>9561</v>
      </c>
      <c r="G131" s="3">
        <v>92920</v>
      </c>
      <c r="H131" s="3">
        <v>1.355</v>
      </c>
      <c r="I131" s="2">
        <f t="shared" si="13"/>
        <v>0</v>
      </c>
      <c r="J131" s="10">
        <f t="shared" si="15"/>
        <v>50</v>
      </c>
      <c r="K131" s="10">
        <f t="shared" si="14"/>
        <v>-14</v>
      </c>
      <c r="L131" s="10">
        <f t="shared" ca="1" si="17"/>
        <v>0</v>
      </c>
      <c r="M131" s="10">
        <f t="shared" ca="1" si="19"/>
        <v>0</v>
      </c>
      <c r="N131" s="30">
        <f t="shared" ca="1" si="20"/>
        <v>0</v>
      </c>
      <c r="O131" s="10">
        <f t="shared" ca="1" si="21"/>
        <v>0</v>
      </c>
      <c r="P131" s="29">
        <f t="shared" ca="1" si="22"/>
        <v>0</v>
      </c>
      <c r="Q131" s="12">
        <f t="shared" ca="1" si="23"/>
        <v>-91600</v>
      </c>
      <c r="R131" s="10">
        <f t="shared" ca="1" si="24"/>
        <v>0</v>
      </c>
      <c r="U131" s="12">
        <f t="shared" ca="1" si="25"/>
        <v>0</v>
      </c>
      <c r="V131" s="14">
        <f t="shared" ca="1" si="26"/>
        <v>0</v>
      </c>
      <c r="X131" s="7">
        <f ca="1">AVERAGE(E131:OFFSET(F131,-$X$5+1,0))</f>
        <v>9495.1</v>
      </c>
      <c r="Y131" s="7">
        <f ca="1">AVERAGE(E131:OFFSET(F131,-$Y$5+1,0))</f>
        <v>9455.75</v>
      </c>
      <c r="Z131" s="7">
        <f t="shared" ca="1" si="18"/>
        <v>0</v>
      </c>
      <c r="AA131" s="28"/>
      <c r="AB131" s="28"/>
      <c r="AC131" s="28"/>
      <c r="AD131" s="28"/>
    </row>
    <row r="132" spans="1:30">
      <c r="A132" s="3" t="s">
        <v>29</v>
      </c>
      <c r="B132" s="4">
        <v>41836</v>
      </c>
      <c r="C132" s="3">
        <v>9547</v>
      </c>
      <c r="D132" s="3">
        <v>9564</v>
      </c>
      <c r="E132" s="3">
        <v>9475</v>
      </c>
      <c r="F132" s="3">
        <v>9483</v>
      </c>
      <c r="G132" s="3">
        <v>67424</v>
      </c>
      <c r="H132" s="3">
        <v>1.355</v>
      </c>
      <c r="I132" s="2">
        <f t="shared" ref="I132:I195" si="27">IF(A132=A133,0,1)</f>
        <v>1</v>
      </c>
      <c r="J132" s="10">
        <f t="shared" si="15"/>
        <v>-14</v>
      </c>
      <c r="K132" s="10">
        <f t="shared" ref="K132:K195" si="28">F132-C132</f>
        <v>-64</v>
      </c>
      <c r="L132" s="10">
        <f t="shared" ca="1" si="17"/>
        <v>0</v>
      </c>
      <c r="M132" s="10">
        <f t="shared" si="19"/>
        <v>0</v>
      </c>
      <c r="N132" s="30">
        <f t="shared" si="20"/>
        <v>0</v>
      </c>
      <c r="O132" s="10">
        <f t="shared" si="21"/>
        <v>0</v>
      </c>
      <c r="P132" s="29">
        <f t="shared" ca="1" si="22"/>
        <v>0</v>
      </c>
      <c r="Q132" s="12">
        <f t="shared" ca="1" si="23"/>
        <v>-91600</v>
      </c>
      <c r="R132" s="10">
        <f t="shared" ca="1" si="24"/>
        <v>0</v>
      </c>
      <c r="U132" s="12">
        <f t="shared" ca="1" si="25"/>
        <v>0</v>
      </c>
      <c r="V132" s="14">
        <f t="shared" ca="1" si="26"/>
        <v>0</v>
      </c>
      <c r="X132" s="7">
        <f ca="1">AVERAGE(E132:OFFSET(F132,-$X$5+1,0))</f>
        <v>9500.7999999999993</v>
      </c>
      <c r="Y132" s="7">
        <f ca="1">AVERAGE(E132:OFFSET(F132,-$Y$5+1,0))</f>
        <v>9468.0499999999993</v>
      </c>
      <c r="Z132" s="7">
        <f t="shared" ca="1" si="18"/>
        <v>0</v>
      </c>
      <c r="AA132" s="28"/>
      <c r="AB132" s="28"/>
      <c r="AC132" s="28"/>
      <c r="AD132" s="28"/>
    </row>
    <row r="133" spans="1:30">
      <c r="A133" s="3" t="s">
        <v>30</v>
      </c>
      <c r="B133" s="4">
        <v>41837</v>
      </c>
      <c r="C133" s="3">
        <v>9392</v>
      </c>
      <c r="D133" s="3">
        <v>9402</v>
      </c>
      <c r="E133" s="3">
        <v>9326</v>
      </c>
      <c r="F133" s="3">
        <v>9356</v>
      </c>
      <c r="G133" s="3">
        <v>123718</v>
      </c>
      <c r="H133" s="3">
        <v>1.355</v>
      </c>
      <c r="I133" s="2">
        <f t="shared" si="27"/>
        <v>0</v>
      </c>
      <c r="J133" s="10">
        <f t="shared" ref="J133:J196" si="29">C133-F132</f>
        <v>-91</v>
      </c>
      <c r="K133" s="10">
        <f t="shared" si="28"/>
        <v>-36</v>
      </c>
      <c r="L133" s="10">
        <f t="shared" ca="1" si="17"/>
        <v>0</v>
      </c>
      <c r="M133" s="10">
        <f t="shared" ca="1" si="19"/>
        <v>0</v>
      </c>
      <c r="N133" s="30">
        <f t="shared" ca="1" si="20"/>
        <v>0</v>
      </c>
      <c r="O133" s="10">
        <f t="shared" ca="1" si="21"/>
        <v>0</v>
      </c>
      <c r="P133" s="29">
        <f t="shared" ca="1" si="22"/>
        <v>0</v>
      </c>
      <c r="Q133" s="12">
        <f t="shared" ca="1" si="23"/>
        <v>-91600</v>
      </c>
      <c r="R133" s="10">
        <f t="shared" ca="1" si="24"/>
        <v>0</v>
      </c>
      <c r="U133" s="12">
        <f t="shared" ca="1" si="25"/>
        <v>0</v>
      </c>
      <c r="V133" s="14">
        <f t="shared" ca="1" si="26"/>
        <v>0</v>
      </c>
      <c r="X133" s="7">
        <f ca="1">AVERAGE(E133:OFFSET(F133,-$X$5+1,0))</f>
        <v>9467.5</v>
      </c>
      <c r="Y133" s="7">
        <f ca="1">AVERAGE(E133:OFFSET(F133,-$Y$5+1,0))</f>
        <v>9461.0499999999993</v>
      </c>
      <c r="Z133" s="7">
        <f t="shared" ca="1" si="18"/>
        <v>0</v>
      </c>
      <c r="AA133" s="28"/>
      <c r="AB133" s="28"/>
      <c r="AC133" s="28"/>
      <c r="AD133" s="28"/>
    </row>
    <row r="134" spans="1:30">
      <c r="A134" s="3" t="s">
        <v>30</v>
      </c>
      <c r="B134" s="4">
        <v>41838</v>
      </c>
      <c r="C134" s="3">
        <v>9285</v>
      </c>
      <c r="D134" s="3">
        <v>9372</v>
      </c>
      <c r="E134" s="3">
        <v>9281</v>
      </c>
      <c r="F134" s="3">
        <v>9339</v>
      </c>
      <c r="G134" s="3">
        <v>107971</v>
      </c>
      <c r="H134" s="3">
        <v>1.355</v>
      </c>
      <c r="I134" s="2">
        <f t="shared" si="27"/>
        <v>0</v>
      </c>
      <c r="J134" s="10">
        <f t="shared" si="29"/>
        <v>-71</v>
      </c>
      <c r="K134" s="10">
        <f t="shared" si="28"/>
        <v>54</v>
      </c>
      <c r="L134" s="10">
        <f t="shared" ca="1" si="17"/>
        <v>-1</v>
      </c>
      <c r="M134" s="10">
        <f t="shared" ca="1" si="19"/>
        <v>0</v>
      </c>
      <c r="N134" s="30">
        <f t="shared" ca="1" si="20"/>
        <v>0</v>
      </c>
      <c r="O134" s="10">
        <f t="shared" ca="1" si="21"/>
        <v>0</v>
      </c>
      <c r="P134" s="29">
        <f t="shared" ca="1" si="22"/>
        <v>0</v>
      </c>
      <c r="Q134" s="12">
        <f t="shared" ca="1" si="23"/>
        <v>-91600</v>
      </c>
      <c r="R134" s="10">
        <f t="shared" ca="1" si="24"/>
        <v>0</v>
      </c>
      <c r="U134" s="12">
        <f t="shared" ca="1" si="25"/>
        <v>0</v>
      </c>
      <c r="V134" s="14">
        <f t="shared" ca="1" si="26"/>
        <v>0</v>
      </c>
      <c r="X134" s="7">
        <f ca="1">AVERAGE(E134:OFFSET(F134,-$X$5+1,0))</f>
        <v>9435.7999999999993</v>
      </c>
      <c r="Y134" s="7">
        <f ca="1">AVERAGE(E134:OFFSET(F134,-$Y$5+1,0))</f>
        <v>9448.85</v>
      </c>
      <c r="Z134" s="7">
        <f t="shared" ca="1" si="18"/>
        <v>-1</v>
      </c>
      <c r="AA134" s="28"/>
      <c r="AB134" s="28"/>
      <c r="AC134" s="28"/>
      <c r="AD134" s="28"/>
    </row>
    <row r="135" spans="1:30">
      <c r="A135" s="3" t="s">
        <v>30</v>
      </c>
      <c r="B135" s="4">
        <v>41841</v>
      </c>
      <c r="C135" s="3">
        <v>9380</v>
      </c>
      <c r="D135" s="3">
        <v>9406</v>
      </c>
      <c r="E135" s="3">
        <v>9356</v>
      </c>
      <c r="F135" s="3">
        <v>9364</v>
      </c>
      <c r="G135" s="3">
        <v>78887</v>
      </c>
      <c r="H135" s="3">
        <v>1.355</v>
      </c>
      <c r="I135" s="2">
        <f t="shared" si="27"/>
        <v>0</v>
      </c>
      <c r="J135" s="10">
        <f t="shared" si="29"/>
        <v>41</v>
      </c>
      <c r="K135" s="10">
        <f t="shared" si="28"/>
        <v>-16</v>
      </c>
      <c r="L135" s="10">
        <f t="shared" ca="1" si="17"/>
        <v>0</v>
      </c>
      <c r="M135" s="10">
        <f t="shared" ca="1" si="19"/>
        <v>-1</v>
      </c>
      <c r="N135" s="30">
        <f t="shared" ca="1" si="20"/>
        <v>0</v>
      </c>
      <c r="O135" s="10">
        <f t="shared" ca="1" si="21"/>
        <v>1876000</v>
      </c>
      <c r="P135" s="29">
        <f t="shared" ca="1" si="22"/>
        <v>2700</v>
      </c>
      <c r="Q135" s="12">
        <f t="shared" ca="1" si="23"/>
        <v>-88900</v>
      </c>
      <c r="R135" s="10">
        <f t="shared" ca="1" si="24"/>
        <v>0.1439232409381663</v>
      </c>
      <c r="U135" s="12">
        <f t="shared" ca="1" si="25"/>
        <v>0</v>
      </c>
      <c r="V135" s="14">
        <f t="shared" ca="1" si="26"/>
        <v>0</v>
      </c>
      <c r="X135" s="7">
        <f ca="1">AVERAGE(E135:OFFSET(F135,-$X$5+1,0))</f>
        <v>9407.5</v>
      </c>
      <c r="Y135" s="7">
        <f ca="1">AVERAGE(E135:OFFSET(F135,-$Y$5+1,0))</f>
        <v>9442.4</v>
      </c>
      <c r="Z135" s="7">
        <f t="shared" ca="1" si="18"/>
        <v>0</v>
      </c>
      <c r="AA135" s="28"/>
      <c r="AB135" s="28"/>
      <c r="AC135" s="28"/>
      <c r="AD135" s="28"/>
    </row>
    <row r="136" spans="1:30">
      <c r="A136" s="3" t="s">
        <v>30</v>
      </c>
      <c r="B136" s="4">
        <v>41842</v>
      </c>
      <c r="C136" s="3">
        <v>9384</v>
      </c>
      <c r="D136" s="3">
        <v>9434</v>
      </c>
      <c r="E136" s="3">
        <v>9352</v>
      </c>
      <c r="F136" s="3">
        <v>9433</v>
      </c>
      <c r="G136" s="3">
        <v>100000</v>
      </c>
      <c r="H136" s="3">
        <v>1.355</v>
      </c>
      <c r="I136" s="2">
        <f t="shared" si="27"/>
        <v>0</v>
      </c>
      <c r="J136" s="10">
        <f t="shared" si="29"/>
        <v>20</v>
      </c>
      <c r="K136" s="10">
        <f t="shared" si="28"/>
        <v>49</v>
      </c>
      <c r="L136" s="10">
        <f t="shared" ca="1" si="17"/>
        <v>0</v>
      </c>
      <c r="M136" s="10">
        <f t="shared" ca="1" si="19"/>
        <v>-1</v>
      </c>
      <c r="N136" s="30">
        <f t="shared" ca="1" si="20"/>
        <v>0</v>
      </c>
      <c r="O136" s="10">
        <f t="shared" ca="1" si="21"/>
        <v>1876000</v>
      </c>
      <c r="P136" s="29">
        <f t="shared" ca="1" si="22"/>
        <v>-13800</v>
      </c>
      <c r="Q136" s="12">
        <f t="shared" ca="1" si="23"/>
        <v>-102700</v>
      </c>
      <c r="R136" s="10">
        <f t="shared" ca="1" si="24"/>
        <v>-0.73560767590618337</v>
      </c>
      <c r="U136" s="12">
        <f t="shared" ca="1" si="25"/>
        <v>0</v>
      </c>
      <c r="V136" s="14">
        <f t="shared" ca="1" si="26"/>
        <v>0</v>
      </c>
      <c r="X136" s="7">
        <f ca="1">AVERAGE(E136:OFFSET(F136,-$X$5+1,0))</f>
        <v>9376.5</v>
      </c>
      <c r="Y136" s="7">
        <f ca="1">AVERAGE(E136:OFFSET(F136,-$Y$5+1,0))</f>
        <v>9435.7999999999993</v>
      </c>
      <c r="Z136" s="7">
        <f t="shared" ca="1" si="18"/>
        <v>0</v>
      </c>
      <c r="AA136" s="28"/>
      <c r="AB136" s="28"/>
      <c r="AC136" s="28"/>
      <c r="AD136" s="28"/>
    </row>
    <row r="137" spans="1:30">
      <c r="A137" s="3" t="s">
        <v>30</v>
      </c>
      <c r="B137" s="4">
        <v>41844</v>
      </c>
      <c r="C137" s="3">
        <v>9456</v>
      </c>
      <c r="D137" s="3">
        <v>9470</v>
      </c>
      <c r="E137" s="3">
        <v>9432</v>
      </c>
      <c r="F137" s="3">
        <v>9469</v>
      </c>
      <c r="G137" s="3">
        <v>86204</v>
      </c>
      <c r="H137" s="3">
        <v>1.355</v>
      </c>
      <c r="I137" s="2">
        <f t="shared" si="27"/>
        <v>0</v>
      </c>
      <c r="J137" s="10">
        <f t="shared" si="29"/>
        <v>23</v>
      </c>
      <c r="K137" s="10">
        <f t="shared" si="28"/>
        <v>13</v>
      </c>
      <c r="L137" s="10">
        <f t="shared" ca="1" si="17"/>
        <v>0</v>
      </c>
      <c r="M137" s="10">
        <f t="shared" ca="1" si="19"/>
        <v>-1</v>
      </c>
      <c r="N137" s="30">
        <f t="shared" ca="1" si="20"/>
        <v>0</v>
      </c>
      <c r="O137" s="10">
        <f t="shared" ca="1" si="21"/>
        <v>1876000</v>
      </c>
      <c r="P137" s="29">
        <f t="shared" ca="1" si="22"/>
        <v>-7200</v>
      </c>
      <c r="Q137" s="12">
        <f t="shared" ca="1" si="23"/>
        <v>-109900</v>
      </c>
      <c r="R137" s="10">
        <f t="shared" ca="1" si="24"/>
        <v>-0.38379530916844351</v>
      </c>
      <c r="U137" s="12">
        <f t="shared" ca="1" si="25"/>
        <v>0</v>
      </c>
      <c r="V137" s="14">
        <f t="shared" ca="1" si="26"/>
        <v>0</v>
      </c>
      <c r="X137" s="7">
        <f ca="1">AVERAGE(E137:OFFSET(F137,-$X$5+1,0))</f>
        <v>9370.7999999999993</v>
      </c>
      <c r="Y137" s="7">
        <f ca="1">AVERAGE(E137:OFFSET(F137,-$Y$5+1,0))</f>
        <v>9435.7999999999993</v>
      </c>
      <c r="Z137" s="7">
        <f t="shared" ca="1" si="18"/>
        <v>0</v>
      </c>
      <c r="AA137" s="28"/>
      <c r="AB137" s="28"/>
      <c r="AC137" s="28"/>
      <c r="AD137" s="28"/>
    </row>
    <row r="138" spans="1:30">
      <c r="A138" s="3" t="s">
        <v>30</v>
      </c>
      <c r="B138" s="4">
        <v>41845</v>
      </c>
      <c r="C138" s="3">
        <v>9460</v>
      </c>
      <c r="D138" s="3">
        <v>9465</v>
      </c>
      <c r="E138" s="3">
        <v>9357</v>
      </c>
      <c r="F138" s="3">
        <v>9390</v>
      </c>
      <c r="G138" s="3">
        <v>118354</v>
      </c>
      <c r="H138" s="3">
        <v>1.355</v>
      </c>
      <c r="I138" s="2">
        <f t="shared" si="27"/>
        <v>0</v>
      </c>
      <c r="J138" s="10">
        <f t="shared" si="29"/>
        <v>-9</v>
      </c>
      <c r="K138" s="10">
        <f t="shared" si="28"/>
        <v>-70</v>
      </c>
      <c r="L138" s="10">
        <f t="shared" ca="1" si="17"/>
        <v>0</v>
      </c>
      <c r="M138" s="10">
        <f t="shared" ca="1" si="19"/>
        <v>-1</v>
      </c>
      <c r="N138" s="30">
        <f t="shared" ca="1" si="20"/>
        <v>0</v>
      </c>
      <c r="O138" s="10">
        <f t="shared" ca="1" si="21"/>
        <v>1876000</v>
      </c>
      <c r="P138" s="29">
        <f t="shared" ca="1" si="22"/>
        <v>15800</v>
      </c>
      <c r="Q138" s="12">
        <f t="shared" ca="1" si="23"/>
        <v>-94100</v>
      </c>
      <c r="R138" s="10">
        <f t="shared" ca="1" si="24"/>
        <v>0.84221748400852881</v>
      </c>
      <c r="U138" s="12">
        <f t="shared" ca="1" si="25"/>
        <v>0</v>
      </c>
      <c r="V138" s="14">
        <f t="shared" ca="1" si="26"/>
        <v>0</v>
      </c>
      <c r="X138" s="7">
        <f ca="1">AVERAGE(E138:OFFSET(F138,-$X$5+1,0))</f>
        <v>9377.2999999999993</v>
      </c>
      <c r="Y138" s="7">
        <f ca="1">AVERAGE(E138:OFFSET(F138,-$Y$5+1,0))</f>
        <v>9422.4</v>
      </c>
      <c r="Z138" s="7">
        <f t="shared" ca="1" si="18"/>
        <v>0</v>
      </c>
      <c r="AA138" s="28"/>
      <c r="AB138" s="28"/>
      <c r="AC138" s="28"/>
      <c r="AD138" s="28"/>
    </row>
    <row r="139" spans="1:30">
      <c r="A139" s="3" t="s">
        <v>30</v>
      </c>
      <c r="B139" s="4">
        <v>41848</v>
      </c>
      <c r="C139" s="3">
        <v>9370</v>
      </c>
      <c r="D139" s="3">
        <v>9422</v>
      </c>
      <c r="E139" s="3">
        <v>9342</v>
      </c>
      <c r="F139" s="3">
        <v>9387</v>
      </c>
      <c r="G139" s="3">
        <v>113816</v>
      </c>
      <c r="H139" s="3">
        <v>1.355</v>
      </c>
      <c r="I139" s="2">
        <f t="shared" si="27"/>
        <v>0</v>
      </c>
      <c r="J139" s="10">
        <f t="shared" si="29"/>
        <v>-20</v>
      </c>
      <c r="K139" s="10">
        <f t="shared" si="28"/>
        <v>17</v>
      </c>
      <c r="L139" s="10">
        <f t="shared" ca="1" si="17"/>
        <v>0</v>
      </c>
      <c r="M139" s="10">
        <f t="shared" ca="1" si="19"/>
        <v>-1</v>
      </c>
      <c r="N139" s="30">
        <f t="shared" ca="1" si="20"/>
        <v>0</v>
      </c>
      <c r="O139" s="10">
        <f t="shared" ca="1" si="21"/>
        <v>1876000</v>
      </c>
      <c r="P139" s="29">
        <f t="shared" ca="1" si="22"/>
        <v>600</v>
      </c>
      <c r="Q139" s="12">
        <f t="shared" ca="1" si="23"/>
        <v>-93500</v>
      </c>
      <c r="R139" s="10">
        <f t="shared" ca="1" si="24"/>
        <v>3.1982942430703626E-2</v>
      </c>
      <c r="U139" s="12">
        <f t="shared" ca="1" si="25"/>
        <v>0</v>
      </c>
      <c r="V139" s="14">
        <f t="shared" ca="1" si="26"/>
        <v>0</v>
      </c>
      <c r="X139" s="7">
        <f ca="1">AVERAGE(E139:OFFSET(F139,-$X$5+1,0))</f>
        <v>9388.2000000000007</v>
      </c>
      <c r="Y139" s="7">
        <f ca="1">AVERAGE(E139:OFFSET(F139,-$Y$5+1,0))</f>
        <v>9412</v>
      </c>
      <c r="Z139" s="7">
        <f t="shared" ca="1" si="18"/>
        <v>0</v>
      </c>
      <c r="AA139" s="28"/>
      <c r="AB139" s="28"/>
      <c r="AC139" s="28"/>
      <c r="AD139" s="28"/>
    </row>
    <row r="140" spans="1:30">
      <c r="A140" s="3" t="s">
        <v>30</v>
      </c>
      <c r="B140" s="4">
        <v>41849</v>
      </c>
      <c r="C140" s="3">
        <v>9425</v>
      </c>
      <c r="D140" s="3">
        <v>9446</v>
      </c>
      <c r="E140" s="3">
        <v>9343</v>
      </c>
      <c r="F140" s="3">
        <v>9361</v>
      </c>
      <c r="G140" s="3">
        <v>128049</v>
      </c>
      <c r="H140" s="3">
        <v>1.355</v>
      </c>
      <c r="I140" s="2">
        <f t="shared" si="27"/>
        <v>0</v>
      </c>
      <c r="J140" s="10">
        <f t="shared" si="29"/>
        <v>38</v>
      </c>
      <c r="K140" s="10">
        <f t="shared" si="28"/>
        <v>-64</v>
      </c>
      <c r="L140" s="10">
        <f t="shared" ca="1" si="17"/>
        <v>0</v>
      </c>
      <c r="M140" s="10">
        <f t="shared" ca="1" si="19"/>
        <v>-1</v>
      </c>
      <c r="N140" s="30">
        <f t="shared" ca="1" si="20"/>
        <v>0</v>
      </c>
      <c r="O140" s="10">
        <f t="shared" ca="1" si="21"/>
        <v>1876000</v>
      </c>
      <c r="P140" s="29">
        <f t="shared" ca="1" si="22"/>
        <v>5200</v>
      </c>
      <c r="Q140" s="12">
        <f t="shared" ca="1" si="23"/>
        <v>-88300</v>
      </c>
      <c r="R140" s="10">
        <f t="shared" ca="1" si="24"/>
        <v>0.27718550106609807</v>
      </c>
      <c r="U140" s="12">
        <f t="shared" ca="1" si="25"/>
        <v>0</v>
      </c>
      <c r="V140" s="14">
        <f t="shared" ca="1" si="26"/>
        <v>0</v>
      </c>
      <c r="X140" s="7">
        <f ca="1">AVERAGE(E140:OFFSET(F140,-$X$5+1,0))</f>
        <v>9386.6</v>
      </c>
      <c r="Y140" s="7">
        <f ca="1">AVERAGE(E140:OFFSET(F140,-$Y$5+1,0))</f>
        <v>9397.0499999999993</v>
      </c>
      <c r="Z140" s="7">
        <f t="shared" ca="1" si="18"/>
        <v>0</v>
      </c>
      <c r="AA140" s="28"/>
      <c r="AB140" s="28"/>
      <c r="AC140" s="28"/>
      <c r="AD140" s="28"/>
    </row>
    <row r="141" spans="1:30">
      <c r="A141" s="3" t="s">
        <v>30</v>
      </c>
      <c r="B141" s="4">
        <v>41850</v>
      </c>
      <c r="C141" s="3">
        <v>9367</v>
      </c>
      <c r="D141" s="3">
        <v>9429</v>
      </c>
      <c r="E141" s="3">
        <v>9366</v>
      </c>
      <c r="F141" s="3">
        <v>9416</v>
      </c>
      <c r="G141" s="3">
        <v>99330</v>
      </c>
      <c r="H141" s="3">
        <v>1.355</v>
      </c>
      <c r="I141" s="2">
        <f t="shared" si="27"/>
        <v>0</v>
      </c>
      <c r="J141" s="10">
        <f t="shared" si="29"/>
        <v>6</v>
      </c>
      <c r="K141" s="10">
        <f t="shared" si="28"/>
        <v>49</v>
      </c>
      <c r="L141" s="10">
        <f t="shared" ca="1" si="17"/>
        <v>1</v>
      </c>
      <c r="M141" s="10">
        <f t="shared" ca="1" si="19"/>
        <v>-1</v>
      </c>
      <c r="N141" s="30">
        <f t="shared" ca="1" si="20"/>
        <v>0</v>
      </c>
      <c r="O141" s="10">
        <f t="shared" ca="1" si="21"/>
        <v>1876000</v>
      </c>
      <c r="P141" s="29">
        <f t="shared" ca="1" si="22"/>
        <v>-11000</v>
      </c>
      <c r="Q141" s="12">
        <f t="shared" ca="1" si="23"/>
        <v>-99300</v>
      </c>
      <c r="R141" s="10">
        <f t="shared" ca="1" si="24"/>
        <v>-0.5863539445628998</v>
      </c>
      <c r="U141" s="12">
        <f t="shared" ca="1" si="25"/>
        <v>0</v>
      </c>
      <c r="V141" s="14">
        <f t="shared" ca="1" si="26"/>
        <v>0</v>
      </c>
      <c r="X141" s="7">
        <f ca="1">AVERAGE(E141:OFFSET(F141,-$X$5+1,0))</f>
        <v>9386.2999999999993</v>
      </c>
      <c r="Y141" s="7">
        <f ca="1">AVERAGE(E141:OFFSET(F141,-$Y$5+1,0))</f>
        <v>9381.4</v>
      </c>
      <c r="Z141" s="7">
        <f t="shared" ca="1" si="18"/>
        <v>1</v>
      </c>
      <c r="AA141" s="28"/>
      <c r="AB141" s="28"/>
      <c r="AC141" s="28"/>
      <c r="AD141" s="28"/>
    </row>
    <row r="142" spans="1:30">
      <c r="A142" s="3" t="s">
        <v>30</v>
      </c>
      <c r="B142" s="4">
        <v>41851</v>
      </c>
      <c r="C142" s="3">
        <v>9433</v>
      </c>
      <c r="D142" s="3">
        <v>9438</v>
      </c>
      <c r="E142" s="3">
        <v>9265</v>
      </c>
      <c r="F142" s="3">
        <v>9290</v>
      </c>
      <c r="G142" s="3">
        <v>134333</v>
      </c>
      <c r="H142" s="3">
        <v>1.355</v>
      </c>
      <c r="I142" s="2">
        <f t="shared" si="27"/>
        <v>0</v>
      </c>
      <c r="J142" s="10">
        <f t="shared" si="29"/>
        <v>17</v>
      </c>
      <c r="K142" s="10">
        <f t="shared" si="28"/>
        <v>-143</v>
      </c>
      <c r="L142" s="10">
        <f t="shared" ca="1" si="17"/>
        <v>-1</v>
      </c>
      <c r="M142" s="10">
        <f t="shared" ca="1" si="19"/>
        <v>0</v>
      </c>
      <c r="N142" s="30">
        <f t="shared" ca="1" si="20"/>
        <v>0</v>
      </c>
      <c r="O142" s="10">
        <f t="shared" ca="1" si="21"/>
        <v>0</v>
      </c>
      <c r="P142" s="29">
        <f t="shared" ca="1" si="22"/>
        <v>-3900</v>
      </c>
      <c r="Q142" s="12">
        <f t="shared" ca="1" si="23"/>
        <v>-103200</v>
      </c>
      <c r="R142" s="10">
        <f t="shared" ca="1" si="24"/>
        <v>-0.20788912579957355</v>
      </c>
      <c r="U142" s="12">
        <f t="shared" ca="1" si="25"/>
        <v>0</v>
      </c>
      <c r="V142" s="14">
        <f t="shared" ca="1" si="26"/>
        <v>0</v>
      </c>
      <c r="X142" s="7">
        <f ca="1">AVERAGE(E142:OFFSET(F142,-$X$5+1,0))</f>
        <v>9351.7000000000007</v>
      </c>
      <c r="Y142" s="7">
        <f ca="1">AVERAGE(E142:OFFSET(F142,-$Y$5+1,0))</f>
        <v>9361.25</v>
      </c>
      <c r="Z142" s="7">
        <f t="shared" ca="1" si="18"/>
        <v>-1</v>
      </c>
      <c r="AA142" s="28"/>
      <c r="AB142" s="28"/>
      <c r="AC142" s="28"/>
      <c r="AD142" s="28"/>
    </row>
    <row r="143" spans="1:30">
      <c r="A143" s="3" t="s">
        <v>30</v>
      </c>
      <c r="B143" s="4">
        <v>41852</v>
      </c>
      <c r="C143" s="3">
        <v>9236</v>
      </c>
      <c r="D143" s="3">
        <v>9264</v>
      </c>
      <c r="E143" s="3">
        <v>9209</v>
      </c>
      <c r="F143" s="3">
        <v>9253</v>
      </c>
      <c r="G143" s="3">
        <v>104509</v>
      </c>
      <c r="H143" s="3">
        <v>1.355</v>
      </c>
      <c r="I143" s="2">
        <f t="shared" si="27"/>
        <v>0</v>
      </c>
      <c r="J143" s="10">
        <f t="shared" si="29"/>
        <v>-54</v>
      </c>
      <c r="K143" s="10">
        <f t="shared" si="28"/>
        <v>17</v>
      </c>
      <c r="L143" s="10">
        <f t="shared" ca="1" si="17"/>
        <v>0</v>
      </c>
      <c r="M143" s="10">
        <f t="shared" ca="1" si="19"/>
        <v>-1</v>
      </c>
      <c r="N143" s="30">
        <f t="shared" ca="1" si="20"/>
        <v>0</v>
      </c>
      <c r="O143" s="10">
        <f t="shared" ca="1" si="21"/>
        <v>1847200</v>
      </c>
      <c r="P143" s="29">
        <f t="shared" ca="1" si="22"/>
        <v>-3900</v>
      </c>
      <c r="Q143" s="12">
        <f t="shared" ca="1" si="23"/>
        <v>-107100</v>
      </c>
      <c r="R143" s="10">
        <f t="shared" ca="1" si="24"/>
        <v>-0.21113035946297098</v>
      </c>
      <c r="U143" s="12">
        <f t="shared" ca="1" si="25"/>
        <v>0</v>
      </c>
      <c r="V143" s="14">
        <f t="shared" ca="1" si="26"/>
        <v>0</v>
      </c>
      <c r="X143" s="7">
        <f ca="1">AVERAGE(E143:OFFSET(F143,-$X$5+1,0))</f>
        <v>9323.2000000000007</v>
      </c>
      <c r="Y143" s="7">
        <f ca="1">AVERAGE(E143:OFFSET(F143,-$Y$5+1,0))</f>
        <v>9350.25</v>
      </c>
      <c r="Z143" s="7">
        <f t="shared" ca="1" si="18"/>
        <v>0</v>
      </c>
      <c r="AA143" s="28"/>
      <c r="AB143" s="28"/>
      <c r="AC143" s="28"/>
      <c r="AD143" s="28"/>
    </row>
    <row r="144" spans="1:30">
      <c r="A144" s="3" t="s">
        <v>30</v>
      </c>
      <c r="B144" s="4">
        <v>41855</v>
      </c>
      <c r="C144" s="3">
        <v>9260</v>
      </c>
      <c r="D144" s="3">
        <v>9297</v>
      </c>
      <c r="E144" s="3">
        <v>9233</v>
      </c>
      <c r="F144" s="3">
        <v>9286</v>
      </c>
      <c r="G144" s="3">
        <v>81817</v>
      </c>
      <c r="H144" s="3">
        <v>1.355</v>
      </c>
      <c r="I144" s="2">
        <f t="shared" si="27"/>
        <v>0</v>
      </c>
      <c r="J144" s="10">
        <f t="shared" si="29"/>
        <v>7</v>
      </c>
      <c r="K144" s="10">
        <f t="shared" si="28"/>
        <v>26</v>
      </c>
      <c r="L144" s="10">
        <f t="shared" ca="1" si="17"/>
        <v>0</v>
      </c>
      <c r="M144" s="10">
        <f t="shared" ca="1" si="19"/>
        <v>-1</v>
      </c>
      <c r="N144" s="30">
        <f t="shared" ca="1" si="20"/>
        <v>0</v>
      </c>
      <c r="O144" s="10">
        <f t="shared" ca="1" si="21"/>
        <v>1847200</v>
      </c>
      <c r="P144" s="29">
        <f t="shared" ca="1" si="22"/>
        <v>-6600</v>
      </c>
      <c r="Q144" s="12">
        <f t="shared" ca="1" si="23"/>
        <v>-113700</v>
      </c>
      <c r="R144" s="10">
        <f t="shared" ca="1" si="24"/>
        <v>-0.35729753139887399</v>
      </c>
      <c r="U144" s="12">
        <f t="shared" ca="1" si="25"/>
        <v>0</v>
      </c>
      <c r="V144" s="14">
        <f t="shared" ca="1" si="26"/>
        <v>0</v>
      </c>
      <c r="X144" s="7">
        <f ca="1">AVERAGE(E144:OFFSET(F144,-$X$5+1,0))</f>
        <v>9302.2000000000007</v>
      </c>
      <c r="Y144" s="7">
        <f ca="1">AVERAGE(E144:OFFSET(F144,-$Y$5+1,0))</f>
        <v>9345.2000000000007</v>
      </c>
      <c r="Z144" s="7">
        <f t="shared" ca="1" si="18"/>
        <v>0</v>
      </c>
      <c r="AA144" s="28"/>
      <c r="AB144" s="28"/>
      <c r="AC144" s="28"/>
      <c r="AD144" s="28"/>
    </row>
    <row r="145" spans="1:30">
      <c r="A145" s="3" t="s">
        <v>30</v>
      </c>
      <c r="B145" s="4">
        <v>41856</v>
      </c>
      <c r="C145" s="3">
        <v>9249</v>
      </c>
      <c r="D145" s="3">
        <v>9256</v>
      </c>
      <c r="E145" s="3">
        <v>9083</v>
      </c>
      <c r="F145" s="3">
        <v>9095</v>
      </c>
      <c r="G145" s="3">
        <v>149588</v>
      </c>
      <c r="H145" s="3">
        <v>1.355</v>
      </c>
      <c r="I145" s="2">
        <f t="shared" si="27"/>
        <v>0</v>
      </c>
      <c r="J145" s="10">
        <f t="shared" si="29"/>
        <v>-37</v>
      </c>
      <c r="K145" s="10">
        <f t="shared" si="28"/>
        <v>-154</v>
      </c>
      <c r="L145" s="10">
        <f t="shared" ca="1" si="17"/>
        <v>0</v>
      </c>
      <c r="M145" s="10">
        <f t="shared" ca="1" si="19"/>
        <v>-1</v>
      </c>
      <c r="N145" s="30">
        <f t="shared" ca="1" si="20"/>
        <v>0</v>
      </c>
      <c r="O145" s="10">
        <f t="shared" ca="1" si="21"/>
        <v>1847200</v>
      </c>
      <c r="P145" s="29">
        <f t="shared" ca="1" si="22"/>
        <v>38200</v>
      </c>
      <c r="Q145" s="12">
        <f t="shared" ca="1" si="23"/>
        <v>-75500</v>
      </c>
      <c r="R145" s="10">
        <f t="shared" ca="1" si="24"/>
        <v>2.0679948029449977</v>
      </c>
      <c r="U145" s="12">
        <f t="shared" ca="1" si="25"/>
        <v>0</v>
      </c>
      <c r="V145" s="14">
        <f t="shared" ca="1" si="26"/>
        <v>0</v>
      </c>
      <c r="X145" s="7">
        <f ca="1">AVERAGE(E145:OFFSET(F145,-$X$5+1,0))</f>
        <v>9249.6</v>
      </c>
      <c r="Y145" s="7">
        <f ca="1">AVERAGE(E145:OFFSET(F145,-$Y$5+1,0))</f>
        <v>9318.1</v>
      </c>
      <c r="Z145" s="7">
        <f t="shared" ca="1" si="18"/>
        <v>0</v>
      </c>
      <c r="AA145" s="28"/>
      <c r="AB145" s="28"/>
      <c r="AC145" s="28"/>
      <c r="AD145" s="28"/>
    </row>
    <row r="146" spans="1:30">
      <c r="A146" s="3" t="s">
        <v>30</v>
      </c>
      <c r="B146" s="4">
        <v>41857</v>
      </c>
      <c r="C146" s="3">
        <v>9079</v>
      </c>
      <c r="D146" s="3">
        <v>9129</v>
      </c>
      <c r="E146" s="3">
        <v>9059</v>
      </c>
      <c r="F146" s="3">
        <v>9098</v>
      </c>
      <c r="G146" s="3">
        <v>121642</v>
      </c>
      <c r="H146" s="3">
        <v>1.355</v>
      </c>
      <c r="I146" s="2">
        <f t="shared" si="27"/>
        <v>0</v>
      </c>
      <c r="J146" s="10">
        <f t="shared" si="29"/>
        <v>-16</v>
      </c>
      <c r="K146" s="10">
        <f t="shared" si="28"/>
        <v>19</v>
      </c>
      <c r="L146" s="10">
        <f t="shared" ca="1" si="17"/>
        <v>0</v>
      </c>
      <c r="M146" s="10">
        <f t="shared" ca="1" si="19"/>
        <v>-1</v>
      </c>
      <c r="N146" s="30">
        <f t="shared" ca="1" si="20"/>
        <v>0</v>
      </c>
      <c r="O146" s="10">
        <f t="shared" ca="1" si="21"/>
        <v>1847200</v>
      </c>
      <c r="P146" s="29">
        <f t="shared" ca="1" si="22"/>
        <v>-600</v>
      </c>
      <c r="Q146" s="12">
        <f t="shared" ca="1" si="23"/>
        <v>-76100</v>
      </c>
      <c r="R146" s="10">
        <f t="shared" ca="1" si="24"/>
        <v>-3.2481593763533996E-2</v>
      </c>
      <c r="U146" s="12">
        <f t="shared" ca="1" si="25"/>
        <v>0</v>
      </c>
      <c r="V146" s="14">
        <f t="shared" ca="1" si="26"/>
        <v>0</v>
      </c>
      <c r="X146" s="7">
        <f ca="1">AVERAGE(E146:OFFSET(F146,-$X$5+1,0))</f>
        <v>9187.1</v>
      </c>
      <c r="Y146" s="7">
        <f ca="1">AVERAGE(E146:OFFSET(F146,-$Y$5+1,0))</f>
        <v>9286.7000000000007</v>
      </c>
      <c r="Z146" s="7">
        <f t="shared" ca="1" si="18"/>
        <v>0</v>
      </c>
      <c r="AA146" s="28"/>
      <c r="AB146" s="28"/>
      <c r="AC146" s="28"/>
      <c r="AD146" s="28"/>
    </row>
    <row r="147" spans="1:30">
      <c r="A147" s="3" t="s">
        <v>30</v>
      </c>
      <c r="B147" s="4">
        <v>41858</v>
      </c>
      <c r="C147" s="3">
        <v>9111</v>
      </c>
      <c r="D147" s="3">
        <v>9134</v>
      </c>
      <c r="E147" s="3">
        <v>9065</v>
      </c>
      <c r="F147" s="3">
        <v>9092</v>
      </c>
      <c r="G147" s="3">
        <v>84268</v>
      </c>
      <c r="H147" s="3">
        <v>1.355</v>
      </c>
      <c r="I147" s="2">
        <f t="shared" si="27"/>
        <v>0</v>
      </c>
      <c r="J147" s="10">
        <f t="shared" si="29"/>
        <v>13</v>
      </c>
      <c r="K147" s="10">
        <f t="shared" si="28"/>
        <v>-19</v>
      </c>
      <c r="L147" s="10">
        <f t="shared" ca="1" si="17"/>
        <v>0</v>
      </c>
      <c r="M147" s="10">
        <f t="shared" ca="1" si="19"/>
        <v>-1</v>
      </c>
      <c r="N147" s="30">
        <f t="shared" ca="1" si="20"/>
        <v>0</v>
      </c>
      <c r="O147" s="10">
        <f t="shared" ca="1" si="21"/>
        <v>1847200</v>
      </c>
      <c r="P147" s="29">
        <f t="shared" ca="1" si="22"/>
        <v>1200</v>
      </c>
      <c r="Q147" s="12">
        <f t="shared" ca="1" si="23"/>
        <v>-74900</v>
      </c>
      <c r="R147" s="10">
        <f t="shared" ca="1" si="24"/>
        <v>6.4963187527067992E-2</v>
      </c>
      <c r="U147" s="12">
        <f t="shared" ca="1" si="25"/>
        <v>0</v>
      </c>
      <c r="V147" s="14">
        <f t="shared" ca="1" si="26"/>
        <v>0</v>
      </c>
      <c r="X147" s="7">
        <f ca="1">AVERAGE(E147:OFFSET(F147,-$X$5+1,0))</f>
        <v>9147.2999999999993</v>
      </c>
      <c r="Y147" s="7">
        <f ca="1">AVERAGE(E147:OFFSET(F147,-$Y$5+1,0))</f>
        <v>9249.5</v>
      </c>
      <c r="Z147" s="7">
        <f t="shared" ca="1" si="18"/>
        <v>0</v>
      </c>
      <c r="AA147" s="28"/>
      <c r="AB147" s="28"/>
      <c r="AC147" s="28"/>
      <c r="AD147" s="28"/>
    </row>
    <row r="148" spans="1:30">
      <c r="A148" s="3" t="s">
        <v>30</v>
      </c>
      <c r="B148" s="4">
        <v>41859</v>
      </c>
      <c r="C148" s="3">
        <v>9052</v>
      </c>
      <c r="D148" s="3">
        <v>9093</v>
      </c>
      <c r="E148" s="3">
        <v>8991</v>
      </c>
      <c r="F148" s="3">
        <v>9090</v>
      </c>
      <c r="G148" s="3">
        <v>123219</v>
      </c>
      <c r="H148" s="3">
        <v>1.355</v>
      </c>
      <c r="I148" s="2">
        <f t="shared" si="27"/>
        <v>0</v>
      </c>
      <c r="J148" s="10">
        <f t="shared" si="29"/>
        <v>-40</v>
      </c>
      <c r="K148" s="10">
        <f t="shared" si="28"/>
        <v>38</v>
      </c>
      <c r="L148" s="10">
        <f t="shared" ca="1" si="17"/>
        <v>0</v>
      </c>
      <c r="M148" s="10">
        <f t="shared" ca="1" si="19"/>
        <v>-1</v>
      </c>
      <c r="N148" s="30">
        <f t="shared" ca="1" si="20"/>
        <v>0</v>
      </c>
      <c r="O148" s="10">
        <f t="shared" ca="1" si="21"/>
        <v>1847200</v>
      </c>
      <c r="P148" s="29">
        <f t="shared" ca="1" si="22"/>
        <v>400</v>
      </c>
      <c r="Q148" s="12">
        <f t="shared" ca="1" si="23"/>
        <v>-74500</v>
      </c>
      <c r="R148" s="10">
        <f t="shared" ca="1" si="24"/>
        <v>2.1654395842355997E-2</v>
      </c>
      <c r="U148" s="12">
        <f t="shared" ca="1" si="25"/>
        <v>0</v>
      </c>
      <c r="V148" s="14">
        <f t="shared" ca="1" si="26"/>
        <v>0</v>
      </c>
      <c r="X148" s="7">
        <f ca="1">AVERAGE(E148:OFFSET(F148,-$X$5+1,0))</f>
        <v>9109.2000000000007</v>
      </c>
      <c r="Y148" s="7">
        <f ca="1">AVERAGE(E148:OFFSET(F148,-$Y$5+1,0))</f>
        <v>9216.2000000000007</v>
      </c>
      <c r="Z148" s="7">
        <f t="shared" ca="1" si="18"/>
        <v>0</v>
      </c>
      <c r="AA148" s="28"/>
      <c r="AB148" s="28"/>
      <c r="AC148" s="28"/>
      <c r="AD148" s="28"/>
    </row>
    <row r="149" spans="1:30">
      <c r="A149" s="3" t="s">
        <v>30</v>
      </c>
      <c r="B149" s="4">
        <v>41862</v>
      </c>
      <c r="C149" s="3">
        <v>9132</v>
      </c>
      <c r="D149" s="3">
        <v>9162</v>
      </c>
      <c r="E149" s="3">
        <v>9110</v>
      </c>
      <c r="F149" s="3">
        <v>9141</v>
      </c>
      <c r="G149" s="3">
        <v>80134</v>
      </c>
      <c r="H149" s="3">
        <v>1.355</v>
      </c>
      <c r="I149" s="2">
        <f t="shared" si="27"/>
        <v>0</v>
      </c>
      <c r="J149" s="10">
        <f t="shared" si="29"/>
        <v>42</v>
      </c>
      <c r="K149" s="10">
        <f t="shared" si="28"/>
        <v>9</v>
      </c>
      <c r="L149" s="10">
        <f t="shared" ca="1" si="17"/>
        <v>0</v>
      </c>
      <c r="M149" s="10">
        <f t="shared" ca="1" si="19"/>
        <v>-1</v>
      </c>
      <c r="N149" s="30">
        <f t="shared" ca="1" si="20"/>
        <v>0</v>
      </c>
      <c r="O149" s="10">
        <f t="shared" ca="1" si="21"/>
        <v>1847200</v>
      </c>
      <c r="P149" s="29">
        <f t="shared" ca="1" si="22"/>
        <v>-10200</v>
      </c>
      <c r="Q149" s="12">
        <f t="shared" ca="1" si="23"/>
        <v>-84700</v>
      </c>
      <c r="R149" s="10">
        <f t="shared" ca="1" si="24"/>
        <v>-0.55218709398007793</v>
      </c>
      <c r="U149" s="12">
        <f t="shared" ca="1" si="25"/>
        <v>0</v>
      </c>
      <c r="V149" s="14">
        <f t="shared" ca="1" si="26"/>
        <v>0</v>
      </c>
      <c r="X149" s="7">
        <f ca="1">AVERAGE(E149:OFFSET(F149,-$X$5+1,0))</f>
        <v>9082.4</v>
      </c>
      <c r="Y149" s="7">
        <f ca="1">AVERAGE(E149:OFFSET(F149,-$Y$5+1,0))</f>
        <v>9192.2999999999993</v>
      </c>
      <c r="Z149" s="7">
        <f t="shared" ca="1" si="18"/>
        <v>0</v>
      </c>
      <c r="AA149" s="28"/>
      <c r="AB149" s="28"/>
      <c r="AC149" s="28"/>
      <c r="AD149" s="28"/>
    </row>
    <row r="150" spans="1:30">
      <c r="A150" s="3" t="s">
        <v>30</v>
      </c>
      <c r="B150" s="4">
        <v>41863</v>
      </c>
      <c r="C150" s="3">
        <v>9152</v>
      </c>
      <c r="D150" s="3">
        <v>9158</v>
      </c>
      <c r="E150" s="3">
        <v>9103</v>
      </c>
      <c r="F150" s="3">
        <v>9121</v>
      </c>
      <c r="G150" s="3">
        <v>87612</v>
      </c>
      <c r="H150" s="3">
        <v>1.355</v>
      </c>
      <c r="I150" s="2">
        <f t="shared" si="27"/>
        <v>0</v>
      </c>
      <c r="J150" s="10">
        <f t="shared" si="29"/>
        <v>11</v>
      </c>
      <c r="K150" s="10">
        <f t="shared" si="28"/>
        <v>-31</v>
      </c>
      <c r="L150" s="10">
        <f t="shared" ca="1" si="17"/>
        <v>0</v>
      </c>
      <c r="M150" s="10">
        <f t="shared" ca="1" si="19"/>
        <v>-1</v>
      </c>
      <c r="N150" s="30">
        <f t="shared" ca="1" si="20"/>
        <v>0</v>
      </c>
      <c r="O150" s="10">
        <f t="shared" ca="1" si="21"/>
        <v>1847200</v>
      </c>
      <c r="P150" s="29">
        <f t="shared" ca="1" si="22"/>
        <v>4000</v>
      </c>
      <c r="Q150" s="12">
        <f t="shared" ca="1" si="23"/>
        <v>-80700</v>
      </c>
      <c r="R150" s="10">
        <f t="shared" ca="1" si="24"/>
        <v>0.21654395842355997</v>
      </c>
      <c r="U150" s="12">
        <f t="shared" ca="1" si="25"/>
        <v>0</v>
      </c>
      <c r="V150" s="14">
        <f t="shared" ca="1" si="26"/>
        <v>0</v>
      </c>
      <c r="X150" s="7">
        <f ca="1">AVERAGE(E150:OFFSET(F150,-$X$5+1,0))</f>
        <v>9087</v>
      </c>
      <c r="Y150" s="7">
        <f ca="1">AVERAGE(E150:OFFSET(F150,-$Y$5+1,0))</f>
        <v>9168.2999999999993</v>
      </c>
      <c r="Z150" s="7">
        <f t="shared" ca="1" si="18"/>
        <v>0</v>
      </c>
      <c r="AA150" s="28"/>
      <c r="AB150" s="28"/>
      <c r="AC150" s="28"/>
      <c r="AD150" s="28"/>
    </row>
    <row r="151" spans="1:30">
      <c r="A151" s="3" t="s">
        <v>30</v>
      </c>
      <c r="B151" s="4">
        <v>41864</v>
      </c>
      <c r="C151" s="3">
        <v>9132</v>
      </c>
      <c r="D151" s="3">
        <v>9204</v>
      </c>
      <c r="E151" s="3">
        <v>9120</v>
      </c>
      <c r="F151" s="3">
        <v>9199</v>
      </c>
      <c r="G151" s="3">
        <v>94649</v>
      </c>
      <c r="H151" s="3">
        <v>1.355</v>
      </c>
      <c r="I151" s="2">
        <f t="shared" si="27"/>
        <v>0</v>
      </c>
      <c r="J151" s="10">
        <f t="shared" si="29"/>
        <v>11</v>
      </c>
      <c r="K151" s="10">
        <f t="shared" si="28"/>
        <v>67</v>
      </c>
      <c r="L151" s="10">
        <f t="shared" ca="1" si="17"/>
        <v>0</v>
      </c>
      <c r="M151" s="10">
        <f t="shared" ca="1" si="19"/>
        <v>-1</v>
      </c>
      <c r="N151" s="30">
        <f t="shared" ca="1" si="20"/>
        <v>0</v>
      </c>
      <c r="O151" s="10">
        <f t="shared" ca="1" si="21"/>
        <v>1847200</v>
      </c>
      <c r="P151" s="29">
        <f t="shared" ca="1" si="22"/>
        <v>-15600</v>
      </c>
      <c r="Q151" s="12">
        <f t="shared" ca="1" si="23"/>
        <v>-96300</v>
      </c>
      <c r="R151" s="10">
        <f t="shared" ca="1" si="24"/>
        <v>-0.84452143785188394</v>
      </c>
      <c r="U151" s="12">
        <f t="shared" ca="1" si="25"/>
        <v>0</v>
      </c>
      <c r="V151" s="14">
        <f t="shared" ca="1" si="26"/>
        <v>0</v>
      </c>
      <c r="X151" s="7">
        <f ca="1">AVERAGE(E151:OFFSET(F151,-$X$5+1,0))</f>
        <v>9103.2000000000007</v>
      </c>
      <c r="Y151" s="7">
        <f ca="1">AVERAGE(E151:OFFSET(F151,-$Y$5+1,0))</f>
        <v>9145.15</v>
      </c>
      <c r="Z151" s="7">
        <f t="shared" ca="1" si="18"/>
        <v>0</v>
      </c>
      <c r="AA151" s="28"/>
      <c r="AB151" s="28"/>
      <c r="AC151" s="28"/>
      <c r="AD151" s="28"/>
    </row>
    <row r="152" spans="1:30">
      <c r="A152" s="3" t="s">
        <v>30</v>
      </c>
      <c r="B152" s="4">
        <v>41865</v>
      </c>
      <c r="C152" s="3">
        <v>9228</v>
      </c>
      <c r="D152" s="3">
        <v>9253</v>
      </c>
      <c r="E152" s="3">
        <v>9203</v>
      </c>
      <c r="F152" s="3">
        <v>9218</v>
      </c>
      <c r="G152" s="3">
        <v>85033</v>
      </c>
      <c r="H152" s="3">
        <v>1.355</v>
      </c>
      <c r="I152" s="2">
        <f t="shared" si="27"/>
        <v>0</v>
      </c>
      <c r="J152" s="10">
        <f t="shared" si="29"/>
        <v>29</v>
      </c>
      <c r="K152" s="10">
        <f t="shared" si="28"/>
        <v>-10</v>
      </c>
      <c r="L152" s="10">
        <f t="shared" ca="1" si="17"/>
        <v>0</v>
      </c>
      <c r="M152" s="10">
        <f t="shared" ca="1" si="19"/>
        <v>-1</v>
      </c>
      <c r="N152" s="30">
        <f t="shared" ca="1" si="20"/>
        <v>0</v>
      </c>
      <c r="O152" s="10">
        <f t="shared" ca="1" si="21"/>
        <v>1847200</v>
      </c>
      <c r="P152" s="29">
        <f t="shared" ca="1" si="22"/>
        <v>-3800</v>
      </c>
      <c r="Q152" s="12">
        <f t="shared" ca="1" si="23"/>
        <v>-100100</v>
      </c>
      <c r="R152" s="10">
        <f t="shared" ca="1" si="24"/>
        <v>-0.205716760502382</v>
      </c>
      <c r="U152" s="12">
        <f t="shared" ca="1" si="25"/>
        <v>0</v>
      </c>
      <c r="V152" s="14">
        <f t="shared" ca="1" si="26"/>
        <v>0</v>
      </c>
      <c r="X152" s="7">
        <f ca="1">AVERAGE(E152:OFFSET(F152,-$X$5+1,0))</f>
        <v>9129.6</v>
      </c>
      <c r="Y152" s="7">
        <f ca="1">AVERAGE(E152:OFFSET(F152,-$Y$5+1,0))</f>
        <v>9138.4500000000007</v>
      </c>
      <c r="Z152" s="7">
        <f t="shared" ca="1" si="18"/>
        <v>0</v>
      </c>
      <c r="AA152" s="28"/>
      <c r="AB152" s="28"/>
      <c r="AC152" s="28"/>
      <c r="AD152" s="28"/>
    </row>
    <row r="153" spans="1:30">
      <c r="A153" s="3" t="s">
        <v>30</v>
      </c>
      <c r="B153" s="4">
        <v>41866</v>
      </c>
      <c r="C153" s="3">
        <v>9210</v>
      </c>
      <c r="D153" s="3">
        <v>9218</v>
      </c>
      <c r="E153" s="3">
        <v>9154</v>
      </c>
      <c r="F153" s="3">
        <v>9203</v>
      </c>
      <c r="G153" s="3">
        <v>90406</v>
      </c>
      <c r="H153" s="3">
        <v>1.355</v>
      </c>
      <c r="I153" s="2">
        <f t="shared" si="27"/>
        <v>0</v>
      </c>
      <c r="J153" s="10">
        <f t="shared" si="29"/>
        <v>-8</v>
      </c>
      <c r="K153" s="10">
        <f t="shared" si="28"/>
        <v>-7</v>
      </c>
      <c r="L153" s="10">
        <f t="shared" ca="1" si="17"/>
        <v>1</v>
      </c>
      <c r="M153" s="10">
        <f t="shared" ca="1" si="19"/>
        <v>-1</v>
      </c>
      <c r="N153" s="30">
        <f t="shared" ca="1" si="20"/>
        <v>0</v>
      </c>
      <c r="O153" s="10">
        <f t="shared" ca="1" si="21"/>
        <v>1847200</v>
      </c>
      <c r="P153" s="29">
        <f t="shared" ca="1" si="22"/>
        <v>3000</v>
      </c>
      <c r="Q153" s="12">
        <f t="shared" ca="1" si="23"/>
        <v>-97100</v>
      </c>
      <c r="R153" s="10">
        <f t="shared" ca="1" si="24"/>
        <v>0.16240796881766997</v>
      </c>
      <c r="U153" s="12">
        <f t="shared" ca="1" si="25"/>
        <v>0</v>
      </c>
      <c r="V153" s="14">
        <f t="shared" ca="1" si="26"/>
        <v>0</v>
      </c>
      <c r="X153" s="7">
        <f ca="1">AVERAGE(E153:OFFSET(F153,-$X$5+1,0))</f>
        <v>9157.2000000000007</v>
      </c>
      <c r="Y153" s="7">
        <f ca="1">AVERAGE(E153:OFFSET(F153,-$Y$5+1,0))</f>
        <v>9133.2000000000007</v>
      </c>
      <c r="Z153" s="7">
        <f t="shared" ca="1" si="18"/>
        <v>1</v>
      </c>
      <c r="AA153" s="28"/>
      <c r="AB153" s="28"/>
      <c r="AC153" s="28"/>
      <c r="AD153" s="28"/>
    </row>
    <row r="154" spans="1:30">
      <c r="A154" s="3" t="s">
        <v>30</v>
      </c>
      <c r="B154" s="4">
        <v>41869</v>
      </c>
      <c r="C154" s="3">
        <v>9212</v>
      </c>
      <c r="D154" s="3">
        <v>9223</v>
      </c>
      <c r="E154" s="3">
        <v>9126</v>
      </c>
      <c r="F154" s="3">
        <v>9141</v>
      </c>
      <c r="G154" s="3">
        <v>111283</v>
      </c>
      <c r="H154" s="3">
        <v>1.355</v>
      </c>
      <c r="I154" s="2">
        <f t="shared" si="27"/>
        <v>0</v>
      </c>
      <c r="J154" s="10">
        <f t="shared" si="29"/>
        <v>9</v>
      </c>
      <c r="K154" s="10">
        <f t="shared" si="28"/>
        <v>-71</v>
      </c>
      <c r="L154" s="10">
        <f t="shared" ca="1" si="17"/>
        <v>0</v>
      </c>
      <c r="M154" s="10">
        <f t="shared" ca="1" si="19"/>
        <v>0</v>
      </c>
      <c r="N154" s="30">
        <f t="shared" ca="1" si="20"/>
        <v>0</v>
      </c>
      <c r="O154" s="10">
        <f t="shared" ca="1" si="21"/>
        <v>0</v>
      </c>
      <c r="P154" s="29">
        <f t="shared" ca="1" si="22"/>
        <v>-2300</v>
      </c>
      <c r="Q154" s="12">
        <f t="shared" ca="1" si="23"/>
        <v>-99400</v>
      </c>
      <c r="R154" s="10">
        <f t="shared" ca="1" si="24"/>
        <v>-0.124512776093547</v>
      </c>
      <c r="U154" s="12">
        <f t="shared" ca="1" si="25"/>
        <v>0</v>
      </c>
      <c r="V154" s="14">
        <f t="shared" ca="1" si="26"/>
        <v>0</v>
      </c>
      <c r="X154" s="7">
        <f ca="1">AVERAGE(E154:OFFSET(F154,-$X$5+1,0))</f>
        <v>9158.7999999999993</v>
      </c>
      <c r="Y154" s="7">
        <f ca="1">AVERAGE(E154:OFFSET(F154,-$Y$5+1,0))</f>
        <v>9120.6</v>
      </c>
      <c r="Z154" s="7">
        <f t="shared" ca="1" si="18"/>
        <v>0</v>
      </c>
      <c r="AA154" s="28"/>
      <c r="AB154" s="28"/>
      <c r="AC154" s="28"/>
      <c r="AD154" s="28"/>
    </row>
    <row r="155" spans="1:30">
      <c r="A155" s="3" t="s">
        <v>30</v>
      </c>
      <c r="B155" s="4">
        <v>41870</v>
      </c>
      <c r="C155" s="3">
        <v>9161</v>
      </c>
      <c r="D155" s="3">
        <v>9249</v>
      </c>
      <c r="E155" s="3">
        <v>9161</v>
      </c>
      <c r="F155" s="3">
        <v>9239</v>
      </c>
      <c r="G155" s="3">
        <v>91282</v>
      </c>
      <c r="H155" s="3">
        <v>1.355</v>
      </c>
      <c r="I155" s="2">
        <f t="shared" si="27"/>
        <v>0</v>
      </c>
      <c r="J155" s="10">
        <f t="shared" si="29"/>
        <v>20</v>
      </c>
      <c r="K155" s="10">
        <f t="shared" si="28"/>
        <v>78</v>
      </c>
      <c r="L155" s="10">
        <f t="shared" ca="1" si="17"/>
        <v>0</v>
      </c>
      <c r="M155" s="10">
        <f t="shared" ca="1" si="19"/>
        <v>0</v>
      </c>
      <c r="N155" s="30">
        <f t="shared" ca="1" si="20"/>
        <v>0</v>
      </c>
      <c r="O155" s="10">
        <f t="shared" ca="1" si="21"/>
        <v>0</v>
      </c>
      <c r="P155" s="29">
        <f t="shared" ca="1" si="22"/>
        <v>0</v>
      </c>
      <c r="Q155" s="12">
        <f t="shared" ca="1" si="23"/>
        <v>-99400</v>
      </c>
      <c r="R155" s="10">
        <f t="shared" ca="1" si="24"/>
        <v>0</v>
      </c>
      <c r="U155" s="12">
        <f t="shared" ca="1" si="25"/>
        <v>0</v>
      </c>
      <c r="V155" s="14">
        <f t="shared" ca="1" si="26"/>
        <v>0</v>
      </c>
      <c r="X155" s="7">
        <f ca="1">AVERAGE(E155:OFFSET(F155,-$X$5+1,0))</f>
        <v>9176.4</v>
      </c>
      <c r="Y155" s="7">
        <f ca="1">AVERAGE(E155:OFFSET(F155,-$Y$5+1,0))</f>
        <v>9131.7000000000007</v>
      </c>
      <c r="Z155" s="7">
        <f t="shared" ca="1" si="18"/>
        <v>0</v>
      </c>
      <c r="AA155" s="28"/>
      <c r="AB155" s="28"/>
      <c r="AC155" s="28"/>
      <c r="AD155" s="28"/>
    </row>
    <row r="156" spans="1:30">
      <c r="A156" s="3" t="s">
        <v>30</v>
      </c>
      <c r="B156" s="4">
        <v>41871</v>
      </c>
      <c r="C156" s="3">
        <v>9253</v>
      </c>
      <c r="D156" s="3">
        <v>9285</v>
      </c>
      <c r="E156" s="3">
        <v>9244</v>
      </c>
      <c r="F156" s="3">
        <v>9275</v>
      </c>
      <c r="G156" s="3">
        <v>61787</v>
      </c>
      <c r="H156" s="3">
        <v>1.355</v>
      </c>
      <c r="I156" s="2">
        <f t="shared" si="27"/>
        <v>1</v>
      </c>
      <c r="J156" s="10">
        <f t="shared" si="29"/>
        <v>14</v>
      </c>
      <c r="K156" s="10">
        <f t="shared" si="28"/>
        <v>22</v>
      </c>
      <c r="L156" s="10">
        <f t="shared" ca="1" si="17"/>
        <v>0</v>
      </c>
      <c r="M156" s="10">
        <f t="shared" si="19"/>
        <v>0</v>
      </c>
      <c r="N156" s="30">
        <f t="shared" si="20"/>
        <v>0</v>
      </c>
      <c r="O156" s="10">
        <f t="shared" si="21"/>
        <v>0</v>
      </c>
      <c r="P156" s="29">
        <f t="shared" ca="1" si="22"/>
        <v>0</v>
      </c>
      <c r="Q156" s="12">
        <f t="shared" ca="1" si="23"/>
        <v>-99400</v>
      </c>
      <c r="R156" s="10">
        <f t="shared" ca="1" si="24"/>
        <v>0</v>
      </c>
      <c r="U156" s="12">
        <f t="shared" ca="1" si="25"/>
        <v>0</v>
      </c>
      <c r="V156" s="14">
        <f t="shared" ca="1" si="26"/>
        <v>0</v>
      </c>
      <c r="X156" s="7">
        <f ca="1">AVERAGE(E156:OFFSET(F156,-$X$5+1,0))</f>
        <v>9196.4</v>
      </c>
      <c r="Y156" s="7">
        <f ca="1">AVERAGE(E156:OFFSET(F156,-$Y$5+1,0))</f>
        <v>9149.7999999999993</v>
      </c>
      <c r="Z156" s="7">
        <f t="shared" ca="1" si="18"/>
        <v>0</v>
      </c>
      <c r="AA156" s="28"/>
      <c r="AB156" s="28"/>
      <c r="AC156" s="28"/>
      <c r="AD156" s="28"/>
    </row>
    <row r="157" spans="1:30">
      <c r="A157" s="3" t="s">
        <v>31</v>
      </c>
      <c r="B157" s="4">
        <v>41872</v>
      </c>
      <c r="C157" s="3">
        <v>9260</v>
      </c>
      <c r="D157" s="3">
        <v>9266</v>
      </c>
      <c r="E157" s="3">
        <v>9200</v>
      </c>
      <c r="F157" s="3">
        <v>9231</v>
      </c>
      <c r="G157" s="3">
        <v>103529</v>
      </c>
      <c r="H157" s="3">
        <v>1.355</v>
      </c>
      <c r="I157" s="2">
        <f t="shared" si="27"/>
        <v>0</v>
      </c>
      <c r="J157" s="10">
        <f t="shared" si="29"/>
        <v>-15</v>
      </c>
      <c r="K157" s="10">
        <f t="shared" si="28"/>
        <v>-29</v>
      </c>
      <c r="L157" s="10">
        <f t="shared" ca="1" si="17"/>
        <v>0</v>
      </c>
      <c r="M157" s="10">
        <f t="shared" ca="1" si="19"/>
        <v>0</v>
      </c>
      <c r="N157" s="30">
        <f t="shared" ca="1" si="20"/>
        <v>0</v>
      </c>
      <c r="O157" s="10">
        <f t="shared" ca="1" si="21"/>
        <v>0</v>
      </c>
      <c r="P157" s="29">
        <f t="shared" ca="1" si="22"/>
        <v>0</v>
      </c>
      <c r="Q157" s="12">
        <f t="shared" ca="1" si="23"/>
        <v>-99400</v>
      </c>
      <c r="R157" s="10">
        <f t="shared" ca="1" si="24"/>
        <v>0</v>
      </c>
      <c r="U157" s="12">
        <f t="shared" ca="1" si="25"/>
        <v>0</v>
      </c>
      <c r="V157" s="14">
        <f t="shared" ca="1" si="26"/>
        <v>0</v>
      </c>
      <c r="X157" s="7">
        <f ca="1">AVERAGE(E157:OFFSET(F157,-$X$5+1,0))</f>
        <v>9197.4</v>
      </c>
      <c r="Y157" s="7">
        <f ca="1">AVERAGE(E157:OFFSET(F157,-$Y$5+1,0))</f>
        <v>9163.5</v>
      </c>
      <c r="Z157" s="7">
        <f t="shared" ca="1" si="18"/>
        <v>0</v>
      </c>
      <c r="AA157" s="28"/>
      <c r="AB157" s="28"/>
      <c r="AC157" s="28"/>
      <c r="AD157" s="28"/>
    </row>
    <row r="158" spans="1:30">
      <c r="A158" s="3" t="s">
        <v>31</v>
      </c>
      <c r="B158" s="4">
        <v>41873</v>
      </c>
      <c r="C158" s="3">
        <v>9249</v>
      </c>
      <c r="D158" s="3">
        <v>9388</v>
      </c>
      <c r="E158" s="3">
        <v>9247</v>
      </c>
      <c r="F158" s="3">
        <v>9378</v>
      </c>
      <c r="G158" s="3">
        <v>116443</v>
      </c>
      <c r="H158" s="3">
        <v>1.355</v>
      </c>
      <c r="I158" s="2">
        <f t="shared" si="27"/>
        <v>0</v>
      </c>
      <c r="J158" s="10">
        <f t="shared" si="29"/>
        <v>18</v>
      </c>
      <c r="K158" s="10">
        <f t="shared" si="28"/>
        <v>129</v>
      </c>
      <c r="L158" s="10">
        <f t="shared" ca="1" si="17"/>
        <v>0</v>
      </c>
      <c r="M158" s="10">
        <f t="shared" ca="1" si="19"/>
        <v>0</v>
      </c>
      <c r="N158" s="30">
        <f t="shared" ca="1" si="20"/>
        <v>0</v>
      </c>
      <c r="O158" s="10">
        <f t="shared" ca="1" si="21"/>
        <v>0</v>
      </c>
      <c r="P158" s="29">
        <f t="shared" ca="1" si="22"/>
        <v>0</v>
      </c>
      <c r="Q158" s="12">
        <f t="shared" ca="1" si="23"/>
        <v>-99400</v>
      </c>
      <c r="R158" s="10">
        <f t="shared" ca="1" si="24"/>
        <v>0</v>
      </c>
      <c r="U158" s="12">
        <f t="shared" ca="1" si="25"/>
        <v>0</v>
      </c>
      <c r="V158" s="14">
        <f t="shared" ca="1" si="26"/>
        <v>0</v>
      </c>
      <c r="X158" s="7">
        <f ca="1">AVERAGE(E158:OFFSET(F158,-$X$5+1,0))</f>
        <v>9224.2000000000007</v>
      </c>
      <c r="Y158" s="7">
        <f ca="1">AVERAGE(E158:OFFSET(F158,-$Y$5+1,0))</f>
        <v>9190.7000000000007</v>
      </c>
      <c r="Z158" s="7">
        <f t="shared" ca="1" si="18"/>
        <v>0</v>
      </c>
      <c r="AA158" s="28"/>
      <c r="AB158" s="28"/>
      <c r="AC158" s="28"/>
      <c r="AD158" s="28"/>
    </row>
    <row r="159" spans="1:30">
      <c r="A159" s="3" t="s">
        <v>31</v>
      </c>
      <c r="B159" s="4">
        <v>41876</v>
      </c>
      <c r="C159" s="3">
        <v>9386</v>
      </c>
      <c r="D159" s="3">
        <v>9399</v>
      </c>
      <c r="E159" s="3">
        <v>9365</v>
      </c>
      <c r="F159" s="3">
        <v>9391</v>
      </c>
      <c r="G159" s="3">
        <v>61977</v>
      </c>
      <c r="H159" s="3">
        <v>1.355</v>
      </c>
      <c r="I159" s="2">
        <f t="shared" si="27"/>
        <v>0</v>
      </c>
      <c r="J159" s="10">
        <f t="shared" si="29"/>
        <v>8</v>
      </c>
      <c r="K159" s="10">
        <f t="shared" si="28"/>
        <v>5</v>
      </c>
      <c r="L159" s="10">
        <f t="shared" ca="1" si="17"/>
        <v>0</v>
      </c>
      <c r="M159" s="10">
        <f t="shared" ca="1" si="19"/>
        <v>0</v>
      </c>
      <c r="N159" s="30">
        <f t="shared" ca="1" si="20"/>
        <v>0</v>
      </c>
      <c r="O159" s="10">
        <f t="shared" ca="1" si="21"/>
        <v>0</v>
      </c>
      <c r="P159" s="29">
        <f t="shared" ca="1" si="22"/>
        <v>0</v>
      </c>
      <c r="Q159" s="12">
        <f t="shared" ca="1" si="23"/>
        <v>-99400</v>
      </c>
      <c r="R159" s="10">
        <f t="shared" ca="1" si="24"/>
        <v>0</v>
      </c>
      <c r="U159" s="12">
        <f t="shared" ca="1" si="25"/>
        <v>0</v>
      </c>
      <c r="V159" s="14">
        <f t="shared" ca="1" si="26"/>
        <v>0</v>
      </c>
      <c r="X159" s="7">
        <f ca="1">AVERAGE(E159:OFFSET(F159,-$X$5+1,0))</f>
        <v>9273.1</v>
      </c>
      <c r="Y159" s="7">
        <f ca="1">AVERAGE(E159:OFFSET(F159,-$Y$5+1,0))</f>
        <v>9215.9500000000007</v>
      </c>
      <c r="Z159" s="7">
        <f t="shared" ca="1" si="18"/>
        <v>0</v>
      </c>
      <c r="AA159" s="28"/>
      <c r="AB159" s="28"/>
      <c r="AC159" s="28"/>
      <c r="AD159" s="28"/>
    </row>
    <row r="160" spans="1:30">
      <c r="A160" s="3" t="s">
        <v>31</v>
      </c>
      <c r="B160" s="4">
        <v>41877</v>
      </c>
      <c r="C160" s="3">
        <v>9386</v>
      </c>
      <c r="D160" s="3">
        <v>9408</v>
      </c>
      <c r="E160" s="3">
        <v>9375</v>
      </c>
      <c r="F160" s="3">
        <v>9390</v>
      </c>
      <c r="G160" s="3">
        <v>57561</v>
      </c>
      <c r="H160" s="3">
        <v>1.355</v>
      </c>
      <c r="I160" s="2">
        <f t="shared" si="27"/>
        <v>0</v>
      </c>
      <c r="J160" s="10">
        <f t="shared" si="29"/>
        <v>-5</v>
      </c>
      <c r="K160" s="10">
        <f t="shared" si="28"/>
        <v>4</v>
      </c>
      <c r="L160" s="10">
        <f t="shared" ca="1" si="17"/>
        <v>0</v>
      </c>
      <c r="M160" s="10">
        <f t="shared" ca="1" si="19"/>
        <v>0</v>
      </c>
      <c r="N160" s="30">
        <f t="shared" ca="1" si="20"/>
        <v>0</v>
      </c>
      <c r="O160" s="10">
        <f t="shared" ca="1" si="21"/>
        <v>0</v>
      </c>
      <c r="P160" s="29">
        <f t="shared" ca="1" si="22"/>
        <v>0</v>
      </c>
      <c r="Q160" s="12">
        <f t="shared" ca="1" si="23"/>
        <v>-99400</v>
      </c>
      <c r="R160" s="10">
        <f t="shared" ca="1" si="24"/>
        <v>0</v>
      </c>
      <c r="U160" s="12">
        <f t="shared" ca="1" si="25"/>
        <v>0</v>
      </c>
      <c r="V160" s="14">
        <f t="shared" ca="1" si="26"/>
        <v>0</v>
      </c>
      <c r="X160" s="7">
        <f ca="1">AVERAGE(E160:OFFSET(F160,-$X$5+1,0))</f>
        <v>9309.6</v>
      </c>
      <c r="Y160" s="7">
        <f ca="1">AVERAGE(E160:OFFSET(F160,-$Y$5+1,0))</f>
        <v>9243</v>
      </c>
      <c r="Z160" s="7">
        <f t="shared" ca="1" si="18"/>
        <v>0</v>
      </c>
      <c r="AA160" s="28"/>
      <c r="AB160" s="28"/>
      <c r="AC160" s="28"/>
      <c r="AD160" s="28"/>
    </row>
    <row r="161" spans="1:30">
      <c r="A161" s="3" t="s">
        <v>31</v>
      </c>
      <c r="B161" s="4">
        <v>41878</v>
      </c>
      <c r="C161" s="3">
        <v>9421</v>
      </c>
      <c r="D161" s="3">
        <v>9498</v>
      </c>
      <c r="E161" s="3">
        <v>9420</v>
      </c>
      <c r="F161" s="3">
        <v>9477</v>
      </c>
      <c r="G161" s="3">
        <v>96315</v>
      </c>
      <c r="H161" s="3">
        <v>1.355</v>
      </c>
      <c r="I161" s="2">
        <f t="shared" si="27"/>
        <v>0</v>
      </c>
      <c r="J161" s="10">
        <f t="shared" si="29"/>
        <v>31</v>
      </c>
      <c r="K161" s="10">
        <f t="shared" si="28"/>
        <v>56</v>
      </c>
      <c r="L161" s="10">
        <f t="shared" ca="1" si="17"/>
        <v>0</v>
      </c>
      <c r="M161" s="10">
        <f t="shared" ca="1" si="19"/>
        <v>0</v>
      </c>
      <c r="N161" s="30">
        <f t="shared" ca="1" si="20"/>
        <v>0</v>
      </c>
      <c r="O161" s="10">
        <f t="shared" ca="1" si="21"/>
        <v>0</v>
      </c>
      <c r="P161" s="29">
        <f t="shared" ca="1" si="22"/>
        <v>0</v>
      </c>
      <c r="Q161" s="12">
        <f t="shared" ca="1" si="23"/>
        <v>-99400</v>
      </c>
      <c r="R161" s="10">
        <f t="shared" ca="1" si="24"/>
        <v>0</v>
      </c>
      <c r="U161" s="12">
        <f t="shared" ca="1" si="25"/>
        <v>0</v>
      </c>
      <c r="V161" s="14">
        <f t="shared" ca="1" si="26"/>
        <v>0</v>
      </c>
      <c r="X161" s="7">
        <f ca="1">AVERAGE(E161:OFFSET(F161,-$X$5+1,0))</f>
        <v>9347.4</v>
      </c>
      <c r="Y161" s="7">
        <f ca="1">AVERAGE(E161:OFFSET(F161,-$Y$5+1,0))</f>
        <v>9271.9</v>
      </c>
      <c r="Z161" s="7">
        <f t="shared" ca="1" si="18"/>
        <v>0</v>
      </c>
      <c r="AA161" s="28"/>
      <c r="AB161" s="28"/>
      <c r="AC161" s="28"/>
      <c r="AD161" s="28"/>
    </row>
    <row r="162" spans="1:30">
      <c r="A162" s="3" t="s">
        <v>31</v>
      </c>
      <c r="B162" s="4">
        <v>41879</v>
      </c>
      <c r="C162" s="3">
        <v>9492</v>
      </c>
      <c r="D162" s="3">
        <v>9500</v>
      </c>
      <c r="E162" s="3">
        <v>9469</v>
      </c>
      <c r="F162" s="3">
        <v>9479</v>
      </c>
      <c r="G162" s="3">
        <v>60649</v>
      </c>
      <c r="H162" s="3">
        <v>1.355</v>
      </c>
      <c r="I162" s="2">
        <f t="shared" si="27"/>
        <v>0</v>
      </c>
      <c r="J162" s="10">
        <f t="shared" si="29"/>
        <v>15</v>
      </c>
      <c r="K162" s="10">
        <f t="shared" si="28"/>
        <v>-13</v>
      </c>
      <c r="L162" s="10">
        <f t="shared" ca="1" si="17"/>
        <v>0</v>
      </c>
      <c r="M162" s="10">
        <f t="shared" ca="1" si="19"/>
        <v>0</v>
      </c>
      <c r="N162" s="30">
        <f t="shared" ca="1" si="20"/>
        <v>0</v>
      </c>
      <c r="O162" s="10">
        <f t="shared" ca="1" si="21"/>
        <v>0</v>
      </c>
      <c r="P162" s="29">
        <f t="shared" ca="1" si="22"/>
        <v>0</v>
      </c>
      <c r="Q162" s="12">
        <f t="shared" ca="1" si="23"/>
        <v>-99400</v>
      </c>
      <c r="R162" s="10">
        <f t="shared" ca="1" si="24"/>
        <v>0</v>
      </c>
      <c r="U162" s="12">
        <f t="shared" ca="1" si="25"/>
        <v>0</v>
      </c>
      <c r="V162" s="14">
        <f t="shared" ca="1" si="26"/>
        <v>0</v>
      </c>
      <c r="X162" s="7">
        <f ca="1">AVERAGE(E162:OFFSET(F162,-$X$5+1,0))</f>
        <v>9399.1</v>
      </c>
      <c r="Y162" s="7">
        <f ca="1">AVERAGE(E162:OFFSET(F162,-$Y$5+1,0))</f>
        <v>9298.25</v>
      </c>
      <c r="Z162" s="7">
        <f t="shared" ca="1" si="18"/>
        <v>0</v>
      </c>
      <c r="AA162" s="28"/>
      <c r="AB162" s="28"/>
      <c r="AC162" s="28"/>
      <c r="AD162" s="28"/>
    </row>
    <row r="163" spans="1:30">
      <c r="A163" s="3" t="s">
        <v>31</v>
      </c>
      <c r="B163" s="4">
        <v>41880</v>
      </c>
      <c r="C163" s="3">
        <v>9456</v>
      </c>
      <c r="D163" s="3">
        <v>9485</v>
      </c>
      <c r="E163" s="3">
        <v>9432</v>
      </c>
      <c r="F163" s="3">
        <v>9473</v>
      </c>
      <c r="G163" s="3">
        <v>77443</v>
      </c>
      <c r="H163" s="3">
        <v>1.355</v>
      </c>
      <c r="I163" s="2">
        <f t="shared" si="27"/>
        <v>0</v>
      </c>
      <c r="J163" s="10">
        <f t="shared" si="29"/>
        <v>-23</v>
      </c>
      <c r="K163" s="10">
        <f t="shared" si="28"/>
        <v>17</v>
      </c>
      <c r="L163" s="10">
        <f t="shared" ca="1" si="17"/>
        <v>0</v>
      </c>
      <c r="M163" s="10">
        <f t="shared" ca="1" si="19"/>
        <v>0</v>
      </c>
      <c r="N163" s="30">
        <f t="shared" ca="1" si="20"/>
        <v>0</v>
      </c>
      <c r="O163" s="10">
        <f t="shared" ca="1" si="21"/>
        <v>0</v>
      </c>
      <c r="P163" s="29">
        <f t="shared" ca="1" si="22"/>
        <v>0</v>
      </c>
      <c r="Q163" s="12">
        <f t="shared" ca="1" si="23"/>
        <v>-99400</v>
      </c>
      <c r="R163" s="10">
        <f t="shared" ca="1" si="24"/>
        <v>0</v>
      </c>
      <c r="U163" s="12">
        <f t="shared" ca="1" si="25"/>
        <v>0</v>
      </c>
      <c r="V163" s="14">
        <f t="shared" ca="1" si="26"/>
        <v>0</v>
      </c>
      <c r="X163" s="7">
        <f ca="1">AVERAGE(E163:OFFSET(F163,-$X$5+1,0))</f>
        <v>9427.1</v>
      </c>
      <c r="Y163" s="7">
        <f ca="1">AVERAGE(E163:OFFSET(F163,-$Y$5+1,0))</f>
        <v>9325.65</v>
      </c>
      <c r="Z163" s="7">
        <f t="shared" ca="1" si="18"/>
        <v>0</v>
      </c>
      <c r="AA163" s="28"/>
      <c r="AB163" s="28"/>
      <c r="AC163" s="28"/>
      <c r="AD163" s="28"/>
    </row>
    <row r="164" spans="1:30">
      <c r="A164" s="3" t="s">
        <v>31</v>
      </c>
      <c r="B164" s="4">
        <v>41883</v>
      </c>
      <c r="C164" s="3">
        <v>9473</v>
      </c>
      <c r="D164" s="3">
        <v>9550</v>
      </c>
      <c r="E164" s="3">
        <v>9470</v>
      </c>
      <c r="F164" s="3">
        <v>9528</v>
      </c>
      <c r="G164" s="3">
        <v>68798</v>
      </c>
      <c r="H164" s="3">
        <v>1.355</v>
      </c>
      <c r="I164" s="2">
        <f t="shared" si="27"/>
        <v>0</v>
      </c>
      <c r="J164" s="10">
        <f t="shared" si="29"/>
        <v>0</v>
      </c>
      <c r="K164" s="10">
        <f t="shared" si="28"/>
        <v>55</v>
      </c>
      <c r="L164" s="10">
        <f t="shared" ca="1" si="17"/>
        <v>0</v>
      </c>
      <c r="M164" s="10">
        <f t="shared" ca="1" si="19"/>
        <v>0</v>
      </c>
      <c r="N164" s="30">
        <f t="shared" ca="1" si="20"/>
        <v>0</v>
      </c>
      <c r="O164" s="10">
        <f t="shared" ca="1" si="21"/>
        <v>0</v>
      </c>
      <c r="P164" s="29">
        <f t="shared" ca="1" si="22"/>
        <v>0</v>
      </c>
      <c r="Q164" s="12">
        <f t="shared" ca="1" si="23"/>
        <v>-99400</v>
      </c>
      <c r="R164" s="10">
        <f t="shared" ca="1" si="24"/>
        <v>0</v>
      </c>
      <c r="U164" s="12">
        <f t="shared" ca="1" si="25"/>
        <v>0</v>
      </c>
      <c r="V164" s="14">
        <f t="shared" ca="1" si="26"/>
        <v>0</v>
      </c>
      <c r="X164" s="7">
        <f ca="1">AVERAGE(E164:OFFSET(F164,-$X$5+1,0))</f>
        <v>9451.2999999999993</v>
      </c>
      <c r="Y164" s="7">
        <f ca="1">AVERAGE(E164:OFFSET(F164,-$Y$5+1,0))</f>
        <v>9362.2000000000007</v>
      </c>
      <c r="Z164" s="7">
        <f t="shared" ca="1" si="18"/>
        <v>0</v>
      </c>
      <c r="AA164" s="28"/>
      <c r="AB164" s="28"/>
      <c r="AC164" s="28"/>
      <c r="AD164" s="28"/>
    </row>
    <row r="165" spans="1:30">
      <c r="A165" s="3" t="s">
        <v>31</v>
      </c>
      <c r="B165" s="4">
        <v>41884</v>
      </c>
      <c r="C165" s="3">
        <v>9512</v>
      </c>
      <c r="D165" s="3">
        <v>9514</v>
      </c>
      <c r="E165" s="3">
        <v>9388</v>
      </c>
      <c r="F165" s="3">
        <v>9410</v>
      </c>
      <c r="G165" s="3">
        <v>125697</v>
      </c>
      <c r="H165" s="3">
        <v>1.355</v>
      </c>
      <c r="I165" s="2">
        <f t="shared" si="27"/>
        <v>0</v>
      </c>
      <c r="J165" s="10">
        <f t="shared" si="29"/>
        <v>-16</v>
      </c>
      <c r="K165" s="10">
        <f t="shared" si="28"/>
        <v>-102</v>
      </c>
      <c r="L165" s="10">
        <f t="shared" ca="1" si="17"/>
        <v>0</v>
      </c>
      <c r="M165" s="10">
        <f t="shared" ca="1" si="19"/>
        <v>0</v>
      </c>
      <c r="N165" s="30">
        <f t="shared" ca="1" si="20"/>
        <v>0</v>
      </c>
      <c r="O165" s="10">
        <f t="shared" ca="1" si="21"/>
        <v>0</v>
      </c>
      <c r="P165" s="29">
        <f t="shared" ca="1" si="22"/>
        <v>0</v>
      </c>
      <c r="Q165" s="12">
        <f t="shared" ca="1" si="23"/>
        <v>-99400</v>
      </c>
      <c r="R165" s="10">
        <f t="shared" ca="1" si="24"/>
        <v>0</v>
      </c>
      <c r="U165" s="12">
        <f t="shared" ca="1" si="25"/>
        <v>0</v>
      </c>
      <c r="V165" s="14">
        <f t="shared" ca="1" si="26"/>
        <v>0</v>
      </c>
      <c r="X165" s="7">
        <f ca="1">AVERAGE(E165:OFFSET(F165,-$X$5+1,0))</f>
        <v>9454.6</v>
      </c>
      <c r="Y165" s="7">
        <f ca="1">AVERAGE(E165:OFFSET(F165,-$Y$5+1,0))</f>
        <v>9382.1</v>
      </c>
      <c r="Z165" s="7">
        <f t="shared" ca="1" si="18"/>
        <v>0</v>
      </c>
      <c r="AA165" s="28"/>
      <c r="AB165" s="28"/>
      <c r="AC165" s="28"/>
      <c r="AD165" s="28"/>
    </row>
    <row r="166" spans="1:30">
      <c r="A166" s="3" t="s">
        <v>31</v>
      </c>
      <c r="B166" s="4">
        <v>41885</v>
      </c>
      <c r="C166" s="3">
        <v>9415</v>
      </c>
      <c r="D166" s="3">
        <v>9482</v>
      </c>
      <c r="E166" s="3">
        <v>9399</v>
      </c>
      <c r="F166" s="3">
        <v>9451</v>
      </c>
      <c r="G166" s="3">
        <v>101507</v>
      </c>
      <c r="H166" s="3">
        <v>1.355</v>
      </c>
      <c r="I166" s="2">
        <f t="shared" si="27"/>
        <v>0</v>
      </c>
      <c r="J166" s="10">
        <f t="shared" si="29"/>
        <v>5</v>
      </c>
      <c r="K166" s="10">
        <f t="shared" si="28"/>
        <v>36</v>
      </c>
      <c r="L166" s="10">
        <f t="shared" ca="1" si="17"/>
        <v>0</v>
      </c>
      <c r="M166" s="10">
        <f t="shared" ca="1" si="19"/>
        <v>0</v>
      </c>
      <c r="N166" s="30">
        <f t="shared" ca="1" si="20"/>
        <v>0</v>
      </c>
      <c r="O166" s="10">
        <f t="shared" ca="1" si="21"/>
        <v>0</v>
      </c>
      <c r="P166" s="29">
        <f t="shared" ca="1" si="22"/>
        <v>0</v>
      </c>
      <c r="Q166" s="12">
        <f t="shared" ca="1" si="23"/>
        <v>-99400</v>
      </c>
      <c r="R166" s="10">
        <f t="shared" ca="1" si="24"/>
        <v>0</v>
      </c>
      <c r="U166" s="12">
        <f t="shared" ca="1" si="25"/>
        <v>0</v>
      </c>
      <c r="V166" s="14">
        <f t="shared" ca="1" si="26"/>
        <v>0</v>
      </c>
      <c r="X166" s="7">
        <f ca="1">AVERAGE(E166:OFFSET(F166,-$X$5+1,0))</f>
        <v>9449.9</v>
      </c>
      <c r="Y166" s="7">
        <f ca="1">AVERAGE(E166:OFFSET(F166,-$Y$5+1,0))</f>
        <v>9398.65</v>
      </c>
      <c r="Z166" s="7">
        <f t="shared" ca="1" si="18"/>
        <v>0</v>
      </c>
      <c r="AA166" s="28"/>
      <c r="AB166" s="28"/>
      <c r="AC166" s="28"/>
      <c r="AD166" s="28"/>
    </row>
    <row r="167" spans="1:30">
      <c r="A167" s="3" t="s">
        <v>31</v>
      </c>
      <c r="B167" s="4">
        <v>41886</v>
      </c>
      <c r="C167" s="3">
        <v>9447</v>
      </c>
      <c r="D167" s="3">
        <v>9448</v>
      </c>
      <c r="E167" s="3">
        <v>9380</v>
      </c>
      <c r="F167" s="3">
        <v>9425</v>
      </c>
      <c r="G167" s="3">
        <v>96821</v>
      </c>
      <c r="H167" s="3">
        <v>1.355</v>
      </c>
      <c r="I167" s="2">
        <f t="shared" si="27"/>
        <v>0</v>
      </c>
      <c r="J167" s="10">
        <f t="shared" si="29"/>
        <v>-4</v>
      </c>
      <c r="K167" s="10">
        <f t="shared" si="28"/>
        <v>-22</v>
      </c>
      <c r="L167" s="10">
        <f t="shared" ca="1" si="17"/>
        <v>0</v>
      </c>
      <c r="M167" s="10">
        <f t="shared" ca="1" si="19"/>
        <v>0</v>
      </c>
      <c r="N167" s="30">
        <f t="shared" ca="1" si="20"/>
        <v>0</v>
      </c>
      <c r="O167" s="10">
        <f t="shared" ca="1" si="21"/>
        <v>0</v>
      </c>
      <c r="P167" s="29">
        <f t="shared" ca="1" si="22"/>
        <v>0</v>
      </c>
      <c r="Q167" s="12">
        <f t="shared" ca="1" si="23"/>
        <v>-99400</v>
      </c>
      <c r="R167" s="10">
        <f t="shared" ca="1" si="24"/>
        <v>0</v>
      </c>
      <c r="U167" s="12">
        <f t="shared" ca="1" si="25"/>
        <v>0</v>
      </c>
      <c r="V167" s="14">
        <f t="shared" ca="1" si="26"/>
        <v>0</v>
      </c>
      <c r="X167" s="7">
        <f ca="1">AVERAGE(E167:OFFSET(F167,-$X$5+1,0))</f>
        <v>9435.6</v>
      </c>
      <c r="Y167" s="7">
        <f ca="1">AVERAGE(E167:OFFSET(F167,-$Y$5+1,0))</f>
        <v>9417.35</v>
      </c>
      <c r="Z167" s="7">
        <f t="shared" ca="1" si="18"/>
        <v>0</v>
      </c>
      <c r="AA167" s="28"/>
      <c r="AB167" s="28"/>
      <c r="AC167" s="28"/>
      <c r="AD167" s="28"/>
    </row>
    <row r="168" spans="1:30">
      <c r="A168" s="3" t="s">
        <v>31</v>
      </c>
      <c r="B168" s="4">
        <v>41887</v>
      </c>
      <c r="C168" s="3">
        <v>9444</v>
      </c>
      <c r="D168" s="3">
        <v>9463</v>
      </c>
      <c r="E168" s="3">
        <v>9370</v>
      </c>
      <c r="F168" s="3">
        <v>9407</v>
      </c>
      <c r="G168" s="3">
        <v>104786</v>
      </c>
      <c r="H168" s="3">
        <v>1.355</v>
      </c>
      <c r="I168" s="2">
        <f t="shared" si="27"/>
        <v>0</v>
      </c>
      <c r="J168" s="10">
        <f t="shared" si="29"/>
        <v>19</v>
      </c>
      <c r="K168" s="10">
        <f t="shared" si="28"/>
        <v>-37</v>
      </c>
      <c r="L168" s="10">
        <f t="shared" ca="1" si="17"/>
        <v>-1</v>
      </c>
      <c r="M168" s="10">
        <f t="shared" ca="1" si="19"/>
        <v>0</v>
      </c>
      <c r="N168" s="30">
        <f t="shared" ca="1" si="20"/>
        <v>0</v>
      </c>
      <c r="O168" s="10">
        <f t="shared" ca="1" si="21"/>
        <v>0</v>
      </c>
      <c r="P168" s="29">
        <f t="shared" ca="1" si="22"/>
        <v>0</v>
      </c>
      <c r="Q168" s="12">
        <f t="shared" ca="1" si="23"/>
        <v>-99400</v>
      </c>
      <c r="R168" s="10">
        <f t="shared" ca="1" si="24"/>
        <v>0</v>
      </c>
      <c r="U168" s="12">
        <f t="shared" ca="1" si="25"/>
        <v>0</v>
      </c>
      <c r="V168" s="14">
        <f t="shared" ca="1" si="26"/>
        <v>0</v>
      </c>
      <c r="X168" s="7">
        <f ca="1">AVERAGE(E168:OFFSET(F168,-$X$5+1,0))</f>
        <v>9422.7999999999993</v>
      </c>
      <c r="Y168" s="7">
        <f ca="1">AVERAGE(E168:OFFSET(F168,-$Y$5+1,0))</f>
        <v>9424.9500000000007</v>
      </c>
      <c r="Z168" s="7">
        <f t="shared" ca="1" si="18"/>
        <v>-1</v>
      </c>
      <c r="AA168" s="28"/>
      <c r="AB168" s="28"/>
      <c r="AC168" s="28"/>
      <c r="AD168" s="28"/>
    </row>
    <row r="169" spans="1:30">
      <c r="A169" s="3" t="s">
        <v>31</v>
      </c>
      <c r="B169" s="4">
        <v>41891</v>
      </c>
      <c r="C169" s="3">
        <v>9426</v>
      </c>
      <c r="D169" s="3">
        <v>9530</v>
      </c>
      <c r="E169" s="3">
        <v>9425</v>
      </c>
      <c r="F169" s="3">
        <v>9428</v>
      </c>
      <c r="G169" s="3">
        <v>78139</v>
      </c>
      <c r="H169" s="3">
        <v>1.355</v>
      </c>
      <c r="I169" s="2">
        <f t="shared" si="27"/>
        <v>0</v>
      </c>
      <c r="J169" s="10">
        <f t="shared" si="29"/>
        <v>19</v>
      </c>
      <c r="K169" s="10">
        <f t="shared" si="28"/>
        <v>2</v>
      </c>
      <c r="L169" s="10">
        <f t="shared" ca="1" si="17"/>
        <v>0</v>
      </c>
      <c r="M169" s="10">
        <f t="shared" ca="1" si="19"/>
        <v>-1</v>
      </c>
      <c r="N169" s="30">
        <f t="shared" ca="1" si="20"/>
        <v>0</v>
      </c>
      <c r="O169" s="10">
        <f t="shared" ca="1" si="21"/>
        <v>1885200</v>
      </c>
      <c r="P169" s="29">
        <f t="shared" ca="1" si="22"/>
        <v>-900</v>
      </c>
      <c r="Q169" s="12">
        <f t="shared" ca="1" si="23"/>
        <v>-100300</v>
      </c>
      <c r="R169" s="10">
        <f t="shared" ca="1" si="24"/>
        <v>-4.7740292807129214E-2</v>
      </c>
      <c r="U169" s="12">
        <f t="shared" ca="1" si="25"/>
        <v>0</v>
      </c>
      <c r="V169" s="14">
        <f t="shared" ca="1" si="26"/>
        <v>0</v>
      </c>
      <c r="X169" s="7">
        <f ca="1">AVERAGE(E169:OFFSET(F169,-$X$5+1,0))</f>
        <v>9408.2999999999993</v>
      </c>
      <c r="Y169" s="7">
        <f ca="1">AVERAGE(E169:OFFSET(F169,-$Y$5+1,0))</f>
        <v>9429.7999999999993</v>
      </c>
      <c r="Z169" s="7">
        <f t="shared" ca="1" si="18"/>
        <v>0</v>
      </c>
      <c r="AA169" s="28"/>
      <c r="AB169" s="28"/>
      <c r="AC169" s="28"/>
      <c r="AD169" s="28"/>
    </row>
    <row r="170" spans="1:30">
      <c r="A170" s="3" t="s">
        <v>31</v>
      </c>
      <c r="B170" s="4">
        <v>41892</v>
      </c>
      <c r="C170" s="3">
        <v>9380</v>
      </c>
      <c r="D170" s="3">
        <v>9402</v>
      </c>
      <c r="E170" s="3">
        <v>9310</v>
      </c>
      <c r="F170" s="3">
        <v>9347</v>
      </c>
      <c r="G170" s="3">
        <v>106510</v>
      </c>
      <c r="H170" s="3">
        <v>1.355</v>
      </c>
      <c r="I170" s="2">
        <f t="shared" si="27"/>
        <v>0</v>
      </c>
      <c r="J170" s="10">
        <f t="shared" si="29"/>
        <v>-48</v>
      </c>
      <c r="K170" s="10">
        <f t="shared" si="28"/>
        <v>-33</v>
      </c>
      <c r="L170" s="10">
        <f t="shared" ca="1" si="17"/>
        <v>0</v>
      </c>
      <c r="M170" s="10">
        <f t="shared" ca="1" si="19"/>
        <v>-1</v>
      </c>
      <c r="N170" s="30">
        <f t="shared" ca="1" si="20"/>
        <v>0</v>
      </c>
      <c r="O170" s="10">
        <f t="shared" ca="1" si="21"/>
        <v>1885200</v>
      </c>
      <c r="P170" s="29">
        <f t="shared" ca="1" si="22"/>
        <v>16200</v>
      </c>
      <c r="Q170" s="12">
        <f t="shared" ca="1" si="23"/>
        <v>-84100</v>
      </c>
      <c r="R170" s="10">
        <f t="shared" ca="1" si="24"/>
        <v>0.85932527052832586</v>
      </c>
      <c r="U170" s="12">
        <f t="shared" ca="1" si="25"/>
        <v>0</v>
      </c>
      <c r="V170" s="14">
        <f t="shared" ca="1" si="26"/>
        <v>0</v>
      </c>
      <c r="X170" s="7">
        <f ca="1">AVERAGE(E170:OFFSET(F170,-$X$5+1,0))</f>
        <v>9394.2000000000007</v>
      </c>
      <c r="Y170" s="7">
        <f ca="1">AVERAGE(E170:OFFSET(F170,-$Y$5+1,0))</f>
        <v>9424.4</v>
      </c>
      <c r="Z170" s="7">
        <f t="shared" ca="1" si="18"/>
        <v>0</v>
      </c>
      <c r="AA170" s="28"/>
      <c r="AB170" s="28"/>
      <c r="AC170" s="28"/>
      <c r="AD170" s="28"/>
    </row>
    <row r="171" spans="1:30">
      <c r="A171" s="3" t="s">
        <v>31</v>
      </c>
      <c r="B171" s="4">
        <v>41893</v>
      </c>
      <c r="C171" s="3">
        <v>9376</v>
      </c>
      <c r="D171" s="3">
        <v>9385</v>
      </c>
      <c r="E171" s="3">
        <v>9300</v>
      </c>
      <c r="F171" s="3">
        <v>9302</v>
      </c>
      <c r="G171" s="3">
        <v>75048</v>
      </c>
      <c r="H171" s="3">
        <v>1.355</v>
      </c>
      <c r="I171" s="2">
        <f t="shared" si="27"/>
        <v>0</v>
      </c>
      <c r="J171" s="10">
        <f t="shared" si="29"/>
        <v>29</v>
      </c>
      <c r="K171" s="10">
        <f t="shared" si="28"/>
        <v>-74</v>
      </c>
      <c r="L171" s="10">
        <f t="shared" ca="1" si="17"/>
        <v>0</v>
      </c>
      <c r="M171" s="10">
        <f t="shared" ca="1" si="19"/>
        <v>-1</v>
      </c>
      <c r="N171" s="30">
        <f t="shared" ca="1" si="20"/>
        <v>0</v>
      </c>
      <c r="O171" s="10">
        <f t="shared" ca="1" si="21"/>
        <v>1885200</v>
      </c>
      <c r="P171" s="29">
        <f t="shared" ca="1" si="22"/>
        <v>9000</v>
      </c>
      <c r="Q171" s="12">
        <f t="shared" ca="1" si="23"/>
        <v>-75100</v>
      </c>
      <c r="R171" s="10">
        <f t="shared" ca="1" si="24"/>
        <v>0.47740292807129214</v>
      </c>
      <c r="U171" s="12">
        <f t="shared" ca="1" si="25"/>
        <v>0</v>
      </c>
      <c r="V171" s="14">
        <f t="shared" ca="1" si="26"/>
        <v>0</v>
      </c>
      <c r="X171" s="7">
        <f ca="1">AVERAGE(E171:OFFSET(F171,-$X$5+1,0))</f>
        <v>9369.4</v>
      </c>
      <c r="Y171" s="7">
        <f ca="1">AVERAGE(E171:OFFSET(F171,-$Y$5+1,0))</f>
        <v>9409.65</v>
      </c>
      <c r="Z171" s="7">
        <f t="shared" ca="1" si="18"/>
        <v>0</v>
      </c>
      <c r="AA171" s="28"/>
      <c r="AB171" s="28"/>
      <c r="AC171" s="28"/>
      <c r="AD171" s="28"/>
    </row>
    <row r="172" spans="1:30">
      <c r="A172" s="3" t="s">
        <v>31</v>
      </c>
      <c r="B172" s="4">
        <v>41894</v>
      </c>
      <c r="C172" s="3">
        <v>9325</v>
      </c>
      <c r="D172" s="3">
        <v>9328</v>
      </c>
      <c r="E172" s="3">
        <v>9229</v>
      </c>
      <c r="F172" s="3">
        <v>9245</v>
      </c>
      <c r="G172" s="3">
        <v>121575</v>
      </c>
      <c r="H172" s="3">
        <v>1.355</v>
      </c>
      <c r="I172" s="2">
        <f t="shared" si="27"/>
        <v>0</v>
      </c>
      <c r="J172" s="10">
        <f t="shared" si="29"/>
        <v>23</v>
      </c>
      <c r="K172" s="10">
        <f t="shared" si="28"/>
        <v>-80</v>
      </c>
      <c r="L172" s="10">
        <f t="shared" ca="1" si="17"/>
        <v>0</v>
      </c>
      <c r="M172" s="10">
        <f t="shared" ca="1" si="19"/>
        <v>-1</v>
      </c>
      <c r="N172" s="30">
        <f t="shared" ca="1" si="20"/>
        <v>0</v>
      </c>
      <c r="O172" s="10">
        <f t="shared" ca="1" si="21"/>
        <v>1885200</v>
      </c>
      <c r="P172" s="29">
        <f t="shared" ca="1" si="22"/>
        <v>11400</v>
      </c>
      <c r="Q172" s="12">
        <f t="shared" ca="1" si="23"/>
        <v>-63700</v>
      </c>
      <c r="R172" s="10">
        <f t="shared" ca="1" si="24"/>
        <v>0.60471037555697005</v>
      </c>
      <c r="U172" s="12">
        <f t="shared" ca="1" si="25"/>
        <v>0</v>
      </c>
      <c r="V172" s="14">
        <f t="shared" ca="1" si="26"/>
        <v>0</v>
      </c>
      <c r="X172" s="7">
        <f ca="1">AVERAGE(E172:OFFSET(F172,-$X$5+1,0))</f>
        <v>9336.2999999999993</v>
      </c>
      <c r="Y172" s="7">
        <f ca="1">AVERAGE(E172:OFFSET(F172,-$Y$5+1,0))</f>
        <v>9385.9500000000007</v>
      </c>
      <c r="Z172" s="7">
        <f t="shared" ca="1" si="18"/>
        <v>0</v>
      </c>
      <c r="AA172" s="28"/>
      <c r="AB172" s="28"/>
      <c r="AC172" s="28"/>
      <c r="AD172" s="28"/>
    </row>
    <row r="173" spans="1:30">
      <c r="A173" s="3" t="s">
        <v>31</v>
      </c>
      <c r="B173" s="4">
        <v>41897</v>
      </c>
      <c r="C173" s="3">
        <v>9206</v>
      </c>
      <c r="D173" s="3">
        <v>9244</v>
      </c>
      <c r="E173" s="3">
        <v>9172</v>
      </c>
      <c r="F173" s="3">
        <v>9218</v>
      </c>
      <c r="G173" s="3">
        <v>119266</v>
      </c>
      <c r="H173" s="3">
        <v>1.355</v>
      </c>
      <c r="I173" s="2">
        <f t="shared" si="27"/>
        <v>0</v>
      </c>
      <c r="J173" s="10">
        <f t="shared" si="29"/>
        <v>-39</v>
      </c>
      <c r="K173" s="10">
        <f t="shared" si="28"/>
        <v>12</v>
      </c>
      <c r="L173" s="10">
        <f t="shared" ca="1" si="17"/>
        <v>0</v>
      </c>
      <c r="M173" s="10">
        <f t="shared" ca="1" si="19"/>
        <v>-1</v>
      </c>
      <c r="N173" s="30">
        <f t="shared" ca="1" si="20"/>
        <v>0</v>
      </c>
      <c r="O173" s="10">
        <f t="shared" ca="1" si="21"/>
        <v>1885200</v>
      </c>
      <c r="P173" s="29">
        <f t="shared" ca="1" si="22"/>
        <v>5400</v>
      </c>
      <c r="Q173" s="12">
        <f t="shared" ca="1" si="23"/>
        <v>-58300</v>
      </c>
      <c r="R173" s="10">
        <f t="shared" ca="1" si="24"/>
        <v>0.28644175684277529</v>
      </c>
      <c r="U173" s="12">
        <f t="shared" ca="1" si="25"/>
        <v>0</v>
      </c>
      <c r="V173" s="14">
        <f t="shared" ca="1" si="26"/>
        <v>0</v>
      </c>
      <c r="X173" s="7">
        <f ca="1">AVERAGE(E173:OFFSET(F173,-$X$5+1,0))</f>
        <v>9297.6</v>
      </c>
      <c r="Y173" s="7">
        <f ca="1">AVERAGE(E173:OFFSET(F173,-$Y$5+1,0))</f>
        <v>9360.2000000000007</v>
      </c>
      <c r="Z173" s="7">
        <f t="shared" ca="1" si="18"/>
        <v>0</v>
      </c>
      <c r="AA173" s="28"/>
      <c r="AB173" s="28"/>
      <c r="AC173" s="28"/>
      <c r="AD173" s="28"/>
    </row>
    <row r="174" spans="1:30">
      <c r="A174" s="3" t="s">
        <v>31</v>
      </c>
      <c r="B174" s="4">
        <v>41898</v>
      </c>
      <c r="C174" s="3">
        <v>9219</v>
      </c>
      <c r="D174" s="3">
        <v>9233</v>
      </c>
      <c r="E174" s="3">
        <v>9141</v>
      </c>
      <c r="F174" s="3">
        <v>9154</v>
      </c>
      <c r="G174" s="3">
        <v>98071</v>
      </c>
      <c r="H174" s="3">
        <v>1.355</v>
      </c>
      <c r="I174" s="2">
        <f t="shared" si="27"/>
        <v>0</v>
      </c>
      <c r="J174" s="10">
        <f t="shared" si="29"/>
        <v>1</v>
      </c>
      <c r="K174" s="10">
        <f t="shared" si="28"/>
        <v>-65</v>
      </c>
      <c r="L174" s="10">
        <f t="shared" ca="1" si="17"/>
        <v>0</v>
      </c>
      <c r="M174" s="10">
        <f t="shared" ca="1" si="19"/>
        <v>-1</v>
      </c>
      <c r="N174" s="30">
        <f t="shared" ca="1" si="20"/>
        <v>0</v>
      </c>
      <c r="O174" s="10">
        <f t="shared" ca="1" si="21"/>
        <v>1885200</v>
      </c>
      <c r="P174" s="29">
        <f t="shared" ca="1" si="22"/>
        <v>12800</v>
      </c>
      <c r="Q174" s="12">
        <f t="shared" ca="1" si="23"/>
        <v>-45500</v>
      </c>
      <c r="R174" s="10">
        <f t="shared" ca="1" si="24"/>
        <v>0.6789730532569489</v>
      </c>
      <c r="U174" s="12">
        <f t="shared" ca="1" si="25"/>
        <v>0</v>
      </c>
      <c r="V174" s="14">
        <f t="shared" ca="1" si="26"/>
        <v>0</v>
      </c>
      <c r="X174" s="7">
        <f ca="1">AVERAGE(E174:OFFSET(F174,-$X$5+1,0))</f>
        <v>9241.7999999999993</v>
      </c>
      <c r="Y174" s="7">
        <f ca="1">AVERAGE(E174:OFFSET(F174,-$Y$5+1,0))</f>
        <v>9325.0499999999993</v>
      </c>
      <c r="Z174" s="7">
        <f t="shared" ca="1" si="18"/>
        <v>0</v>
      </c>
      <c r="AA174" s="28"/>
      <c r="AB174" s="28"/>
      <c r="AC174" s="28"/>
      <c r="AD174" s="28"/>
    </row>
    <row r="175" spans="1:30">
      <c r="A175" s="3" t="s">
        <v>31</v>
      </c>
      <c r="B175" s="4">
        <v>41899</v>
      </c>
      <c r="C175" s="3">
        <v>9195</v>
      </c>
      <c r="D175" s="3">
        <v>9248</v>
      </c>
      <c r="E175" s="3">
        <v>9148</v>
      </c>
      <c r="F175" s="3">
        <v>9172</v>
      </c>
      <c r="G175" s="3">
        <v>72499</v>
      </c>
      <c r="H175" s="3">
        <v>1.355</v>
      </c>
      <c r="I175" s="2">
        <f t="shared" si="27"/>
        <v>1</v>
      </c>
      <c r="J175" s="10">
        <f t="shared" si="29"/>
        <v>41</v>
      </c>
      <c r="K175" s="10">
        <f t="shared" si="28"/>
        <v>-23</v>
      </c>
      <c r="L175" s="10">
        <f t="shared" ca="1" si="17"/>
        <v>0</v>
      </c>
      <c r="M175" s="10">
        <f t="shared" si="19"/>
        <v>0</v>
      </c>
      <c r="N175" s="30">
        <f t="shared" si="20"/>
        <v>0</v>
      </c>
      <c r="O175" s="10">
        <f t="shared" si="21"/>
        <v>0</v>
      </c>
      <c r="P175" s="29">
        <f t="shared" ca="1" si="22"/>
        <v>-8700</v>
      </c>
      <c r="Q175" s="12">
        <f t="shared" ca="1" si="23"/>
        <v>-54200</v>
      </c>
      <c r="R175" s="10">
        <f t="shared" ca="1" si="24"/>
        <v>-0.4614894971355824</v>
      </c>
      <c r="U175" s="12">
        <f t="shared" ca="1" si="25"/>
        <v>0</v>
      </c>
      <c r="V175" s="14">
        <f t="shared" ca="1" si="26"/>
        <v>0</v>
      </c>
      <c r="X175" s="7">
        <f ca="1">AVERAGE(E175:OFFSET(F175,-$X$5+1,0))</f>
        <v>9208.1</v>
      </c>
      <c r="Y175" s="7">
        <f ca="1">AVERAGE(E175:OFFSET(F175,-$Y$5+1,0))</f>
        <v>9301.15</v>
      </c>
      <c r="Z175" s="7">
        <f t="shared" ca="1" si="18"/>
        <v>0</v>
      </c>
      <c r="AA175" s="28"/>
      <c r="AB175" s="28"/>
      <c r="AC175" s="28"/>
      <c r="AD175" s="28"/>
    </row>
    <row r="176" spans="1:30">
      <c r="A176" s="3" t="s">
        <v>32</v>
      </c>
      <c r="B176" s="4">
        <v>41900</v>
      </c>
      <c r="C176" s="3">
        <v>9234</v>
      </c>
      <c r="D176" s="3">
        <v>9265</v>
      </c>
      <c r="E176" s="3">
        <v>9213</v>
      </c>
      <c r="F176" s="3">
        <v>9243</v>
      </c>
      <c r="G176" s="3">
        <v>90173</v>
      </c>
      <c r="H176" s="3">
        <v>1.355</v>
      </c>
      <c r="I176" s="2">
        <f t="shared" si="27"/>
        <v>0</v>
      </c>
      <c r="J176" s="10">
        <f t="shared" si="29"/>
        <v>62</v>
      </c>
      <c r="K176" s="10">
        <f t="shared" si="28"/>
        <v>9</v>
      </c>
      <c r="L176" s="10">
        <f t="shared" ca="1" si="17"/>
        <v>0</v>
      </c>
      <c r="M176" s="10">
        <f t="shared" ca="1" si="19"/>
        <v>0</v>
      </c>
      <c r="N176" s="30">
        <f t="shared" ca="1" si="20"/>
        <v>0</v>
      </c>
      <c r="O176" s="10">
        <f t="shared" ca="1" si="21"/>
        <v>0</v>
      </c>
      <c r="P176" s="29">
        <f t="shared" ca="1" si="22"/>
        <v>0</v>
      </c>
      <c r="Q176" s="12">
        <f t="shared" ca="1" si="23"/>
        <v>-54200</v>
      </c>
      <c r="R176" s="10">
        <f t="shared" ca="1" si="24"/>
        <v>0</v>
      </c>
      <c r="U176" s="12">
        <f t="shared" ca="1" si="25"/>
        <v>0</v>
      </c>
      <c r="V176" s="14">
        <f t="shared" ca="1" si="26"/>
        <v>0</v>
      </c>
      <c r="X176" s="7">
        <f ca="1">AVERAGE(E176:OFFSET(F176,-$X$5+1,0))</f>
        <v>9193.5</v>
      </c>
      <c r="Y176" s="7">
        <f ca="1">AVERAGE(E176:OFFSET(F176,-$Y$5+1,0))</f>
        <v>9281.4500000000007</v>
      </c>
      <c r="Z176" s="7">
        <f t="shared" ca="1" si="18"/>
        <v>0</v>
      </c>
      <c r="AA176" s="28"/>
      <c r="AB176" s="28"/>
      <c r="AC176" s="28"/>
      <c r="AD176" s="28"/>
    </row>
    <row r="177" spans="1:30">
      <c r="A177" s="3" t="s">
        <v>32</v>
      </c>
      <c r="B177" s="4">
        <v>41901</v>
      </c>
      <c r="C177" s="3">
        <v>9281</v>
      </c>
      <c r="D177" s="3">
        <v>9304</v>
      </c>
      <c r="E177" s="3">
        <v>9240</v>
      </c>
      <c r="F177" s="3">
        <v>9265</v>
      </c>
      <c r="G177" s="3">
        <v>101134</v>
      </c>
      <c r="H177" s="3">
        <v>1.355</v>
      </c>
      <c r="I177" s="2">
        <f t="shared" si="27"/>
        <v>0</v>
      </c>
      <c r="J177" s="10">
        <f t="shared" si="29"/>
        <v>38</v>
      </c>
      <c r="K177" s="10">
        <f t="shared" si="28"/>
        <v>-16</v>
      </c>
      <c r="L177" s="10">
        <f t="shared" ca="1" si="17"/>
        <v>0</v>
      </c>
      <c r="M177" s="10">
        <f t="shared" ca="1" si="19"/>
        <v>0</v>
      </c>
      <c r="N177" s="30">
        <f t="shared" ca="1" si="20"/>
        <v>0</v>
      </c>
      <c r="O177" s="10">
        <f t="shared" ca="1" si="21"/>
        <v>0</v>
      </c>
      <c r="P177" s="29">
        <f t="shared" ca="1" si="22"/>
        <v>0</v>
      </c>
      <c r="Q177" s="12">
        <f t="shared" ca="1" si="23"/>
        <v>-54200</v>
      </c>
      <c r="R177" s="10">
        <f t="shared" ca="1" si="24"/>
        <v>0</v>
      </c>
      <c r="U177" s="12">
        <f t="shared" ca="1" si="25"/>
        <v>0</v>
      </c>
      <c r="V177" s="14">
        <f t="shared" ca="1" si="26"/>
        <v>0</v>
      </c>
      <c r="X177" s="7">
        <f ca="1">AVERAGE(E177:OFFSET(F177,-$X$5+1,0))</f>
        <v>9196.6</v>
      </c>
      <c r="Y177" s="7">
        <f ca="1">AVERAGE(E177:OFFSET(F177,-$Y$5+1,0))</f>
        <v>9266.4500000000007</v>
      </c>
      <c r="Z177" s="7">
        <f t="shared" ca="1" si="18"/>
        <v>0</v>
      </c>
      <c r="AA177" s="28"/>
      <c r="AB177" s="28"/>
      <c r="AC177" s="28"/>
      <c r="AD177" s="28"/>
    </row>
    <row r="178" spans="1:30">
      <c r="A178" s="3" t="s">
        <v>32</v>
      </c>
      <c r="B178" s="4">
        <v>41904</v>
      </c>
      <c r="C178" s="3">
        <v>9202</v>
      </c>
      <c r="D178" s="3">
        <v>9205</v>
      </c>
      <c r="E178" s="3">
        <v>9100</v>
      </c>
      <c r="F178" s="3">
        <v>9128</v>
      </c>
      <c r="G178" s="3">
        <v>120832</v>
      </c>
      <c r="H178" s="3">
        <v>1.355</v>
      </c>
      <c r="I178" s="2">
        <f t="shared" si="27"/>
        <v>0</v>
      </c>
      <c r="J178" s="10">
        <f t="shared" si="29"/>
        <v>-63</v>
      </c>
      <c r="K178" s="10">
        <f t="shared" si="28"/>
        <v>-74</v>
      </c>
      <c r="L178" s="10">
        <f t="shared" ca="1" si="17"/>
        <v>0</v>
      </c>
      <c r="M178" s="10">
        <f t="shared" ca="1" si="19"/>
        <v>0</v>
      </c>
      <c r="N178" s="30">
        <f t="shared" ca="1" si="20"/>
        <v>0</v>
      </c>
      <c r="O178" s="10">
        <f t="shared" ca="1" si="21"/>
        <v>0</v>
      </c>
      <c r="P178" s="29">
        <f t="shared" ca="1" si="22"/>
        <v>0</v>
      </c>
      <c r="Q178" s="12">
        <f t="shared" ca="1" si="23"/>
        <v>-54200</v>
      </c>
      <c r="R178" s="10">
        <f t="shared" ca="1" si="24"/>
        <v>0</v>
      </c>
      <c r="U178" s="12">
        <f t="shared" ca="1" si="25"/>
        <v>0</v>
      </c>
      <c r="V178" s="14">
        <f t="shared" ca="1" si="26"/>
        <v>0</v>
      </c>
      <c r="X178" s="7">
        <f ca="1">AVERAGE(E178:OFFSET(F178,-$X$5+1,0))</f>
        <v>9180.4</v>
      </c>
      <c r="Y178" s="7">
        <f ca="1">AVERAGE(E178:OFFSET(F178,-$Y$5+1,0))</f>
        <v>9239</v>
      </c>
      <c r="Z178" s="7">
        <f t="shared" ca="1" si="18"/>
        <v>0</v>
      </c>
      <c r="AA178" s="28"/>
      <c r="AB178" s="28"/>
      <c r="AC178" s="28"/>
      <c r="AD178" s="28"/>
    </row>
    <row r="179" spans="1:30">
      <c r="A179" s="3" t="s">
        <v>32</v>
      </c>
      <c r="B179" s="4">
        <v>41905</v>
      </c>
      <c r="C179" s="3">
        <v>9106</v>
      </c>
      <c r="D179" s="3">
        <v>9152</v>
      </c>
      <c r="E179" s="3">
        <v>9102</v>
      </c>
      <c r="F179" s="3">
        <v>9117</v>
      </c>
      <c r="G179" s="3">
        <v>87165</v>
      </c>
      <c r="H179" s="3">
        <v>1.355</v>
      </c>
      <c r="I179" s="2">
        <f t="shared" si="27"/>
        <v>0</v>
      </c>
      <c r="J179" s="10">
        <f t="shared" si="29"/>
        <v>-22</v>
      </c>
      <c r="K179" s="10">
        <f t="shared" si="28"/>
        <v>11</v>
      </c>
      <c r="L179" s="10">
        <f t="shared" ca="1" si="17"/>
        <v>0</v>
      </c>
      <c r="M179" s="10">
        <f t="shared" ca="1" si="19"/>
        <v>0</v>
      </c>
      <c r="N179" s="30">
        <f t="shared" ca="1" si="20"/>
        <v>0</v>
      </c>
      <c r="O179" s="10">
        <f t="shared" ca="1" si="21"/>
        <v>0</v>
      </c>
      <c r="P179" s="29">
        <f t="shared" ca="1" si="22"/>
        <v>0</v>
      </c>
      <c r="Q179" s="12">
        <f t="shared" ca="1" si="23"/>
        <v>-54200</v>
      </c>
      <c r="R179" s="10">
        <f t="shared" ca="1" si="24"/>
        <v>0</v>
      </c>
      <c r="U179" s="12">
        <f t="shared" ca="1" si="25"/>
        <v>0</v>
      </c>
      <c r="V179" s="14">
        <f t="shared" ca="1" si="26"/>
        <v>0</v>
      </c>
      <c r="X179" s="7">
        <f ca="1">AVERAGE(E179:OFFSET(F179,-$X$5+1,0))</f>
        <v>9172.7999999999993</v>
      </c>
      <c r="Y179" s="7">
        <f ca="1">AVERAGE(E179:OFFSET(F179,-$Y$5+1,0))</f>
        <v>9207.2999999999993</v>
      </c>
      <c r="Z179" s="7">
        <f t="shared" ca="1" si="18"/>
        <v>0</v>
      </c>
      <c r="AA179" s="28"/>
      <c r="AB179" s="28"/>
      <c r="AC179" s="28"/>
      <c r="AD179" s="28"/>
    </row>
    <row r="180" spans="1:30">
      <c r="A180" s="3" t="s">
        <v>32</v>
      </c>
      <c r="B180" s="4">
        <v>41906</v>
      </c>
      <c r="C180" s="3">
        <v>9095</v>
      </c>
      <c r="D180" s="3">
        <v>9142</v>
      </c>
      <c r="E180" s="3">
        <v>9081</v>
      </c>
      <c r="F180" s="3">
        <v>9127</v>
      </c>
      <c r="G180" s="3">
        <v>87035</v>
      </c>
      <c r="H180" s="3">
        <v>1.355</v>
      </c>
      <c r="I180" s="2">
        <f t="shared" si="27"/>
        <v>0</v>
      </c>
      <c r="J180" s="10">
        <f t="shared" si="29"/>
        <v>-22</v>
      </c>
      <c r="K180" s="10">
        <f t="shared" si="28"/>
        <v>32</v>
      </c>
      <c r="L180" s="10">
        <f t="shared" ca="1" si="17"/>
        <v>0</v>
      </c>
      <c r="M180" s="10">
        <f t="shared" ca="1" si="19"/>
        <v>0</v>
      </c>
      <c r="N180" s="30">
        <f t="shared" ca="1" si="20"/>
        <v>0</v>
      </c>
      <c r="O180" s="10">
        <f t="shared" ca="1" si="21"/>
        <v>0</v>
      </c>
      <c r="P180" s="29">
        <f t="shared" ca="1" si="22"/>
        <v>0</v>
      </c>
      <c r="Q180" s="12">
        <f t="shared" ca="1" si="23"/>
        <v>-54200</v>
      </c>
      <c r="R180" s="10">
        <f t="shared" ca="1" si="24"/>
        <v>0</v>
      </c>
      <c r="U180" s="12">
        <f t="shared" ca="1" si="25"/>
        <v>0</v>
      </c>
      <c r="V180" s="14">
        <f t="shared" ca="1" si="26"/>
        <v>0</v>
      </c>
      <c r="X180" s="7">
        <f ca="1">AVERAGE(E180:OFFSET(F180,-$X$5+1,0))</f>
        <v>9161.6</v>
      </c>
      <c r="Y180" s="7">
        <f ca="1">AVERAGE(E180:OFFSET(F180,-$Y$5+1,0))</f>
        <v>9184.85</v>
      </c>
      <c r="Z180" s="7">
        <f t="shared" ca="1" si="18"/>
        <v>0</v>
      </c>
      <c r="AA180" s="28"/>
      <c r="AB180" s="28"/>
      <c r="AC180" s="28"/>
      <c r="AD180" s="28"/>
    </row>
    <row r="181" spans="1:30">
      <c r="A181" s="3" t="s">
        <v>32</v>
      </c>
      <c r="B181" s="4">
        <v>41907</v>
      </c>
      <c r="C181" s="3">
        <v>9158</v>
      </c>
      <c r="D181" s="3">
        <v>9168</v>
      </c>
      <c r="E181" s="3">
        <v>8995</v>
      </c>
      <c r="F181" s="3">
        <v>9028</v>
      </c>
      <c r="G181" s="3">
        <v>138558</v>
      </c>
      <c r="H181" s="3">
        <v>1.355</v>
      </c>
      <c r="I181" s="2">
        <f t="shared" si="27"/>
        <v>0</v>
      </c>
      <c r="J181" s="10">
        <f t="shared" si="29"/>
        <v>31</v>
      </c>
      <c r="K181" s="10">
        <f t="shared" si="28"/>
        <v>-130</v>
      </c>
      <c r="L181" s="10">
        <f t="shared" ca="1" si="17"/>
        <v>0</v>
      </c>
      <c r="M181" s="10">
        <f t="shared" ca="1" si="19"/>
        <v>0</v>
      </c>
      <c r="N181" s="30">
        <f t="shared" ca="1" si="20"/>
        <v>0</v>
      </c>
      <c r="O181" s="10">
        <f t="shared" ca="1" si="21"/>
        <v>0</v>
      </c>
      <c r="P181" s="29">
        <f t="shared" ca="1" si="22"/>
        <v>0</v>
      </c>
      <c r="Q181" s="12">
        <f t="shared" ca="1" si="23"/>
        <v>-54200</v>
      </c>
      <c r="R181" s="10">
        <f t="shared" ca="1" si="24"/>
        <v>0</v>
      </c>
      <c r="U181" s="12">
        <f t="shared" ca="1" si="25"/>
        <v>0</v>
      </c>
      <c r="V181" s="14">
        <f t="shared" ca="1" si="26"/>
        <v>0</v>
      </c>
      <c r="X181" s="7">
        <f ca="1">AVERAGE(E181:OFFSET(F181,-$X$5+1,0))</f>
        <v>9118.2999999999993</v>
      </c>
      <c r="Y181" s="7">
        <f ca="1">AVERAGE(E181:OFFSET(F181,-$Y$5+1,0))</f>
        <v>9155.9</v>
      </c>
      <c r="Z181" s="7">
        <f t="shared" ca="1" si="18"/>
        <v>0</v>
      </c>
      <c r="AA181" s="28"/>
      <c r="AB181" s="28"/>
      <c r="AC181" s="28"/>
      <c r="AD181" s="28"/>
    </row>
    <row r="182" spans="1:30">
      <c r="A182" s="3" t="s">
        <v>32</v>
      </c>
      <c r="B182" s="4">
        <v>41908</v>
      </c>
      <c r="C182" s="3">
        <v>8958</v>
      </c>
      <c r="D182" s="3">
        <v>9022</v>
      </c>
      <c r="E182" s="3">
        <v>8937</v>
      </c>
      <c r="F182" s="3">
        <v>8980</v>
      </c>
      <c r="G182" s="3">
        <v>115750</v>
      </c>
      <c r="H182" s="3">
        <v>1.355</v>
      </c>
      <c r="I182" s="2">
        <f t="shared" si="27"/>
        <v>0</v>
      </c>
      <c r="J182" s="10">
        <f t="shared" si="29"/>
        <v>-70</v>
      </c>
      <c r="K182" s="10">
        <f t="shared" si="28"/>
        <v>22</v>
      </c>
      <c r="L182" s="10">
        <f t="shared" ca="1" si="17"/>
        <v>0</v>
      </c>
      <c r="M182" s="10">
        <f t="shared" ca="1" si="19"/>
        <v>0</v>
      </c>
      <c r="N182" s="30">
        <f t="shared" ca="1" si="20"/>
        <v>0</v>
      </c>
      <c r="O182" s="10">
        <f t="shared" ca="1" si="21"/>
        <v>0</v>
      </c>
      <c r="P182" s="29">
        <f t="shared" ca="1" si="22"/>
        <v>0</v>
      </c>
      <c r="Q182" s="12">
        <f t="shared" ca="1" si="23"/>
        <v>-54200</v>
      </c>
      <c r="R182" s="10">
        <f t="shared" ca="1" si="24"/>
        <v>0</v>
      </c>
      <c r="U182" s="12">
        <f t="shared" ca="1" si="25"/>
        <v>0</v>
      </c>
      <c r="V182" s="14">
        <f t="shared" ca="1" si="26"/>
        <v>0</v>
      </c>
      <c r="X182" s="7">
        <f ca="1">AVERAGE(E182:OFFSET(F182,-$X$5+1,0))</f>
        <v>9059.5</v>
      </c>
      <c r="Y182" s="7">
        <f ca="1">AVERAGE(E182:OFFSET(F182,-$Y$5+1,0))</f>
        <v>9128.0499999999993</v>
      </c>
      <c r="Z182" s="7">
        <f t="shared" ca="1" si="18"/>
        <v>0</v>
      </c>
      <c r="AA182" s="28"/>
      <c r="AB182" s="28"/>
      <c r="AC182" s="28"/>
      <c r="AD182" s="28"/>
    </row>
    <row r="183" spans="1:30">
      <c r="A183" s="3" t="s">
        <v>32</v>
      </c>
      <c r="B183" s="4">
        <v>41911</v>
      </c>
      <c r="C183" s="3">
        <v>8991</v>
      </c>
      <c r="D183" s="3">
        <v>9008</v>
      </c>
      <c r="E183" s="3">
        <v>8943</v>
      </c>
      <c r="F183" s="3">
        <v>8982</v>
      </c>
      <c r="G183" s="3">
        <v>101474</v>
      </c>
      <c r="H183" s="3">
        <v>1.355</v>
      </c>
      <c r="I183" s="2">
        <f t="shared" si="27"/>
        <v>0</v>
      </c>
      <c r="J183" s="10">
        <f t="shared" si="29"/>
        <v>11</v>
      </c>
      <c r="K183" s="10">
        <f t="shared" si="28"/>
        <v>-9</v>
      </c>
      <c r="L183" s="10">
        <f t="shared" ca="1" si="17"/>
        <v>0</v>
      </c>
      <c r="M183" s="10">
        <f t="shared" ca="1" si="19"/>
        <v>0</v>
      </c>
      <c r="N183" s="30">
        <f t="shared" ca="1" si="20"/>
        <v>0</v>
      </c>
      <c r="O183" s="10">
        <f t="shared" ca="1" si="21"/>
        <v>0</v>
      </c>
      <c r="P183" s="29">
        <f t="shared" ca="1" si="22"/>
        <v>0</v>
      </c>
      <c r="Q183" s="12">
        <f t="shared" ca="1" si="23"/>
        <v>-54200</v>
      </c>
      <c r="R183" s="10">
        <f t="shared" ca="1" si="24"/>
        <v>0</v>
      </c>
      <c r="U183" s="12">
        <f t="shared" ca="1" si="25"/>
        <v>0</v>
      </c>
      <c r="V183" s="14">
        <f t="shared" ca="1" si="26"/>
        <v>0</v>
      </c>
      <c r="X183" s="7">
        <f ca="1">AVERAGE(E183:OFFSET(F183,-$X$5+1,0))</f>
        <v>9029.2000000000007</v>
      </c>
      <c r="Y183" s="7">
        <f ca="1">AVERAGE(E183:OFFSET(F183,-$Y$5+1,0))</f>
        <v>9104.7999999999993</v>
      </c>
      <c r="Z183" s="7">
        <f t="shared" ca="1" si="18"/>
        <v>0</v>
      </c>
      <c r="AA183" s="28"/>
      <c r="AB183" s="28"/>
      <c r="AC183" s="28"/>
      <c r="AD183" s="28"/>
    </row>
    <row r="184" spans="1:30">
      <c r="A184" s="3" t="s">
        <v>32</v>
      </c>
      <c r="B184" s="4">
        <v>41912</v>
      </c>
      <c r="C184" s="3">
        <v>8961</v>
      </c>
      <c r="D184" s="3">
        <v>9021</v>
      </c>
      <c r="E184" s="3">
        <v>8871</v>
      </c>
      <c r="F184" s="3">
        <v>8991</v>
      </c>
      <c r="G184" s="3">
        <v>150107</v>
      </c>
      <c r="H184" s="3">
        <v>1.355</v>
      </c>
      <c r="I184" s="2">
        <f t="shared" si="27"/>
        <v>0</v>
      </c>
      <c r="J184" s="10">
        <f t="shared" si="29"/>
        <v>-21</v>
      </c>
      <c r="K184" s="10">
        <f t="shared" si="28"/>
        <v>30</v>
      </c>
      <c r="L184" s="10">
        <f t="shared" ca="1" si="17"/>
        <v>0</v>
      </c>
      <c r="M184" s="10">
        <f t="shared" ca="1" si="19"/>
        <v>0</v>
      </c>
      <c r="N184" s="30">
        <f t="shared" ca="1" si="20"/>
        <v>0</v>
      </c>
      <c r="O184" s="10">
        <f t="shared" ca="1" si="21"/>
        <v>0</v>
      </c>
      <c r="P184" s="29">
        <f t="shared" ca="1" si="22"/>
        <v>0</v>
      </c>
      <c r="Q184" s="12">
        <f t="shared" ca="1" si="23"/>
        <v>-54200</v>
      </c>
      <c r="R184" s="10">
        <f t="shared" ca="1" si="24"/>
        <v>0</v>
      </c>
      <c r="U184" s="12">
        <f t="shared" ca="1" si="25"/>
        <v>0</v>
      </c>
      <c r="V184" s="14">
        <f t="shared" ca="1" si="26"/>
        <v>0</v>
      </c>
      <c r="X184" s="7">
        <f ca="1">AVERAGE(E184:OFFSET(F184,-$X$5+1,0))</f>
        <v>8993.5</v>
      </c>
      <c r="Y184" s="7">
        <f ca="1">AVERAGE(E184:OFFSET(F184,-$Y$5+1,0))</f>
        <v>9083.15</v>
      </c>
      <c r="Z184" s="7">
        <f t="shared" ca="1" si="18"/>
        <v>0</v>
      </c>
      <c r="AA184" s="28"/>
      <c r="AB184" s="28"/>
      <c r="AC184" s="28"/>
      <c r="AD184" s="28"/>
    </row>
    <row r="185" spans="1:30">
      <c r="A185" s="3" t="s">
        <v>32</v>
      </c>
      <c r="B185" s="4">
        <v>41913</v>
      </c>
      <c r="C185" s="3">
        <v>8943</v>
      </c>
      <c r="D185" s="3">
        <v>9015</v>
      </c>
      <c r="E185" s="3">
        <v>8911</v>
      </c>
      <c r="F185" s="3">
        <v>8980</v>
      </c>
      <c r="G185" s="3">
        <v>114235</v>
      </c>
      <c r="H185" s="3">
        <v>1.355</v>
      </c>
      <c r="I185" s="2">
        <f t="shared" si="27"/>
        <v>0</v>
      </c>
      <c r="J185" s="10">
        <f t="shared" si="29"/>
        <v>-48</v>
      </c>
      <c r="K185" s="10">
        <f t="shared" si="28"/>
        <v>37</v>
      </c>
      <c r="L185" s="10">
        <f t="shared" ca="1" si="17"/>
        <v>0</v>
      </c>
      <c r="M185" s="10">
        <f t="shared" ca="1" si="19"/>
        <v>0</v>
      </c>
      <c r="N185" s="30">
        <f t="shared" ca="1" si="20"/>
        <v>0</v>
      </c>
      <c r="O185" s="10">
        <f t="shared" ca="1" si="21"/>
        <v>0</v>
      </c>
      <c r="P185" s="29">
        <f t="shared" ca="1" si="22"/>
        <v>0</v>
      </c>
      <c r="Q185" s="12">
        <f t="shared" ca="1" si="23"/>
        <v>-54200</v>
      </c>
      <c r="R185" s="10">
        <f t="shared" ca="1" si="24"/>
        <v>0</v>
      </c>
      <c r="U185" s="12">
        <f t="shared" ca="1" si="25"/>
        <v>0</v>
      </c>
      <c r="V185" s="14">
        <f t="shared" ca="1" si="26"/>
        <v>0</v>
      </c>
      <c r="X185" s="7">
        <f ca="1">AVERAGE(E185:OFFSET(F185,-$X$5+1,0))</f>
        <v>8961.7999999999993</v>
      </c>
      <c r="Y185" s="7">
        <f ca="1">AVERAGE(E185:OFFSET(F185,-$Y$5+1,0))</f>
        <v>9061.7000000000007</v>
      </c>
      <c r="Z185" s="7">
        <f t="shared" ca="1" si="18"/>
        <v>0</v>
      </c>
      <c r="AA185" s="28"/>
      <c r="AB185" s="28"/>
      <c r="AC185" s="28"/>
      <c r="AD185" s="28"/>
    </row>
    <row r="186" spans="1:30">
      <c r="A186" s="3" t="s">
        <v>32</v>
      </c>
      <c r="B186" s="4">
        <v>41914</v>
      </c>
      <c r="C186" s="3">
        <v>8920</v>
      </c>
      <c r="D186" s="3">
        <v>9020</v>
      </c>
      <c r="E186" s="3">
        <v>8905</v>
      </c>
      <c r="F186" s="3">
        <v>8993</v>
      </c>
      <c r="G186" s="3">
        <v>126762</v>
      </c>
      <c r="H186" s="3">
        <v>1.355</v>
      </c>
      <c r="I186" s="2">
        <f t="shared" si="27"/>
        <v>0</v>
      </c>
      <c r="J186" s="10">
        <f t="shared" si="29"/>
        <v>-60</v>
      </c>
      <c r="K186" s="10">
        <f t="shared" si="28"/>
        <v>73</v>
      </c>
      <c r="L186" s="10">
        <f t="shared" ca="1" si="17"/>
        <v>0</v>
      </c>
      <c r="M186" s="10">
        <f t="shared" ca="1" si="19"/>
        <v>0</v>
      </c>
      <c r="N186" s="30">
        <f t="shared" ca="1" si="20"/>
        <v>0</v>
      </c>
      <c r="O186" s="10">
        <f t="shared" ca="1" si="21"/>
        <v>0</v>
      </c>
      <c r="P186" s="29">
        <f t="shared" ca="1" si="22"/>
        <v>0</v>
      </c>
      <c r="Q186" s="12">
        <f t="shared" ca="1" si="23"/>
        <v>-54200</v>
      </c>
      <c r="R186" s="10">
        <f t="shared" ca="1" si="24"/>
        <v>0</v>
      </c>
      <c r="U186" s="12">
        <f t="shared" ca="1" si="25"/>
        <v>0</v>
      </c>
      <c r="V186" s="14">
        <f t="shared" ca="1" si="26"/>
        <v>0</v>
      </c>
      <c r="X186" s="7">
        <f ca="1">AVERAGE(E186:OFFSET(F186,-$X$5+1,0))</f>
        <v>8949.2999999999993</v>
      </c>
      <c r="Y186" s="7">
        <f ca="1">AVERAGE(E186:OFFSET(F186,-$Y$5+1,0))</f>
        <v>9033.7999999999993</v>
      </c>
      <c r="Z186" s="7">
        <f t="shared" ca="1" si="18"/>
        <v>0</v>
      </c>
      <c r="AA186" s="28"/>
      <c r="AB186" s="28"/>
      <c r="AC186" s="28"/>
      <c r="AD186" s="28"/>
    </row>
    <row r="187" spans="1:30">
      <c r="A187" s="3" t="s">
        <v>32</v>
      </c>
      <c r="B187" s="4">
        <v>41915</v>
      </c>
      <c r="C187" s="3">
        <v>9004</v>
      </c>
      <c r="D187" s="3">
        <v>9107</v>
      </c>
      <c r="E187" s="3">
        <v>8994</v>
      </c>
      <c r="F187" s="3">
        <v>9101</v>
      </c>
      <c r="G187" s="3">
        <v>124812</v>
      </c>
      <c r="H187" s="3">
        <v>1.355</v>
      </c>
      <c r="I187" s="2">
        <f t="shared" si="27"/>
        <v>0</v>
      </c>
      <c r="J187" s="10">
        <f t="shared" si="29"/>
        <v>11</v>
      </c>
      <c r="K187" s="10">
        <f t="shared" si="28"/>
        <v>97</v>
      </c>
      <c r="L187" s="10">
        <f t="shared" ca="1" si="17"/>
        <v>0</v>
      </c>
      <c r="M187" s="10">
        <f t="shared" ca="1" si="19"/>
        <v>0</v>
      </c>
      <c r="N187" s="30">
        <f t="shared" ca="1" si="20"/>
        <v>0</v>
      </c>
      <c r="O187" s="10">
        <f t="shared" ca="1" si="21"/>
        <v>0</v>
      </c>
      <c r="P187" s="29">
        <f t="shared" ca="1" si="22"/>
        <v>0</v>
      </c>
      <c r="Q187" s="12">
        <f t="shared" ca="1" si="23"/>
        <v>-54200</v>
      </c>
      <c r="R187" s="10">
        <f t="shared" ca="1" si="24"/>
        <v>0</v>
      </c>
      <c r="U187" s="12">
        <f t="shared" ca="1" si="25"/>
        <v>0</v>
      </c>
      <c r="V187" s="14">
        <f t="shared" ca="1" si="26"/>
        <v>0</v>
      </c>
      <c r="X187" s="7">
        <f ca="1">AVERAGE(E187:OFFSET(F187,-$X$5+1,0))</f>
        <v>8967.1</v>
      </c>
      <c r="Y187" s="7">
        <f ca="1">AVERAGE(E187:OFFSET(F187,-$Y$5+1,0))</f>
        <v>9013.2999999999993</v>
      </c>
      <c r="Z187" s="7">
        <f t="shared" ca="1" si="18"/>
        <v>0</v>
      </c>
      <c r="AA187" s="28"/>
      <c r="AB187" s="28"/>
      <c r="AC187" s="28"/>
      <c r="AD187" s="28"/>
    </row>
    <row r="188" spans="1:30">
      <c r="A188" s="3" t="s">
        <v>32</v>
      </c>
      <c r="B188" s="4">
        <v>41918</v>
      </c>
      <c r="C188" s="3">
        <v>9098</v>
      </c>
      <c r="D188" s="3">
        <v>9110</v>
      </c>
      <c r="E188" s="3">
        <v>9056</v>
      </c>
      <c r="F188" s="3">
        <v>9084</v>
      </c>
      <c r="G188" s="3">
        <v>95157</v>
      </c>
      <c r="H188" s="3">
        <v>1.355</v>
      </c>
      <c r="I188" s="2">
        <f t="shared" si="27"/>
        <v>0</v>
      </c>
      <c r="J188" s="10">
        <f t="shared" si="29"/>
        <v>-3</v>
      </c>
      <c r="K188" s="10">
        <f t="shared" si="28"/>
        <v>-14</v>
      </c>
      <c r="L188" s="10">
        <f t="shared" ca="1" si="17"/>
        <v>0</v>
      </c>
      <c r="M188" s="10">
        <f t="shared" ca="1" si="19"/>
        <v>0</v>
      </c>
      <c r="N188" s="30">
        <f t="shared" ca="1" si="20"/>
        <v>0</v>
      </c>
      <c r="O188" s="10">
        <f t="shared" ca="1" si="21"/>
        <v>0</v>
      </c>
      <c r="P188" s="29">
        <f t="shared" ca="1" si="22"/>
        <v>0</v>
      </c>
      <c r="Q188" s="12">
        <f t="shared" ca="1" si="23"/>
        <v>-54200</v>
      </c>
      <c r="R188" s="10">
        <f t="shared" ca="1" si="24"/>
        <v>0</v>
      </c>
      <c r="U188" s="12">
        <f t="shared" ca="1" si="25"/>
        <v>0</v>
      </c>
      <c r="V188" s="14">
        <f t="shared" ca="1" si="26"/>
        <v>0</v>
      </c>
      <c r="X188" s="7">
        <f ca="1">AVERAGE(E188:OFFSET(F188,-$X$5+1,0))</f>
        <v>8988.6</v>
      </c>
      <c r="Y188" s="7">
        <f ca="1">AVERAGE(E188:OFFSET(F188,-$Y$5+1,0))</f>
        <v>9008.9</v>
      </c>
      <c r="Z188" s="7">
        <f t="shared" ca="1" si="18"/>
        <v>0</v>
      </c>
      <c r="AA188" s="28"/>
      <c r="AB188" s="28"/>
      <c r="AC188" s="28"/>
      <c r="AD188" s="28"/>
    </row>
    <row r="189" spans="1:30">
      <c r="A189" s="3" t="s">
        <v>32</v>
      </c>
      <c r="B189" s="4">
        <v>41919</v>
      </c>
      <c r="C189" s="3">
        <v>9034</v>
      </c>
      <c r="D189" s="3">
        <v>9048</v>
      </c>
      <c r="E189" s="3">
        <v>8976</v>
      </c>
      <c r="F189" s="3">
        <v>9017</v>
      </c>
      <c r="G189" s="3">
        <v>127569</v>
      </c>
      <c r="H189" s="3">
        <v>1.355</v>
      </c>
      <c r="I189" s="2">
        <f t="shared" si="27"/>
        <v>0</v>
      </c>
      <c r="J189" s="10">
        <f t="shared" si="29"/>
        <v>-50</v>
      </c>
      <c r="K189" s="10">
        <f t="shared" si="28"/>
        <v>-17</v>
      </c>
      <c r="L189" s="10">
        <f t="shared" ref="L189:L252" ca="1" si="30">Z189</f>
        <v>1</v>
      </c>
      <c r="M189" s="10">
        <f t="shared" ca="1" si="19"/>
        <v>0</v>
      </c>
      <c r="N189" s="30">
        <f t="shared" ca="1" si="20"/>
        <v>0</v>
      </c>
      <c r="O189" s="10">
        <f t="shared" ca="1" si="21"/>
        <v>0</v>
      </c>
      <c r="P189" s="29">
        <f t="shared" ca="1" si="22"/>
        <v>0</v>
      </c>
      <c r="Q189" s="12">
        <f t="shared" ca="1" si="23"/>
        <v>-54200</v>
      </c>
      <c r="R189" s="10">
        <f t="shared" ca="1" si="24"/>
        <v>0</v>
      </c>
      <c r="U189" s="12">
        <f t="shared" ca="1" si="25"/>
        <v>0</v>
      </c>
      <c r="V189" s="14">
        <f t="shared" ca="1" si="26"/>
        <v>0</v>
      </c>
      <c r="X189" s="7">
        <f ca="1">AVERAGE(E189:OFFSET(F189,-$X$5+1,0))</f>
        <v>9001.7000000000007</v>
      </c>
      <c r="Y189" s="7">
        <f ca="1">AVERAGE(E189:OFFSET(F189,-$Y$5+1,0))</f>
        <v>8997.6</v>
      </c>
      <c r="Z189" s="7">
        <f t="shared" ref="Z189:Z252" ca="1" si="31">IF(AND(X188&lt;=Y188,X189&gt;Y189),1,IF(AND(X188&gt;Y188,X189&lt;=Y189),-1,0))</f>
        <v>1</v>
      </c>
      <c r="AA189" s="28"/>
      <c r="AB189" s="28"/>
      <c r="AC189" s="28"/>
      <c r="AD189" s="28"/>
    </row>
    <row r="190" spans="1:30">
      <c r="A190" s="3" t="s">
        <v>32</v>
      </c>
      <c r="B190" s="4">
        <v>41920</v>
      </c>
      <c r="C190" s="3">
        <v>8986</v>
      </c>
      <c r="D190" s="3">
        <v>9029</v>
      </c>
      <c r="E190" s="3">
        <v>8928</v>
      </c>
      <c r="F190" s="3">
        <v>8933</v>
      </c>
      <c r="G190" s="3">
        <v>103779</v>
      </c>
      <c r="H190" s="3">
        <v>1.355</v>
      </c>
      <c r="I190" s="2">
        <f t="shared" si="27"/>
        <v>0</v>
      </c>
      <c r="J190" s="10">
        <f t="shared" si="29"/>
        <v>-31</v>
      </c>
      <c r="K190" s="10">
        <f t="shared" si="28"/>
        <v>-53</v>
      </c>
      <c r="L190" s="10">
        <f t="shared" ca="1" si="30"/>
        <v>0</v>
      </c>
      <c r="M190" s="10">
        <f t="shared" ref="M190:M253" ca="1" si="32">IF(I190=1,0,IF(M189+L189&gt;=$M$5,$M$5,IF(M189+L189&lt;=$M$7,$M$7,M189+L189)))</f>
        <v>1</v>
      </c>
      <c r="N190" s="30">
        <f t="shared" ref="N190:N253" ca="1" si="33">IF(M190=0,0,IF(M190&gt;M189,(C190+N189*M189)*$S$5,0))</f>
        <v>1797200</v>
      </c>
      <c r="O190" s="10">
        <f t="shared" ref="O190:O253" ca="1" si="34">IF(M190=0,0,IF(M190=M189,O189,((M190-M189)*C190+N189*M189)*$S$5/M190))</f>
        <v>1797200</v>
      </c>
      <c r="P190" s="29">
        <f t="shared" ref="P190:P253" ca="1" si="35">IF(M189=M190,(M189*J190+M190*K190)*$S$5,(M189*J190+M190*K190)*$S$5-$S$6)</f>
        <v>-11100</v>
      </c>
      <c r="Q190" s="12">
        <f t="shared" ref="Q190:Q253" ca="1" si="36">P190+Q189</f>
        <v>-65300</v>
      </c>
      <c r="R190" s="10">
        <f t="shared" ref="R190:R253" ca="1" si="37">IF(P190=0,0,IF(O190=0,100*P190/O189,100*P190/O190))</f>
        <v>-0.61762742043178276</v>
      </c>
      <c r="U190" s="12">
        <f t="shared" ref="U190:U253" ca="1" si="38">IF(Q190&gt;U189,Q190,U189)</f>
        <v>0</v>
      </c>
      <c r="V190" s="14">
        <f t="shared" ref="V190:V253" ca="1" si="39">IF(U190=0,0,100*(Q190-U190)/U190)</f>
        <v>0</v>
      </c>
      <c r="X190" s="7">
        <f ca="1">AVERAGE(E190:OFFSET(F190,-$X$5+1,0))</f>
        <v>8998.7000000000007</v>
      </c>
      <c r="Y190" s="7">
        <f ca="1">AVERAGE(E190:OFFSET(F190,-$Y$5+1,0))</f>
        <v>8980.25</v>
      </c>
      <c r="Z190" s="7">
        <f t="shared" ca="1" si="31"/>
        <v>0</v>
      </c>
      <c r="AA190" s="28"/>
      <c r="AB190" s="28"/>
      <c r="AC190" s="28"/>
      <c r="AD190" s="28"/>
    </row>
    <row r="191" spans="1:30">
      <c r="A191" s="3" t="s">
        <v>32</v>
      </c>
      <c r="B191" s="4">
        <v>41921</v>
      </c>
      <c r="C191" s="3">
        <v>8997</v>
      </c>
      <c r="D191" s="3">
        <v>9039</v>
      </c>
      <c r="E191" s="3">
        <v>8948</v>
      </c>
      <c r="F191" s="3">
        <v>8981</v>
      </c>
      <c r="G191" s="3">
        <v>139674</v>
      </c>
      <c r="H191" s="3">
        <v>1.355</v>
      </c>
      <c r="I191" s="2">
        <f t="shared" si="27"/>
        <v>0</v>
      </c>
      <c r="J191" s="10">
        <f t="shared" si="29"/>
        <v>64</v>
      </c>
      <c r="K191" s="10">
        <f t="shared" si="28"/>
        <v>-16</v>
      </c>
      <c r="L191" s="10">
        <f t="shared" ca="1" si="30"/>
        <v>0</v>
      </c>
      <c r="M191" s="10">
        <f t="shared" ca="1" si="32"/>
        <v>1</v>
      </c>
      <c r="N191" s="30">
        <f t="shared" ca="1" si="33"/>
        <v>0</v>
      </c>
      <c r="O191" s="10">
        <f t="shared" ca="1" si="34"/>
        <v>1797200</v>
      </c>
      <c r="P191" s="29">
        <f t="shared" ca="1" si="35"/>
        <v>9600</v>
      </c>
      <c r="Q191" s="12">
        <f t="shared" ca="1" si="36"/>
        <v>-55700</v>
      </c>
      <c r="R191" s="10">
        <f t="shared" ca="1" si="37"/>
        <v>0.53416425550856883</v>
      </c>
      <c r="U191" s="12">
        <f t="shared" ca="1" si="38"/>
        <v>0</v>
      </c>
      <c r="V191" s="14">
        <f t="shared" ca="1" si="39"/>
        <v>0</v>
      </c>
      <c r="X191" s="7">
        <f ca="1">AVERAGE(E191:OFFSET(F191,-$X$5+1,0))</f>
        <v>9001.7999999999993</v>
      </c>
      <c r="Y191" s="7">
        <f ca="1">AVERAGE(E191:OFFSET(F191,-$Y$5+1,0))</f>
        <v>8975.5499999999993</v>
      </c>
      <c r="Z191" s="7">
        <f t="shared" ca="1" si="31"/>
        <v>0</v>
      </c>
      <c r="AA191" s="28"/>
      <c r="AB191" s="28"/>
      <c r="AC191" s="28"/>
      <c r="AD191" s="28"/>
    </row>
    <row r="192" spans="1:30">
      <c r="A192" s="3" t="s">
        <v>32</v>
      </c>
      <c r="B192" s="4">
        <v>41925</v>
      </c>
      <c r="C192" s="3">
        <v>8798</v>
      </c>
      <c r="D192" s="3">
        <v>8818</v>
      </c>
      <c r="E192" s="3">
        <v>8712</v>
      </c>
      <c r="F192" s="3">
        <v>8712</v>
      </c>
      <c r="G192" s="3">
        <v>157956</v>
      </c>
      <c r="H192" s="3">
        <v>1.355</v>
      </c>
      <c r="I192" s="2">
        <f t="shared" si="27"/>
        <v>0</v>
      </c>
      <c r="J192" s="10">
        <f t="shared" si="29"/>
        <v>-183</v>
      </c>
      <c r="K192" s="10">
        <f t="shared" si="28"/>
        <v>-86</v>
      </c>
      <c r="L192" s="10">
        <f t="shared" ca="1" si="30"/>
        <v>-1</v>
      </c>
      <c r="M192" s="10">
        <f t="shared" ca="1" si="32"/>
        <v>1</v>
      </c>
      <c r="N192" s="30">
        <f t="shared" ca="1" si="33"/>
        <v>0</v>
      </c>
      <c r="O192" s="10">
        <f t="shared" ca="1" si="34"/>
        <v>1797200</v>
      </c>
      <c r="P192" s="29">
        <f t="shared" ca="1" si="35"/>
        <v>-53800</v>
      </c>
      <c r="Q192" s="12">
        <f t="shared" ca="1" si="36"/>
        <v>-109500</v>
      </c>
      <c r="R192" s="10">
        <f t="shared" ca="1" si="37"/>
        <v>-2.993545515245938</v>
      </c>
      <c r="U192" s="12">
        <f t="shared" ca="1" si="38"/>
        <v>0</v>
      </c>
      <c r="V192" s="14">
        <f t="shared" ca="1" si="39"/>
        <v>0</v>
      </c>
      <c r="X192" s="7">
        <f ca="1">AVERAGE(E192:OFFSET(F192,-$X$5+1,0))</f>
        <v>8934.7000000000007</v>
      </c>
      <c r="Y192" s="7">
        <f ca="1">AVERAGE(E192:OFFSET(F192,-$Y$5+1,0))</f>
        <v>8950.9</v>
      </c>
      <c r="Z192" s="7">
        <f t="shared" ca="1" si="31"/>
        <v>-1</v>
      </c>
      <c r="AA192" s="28"/>
      <c r="AB192" s="28"/>
      <c r="AC192" s="28"/>
      <c r="AD192" s="28"/>
    </row>
    <row r="193" spans="1:30">
      <c r="A193" s="3" t="s">
        <v>32</v>
      </c>
      <c r="B193" s="4">
        <v>41926</v>
      </c>
      <c r="C193" s="3">
        <v>8730</v>
      </c>
      <c r="D193" s="3">
        <v>8759</v>
      </c>
      <c r="E193" s="3">
        <v>8702</v>
      </c>
      <c r="F193" s="3">
        <v>8745</v>
      </c>
      <c r="G193" s="3">
        <v>104866</v>
      </c>
      <c r="H193" s="3">
        <v>1.355</v>
      </c>
      <c r="I193" s="2">
        <f t="shared" si="27"/>
        <v>0</v>
      </c>
      <c r="J193" s="10">
        <f t="shared" si="29"/>
        <v>18</v>
      </c>
      <c r="K193" s="10">
        <f t="shared" si="28"/>
        <v>15</v>
      </c>
      <c r="L193" s="10">
        <f t="shared" ca="1" si="30"/>
        <v>0</v>
      </c>
      <c r="M193" s="10">
        <f t="shared" ca="1" si="32"/>
        <v>0</v>
      </c>
      <c r="N193" s="30">
        <f t="shared" ca="1" si="33"/>
        <v>0</v>
      </c>
      <c r="O193" s="10">
        <f t="shared" ca="1" si="34"/>
        <v>0</v>
      </c>
      <c r="P193" s="29">
        <f t="shared" ca="1" si="35"/>
        <v>3100</v>
      </c>
      <c r="Q193" s="12">
        <f t="shared" ca="1" si="36"/>
        <v>-106400</v>
      </c>
      <c r="R193" s="10">
        <f t="shared" ca="1" si="37"/>
        <v>0.17249054084130871</v>
      </c>
      <c r="U193" s="12">
        <f t="shared" ca="1" si="38"/>
        <v>0</v>
      </c>
      <c r="V193" s="14">
        <f t="shared" ca="1" si="39"/>
        <v>0</v>
      </c>
      <c r="X193" s="7">
        <f ca="1">AVERAGE(E193:OFFSET(F193,-$X$5+1,0))</f>
        <v>8865.4</v>
      </c>
      <c r="Y193" s="7">
        <f ca="1">AVERAGE(E193:OFFSET(F193,-$Y$5+1,0))</f>
        <v>8927</v>
      </c>
      <c r="Z193" s="7">
        <f t="shared" ca="1" si="31"/>
        <v>0</v>
      </c>
      <c r="AA193" s="28"/>
      <c r="AB193" s="28"/>
      <c r="AC193" s="28"/>
      <c r="AD193" s="28"/>
    </row>
    <row r="194" spans="1:30">
      <c r="A194" s="3" t="s">
        <v>32</v>
      </c>
      <c r="B194" s="4">
        <v>41927</v>
      </c>
      <c r="C194" s="3">
        <v>8743</v>
      </c>
      <c r="D194" s="3">
        <v>8763</v>
      </c>
      <c r="E194" s="3">
        <v>8641</v>
      </c>
      <c r="F194" s="3">
        <v>8646</v>
      </c>
      <c r="G194" s="3">
        <v>82391</v>
      </c>
      <c r="H194" s="3">
        <v>1.355</v>
      </c>
      <c r="I194" s="2">
        <f t="shared" si="27"/>
        <v>1</v>
      </c>
      <c r="J194" s="10">
        <f t="shared" si="29"/>
        <v>-2</v>
      </c>
      <c r="K194" s="10">
        <f t="shared" si="28"/>
        <v>-97</v>
      </c>
      <c r="L194" s="10">
        <f t="shared" ca="1" si="30"/>
        <v>0</v>
      </c>
      <c r="M194" s="10">
        <f t="shared" si="32"/>
        <v>0</v>
      </c>
      <c r="N194" s="30">
        <f t="shared" si="33"/>
        <v>0</v>
      </c>
      <c r="O194" s="10">
        <f t="shared" si="34"/>
        <v>0</v>
      </c>
      <c r="P194" s="29">
        <f t="shared" ca="1" si="35"/>
        <v>0</v>
      </c>
      <c r="Q194" s="12">
        <f t="shared" ca="1" si="36"/>
        <v>-106400</v>
      </c>
      <c r="R194" s="10">
        <f t="shared" ca="1" si="37"/>
        <v>0</v>
      </c>
      <c r="U194" s="12">
        <f t="shared" ca="1" si="38"/>
        <v>0</v>
      </c>
      <c r="V194" s="14">
        <f t="shared" ca="1" si="39"/>
        <v>0</v>
      </c>
      <c r="X194" s="7">
        <f ca="1">AVERAGE(E194:OFFSET(F194,-$X$5+1,0))</f>
        <v>8794.7999999999993</v>
      </c>
      <c r="Y194" s="7">
        <f ca="1">AVERAGE(E194:OFFSET(F194,-$Y$5+1,0))</f>
        <v>8898.25</v>
      </c>
      <c r="Z194" s="7">
        <f t="shared" ca="1" si="31"/>
        <v>0</v>
      </c>
      <c r="AA194" s="28"/>
      <c r="AB194" s="28"/>
      <c r="AC194" s="28"/>
      <c r="AD194" s="28"/>
    </row>
    <row r="195" spans="1:30">
      <c r="A195" s="3" t="s">
        <v>33</v>
      </c>
      <c r="B195" s="4">
        <v>41928</v>
      </c>
      <c r="C195" s="3">
        <v>8583</v>
      </c>
      <c r="D195" s="3">
        <v>8683</v>
      </c>
      <c r="E195" s="3">
        <v>8506</v>
      </c>
      <c r="F195" s="3">
        <v>8632</v>
      </c>
      <c r="G195" s="3">
        <v>177584</v>
      </c>
      <c r="H195" s="3">
        <v>1.355</v>
      </c>
      <c r="I195" s="2">
        <f t="shared" si="27"/>
        <v>0</v>
      </c>
      <c r="J195" s="10">
        <f t="shared" si="29"/>
        <v>-63</v>
      </c>
      <c r="K195" s="10">
        <f t="shared" si="28"/>
        <v>49</v>
      </c>
      <c r="L195" s="10">
        <f t="shared" ca="1" si="30"/>
        <v>0</v>
      </c>
      <c r="M195" s="10">
        <f t="shared" ca="1" si="32"/>
        <v>0</v>
      </c>
      <c r="N195" s="30">
        <f t="shared" ca="1" si="33"/>
        <v>0</v>
      </c>
      <c r="O195" s="10">
        <f t="shared" ca="1" si="34"/>
        <v>0</v>
      </c>
      <c r="P195" s="29">
        <f t="shared" ca="1" si="35"/>
        <v>0</v>
      </c>
      <c r="Q195" s="12">
        <f t="shared" ca="1" si="36"/>
        <v>-106400</v>
      </c>
      <c r="R195" s="10">
        <f t="shared" ca="1" si="37"/>
        <v>0</v>
      </c>
      <c r="U195" s="12">
        <f t="shared" ca="1" si="38"/>
        <v>0</v>
      </c>
      <c r="V195" s="14">
        <f t="shared" ca="1" si="39"/>
        <v>0</v>
      </c>
      <c r="X195" s="7">
        <f ca="1">AVERAGE(E195:OFFSET(F195,-$X$5+1,0))</f>
        <v>8722.5</v>
      </c>
      <c r="Y195" s="7">
        <f ca="1">AVERAGE(E195:OFFSET(F195,-$Y$5+1,0))</f>
        <v>8860.6</v>
      </c>
      <c r="Z195" s="7">
        <f t="shared" ca="1" si="31"/>
        <v>0</v>
      </c>
      <c r="AA195" s="28"/>
      <c r="AB195" s="28"/>
      <c r="AC195" s="28"/>
      <c r="AD195" s="28"/>
    </row>
    <row r="196" spans="1:30">
      <c r="A196" s="3" t="s">
        <v>33</v>
      </c>
      <c r="B196" s="4">
        <v>41929</v>
      </c>
      <c r="C196" s="3">
        <v>8658</v>
      </c>
      <c r="D196" s="3">
        <v>8673</v>
      </c>
      <c r="E196" s="3">
        <v>8497</v>
      </c>
      <c r="F196" s="3">
        <v>8500</v>
      </c>
      <c r="G196" s="3">
        <v>174947</v>
      </c>
      <c r="H196" s="3">
        <v>1.355</v>
      </c>
      <c r="I196" s="2">
        <f t="shared" ref="I196:I259" si="40">IF(A196=A197,0,1)</f>
        <v>0</v>
      </c>
      <c r="J196" s="10">
        <f t="shared" si="29"/>
        <v>26</v>
      </c>
      <c r="K196" s="10">
        <f t="shared" ref="K196:K259" si="41">F196-C196</f>
        <v>-158</v>
      </c>
      <c r="L196" s="10">
        <f t="shared" ca="1" si="30"/>
        <v>0</v>
      </c>
      <c r="M196" s="10">
        <f t="shared" ca="1" si="32"/>
        <v>0</v>
      </c>
      <c r="N196" s="30">
        <f t="shared" ca="1" si="33"/>
        <v>0</v>
      </c>
      <c r="O196" s="10">
        <f t="shared" ca="1" si="34"/>
        <v>0</v>
      </c>
      <c r="P196" s="29">
        <f t="shared" ca="1" si="35"/>
        <v>0</v>
      </c>
      <c r="Q196" s="12">
        <f t="shared" ca="1" si="36"/>
        <v>-106400</v>
      </c>
      <c r="R196" s="10">
        <f t="shared" ca="1" si="37"/>
        <v>0</v>
      </c>
      <c r="U196" s="12">
        <f t="shared" ca="1" si="38"/>
        <v>0</v>
      </c>
      <c r="V196" s="14">
        <f t="shared" ca="1" si="39"/>
        <v>0</v>
      </c>
      <c r="X196" s="7">
        <f ca="1">AVERAGE(E196:OFFSET(F196,-$X$5+1,0))</f>
        <v>8629.2999999999993</v>
      </c>
      <c r="Y196" s="7">
        <f ca="1">AVERAGE(E196:OFFSET(F196,-$Y$5+1,0))</f>
        <v>8815.5499999999993</v>
      </c>
      <c r="Z196" s="7">
        <f t="shared" ca="1" si="31"/>
        <v>0</v>
      </c>
      <c r="AA196" s="28"/>
      <c r="AB196" s="28"/>
      <c r="AC196" s="28"/>
      <c r="AD196" s="28"/>
    </row>
    <row r="197" spans="1:30">
      <c r="A197" s="3" t="s">
        <v>33</v>
      </c>
      <c r="B197" s="4">
        <v>41932</v>
      </c>
      <c r="C197" s="3">
        <v>8599</v>
      </c>
      <c r="D197" s="3">
        <v>8681</v>
      </c>
      <c r="E197" s="3">
        <v>8588</v>
      </c>
      <c r="F197" s="3">
        <v>8661</v>
      </c>
      <c r="G197" s="3">
        <v>121860</v>
      </c>
      <c r="H197" s="3">
        <v>1.355</v>
      </c>
      <c r="I197" s="2">
        <f t="shared" si="40"/>
        <v>0</v>
      </c>
      <c r="J197" s="10">
        <f t="shared" ref="J197:J260" si="42">C197-F196</f>
        <v>99</v>
      </c>
      <c r="K197" s="10">
        <f t="shared" si="41"/>
        <v>62</v>
      </c>
      <c r="L197" s="10">
        <f t="shared" ca="1" si="30"/>
        <v>0</v>
      </c>
      <c r="M197" s="10">
        <f t="shared" ca="1" si="32"/>
        <v>0</v>
      </c>
      <c r="N197" s="30">
        <f t="shared" ca="1" si="33"/>
        <v>0</v>
      </c>
      <c r="O197" s="10">
        <f t="shared" ca="1" si="34"/>
        <v>0</v>
      </c>
      <c r="P197" s="29">
        <f t="shared" ca="1" si="35"/>
        <v>0</v>
      </c>
      <c r="Q197" s="12">
        <f t="shared" ca="1" si="36"/>
        <v>-106400</v>
      </c>
      <c r="R197" s="10">
        <f t="shared" ca="1" si="37"/>
        <v>0</v>
      </c>
      <c r="U197" s="12">
        <f t="shared" ca="1" si="38"/>
        <v>0</v>
      </c>
      <c r="V197" s="14">
        <f t="shared" ca="1" si="39"/>
        <v>0</v>
      </c>
      <c r="X197" s="7">
        <f ca="1">AVERAGE(E197:OFFSET(F197,-$X$5+1,0))</f>
        <v>8611.7999999999993</v>
      </c>
      <c r="Y197" s="7">
        <f ca="1">AVERAGE(E197:OFFSET(F197,-$Y$5+1,0))</f>
        <v>8773.25</v>
      </c>
      <c r="Z197" s="7">
        <f t="shared" ca="1" si="31"/>
        <v>0</v>
      </c>
      <c r="AA197" s="28"/>
      <c r="AB197" s="28"/>
      <c r="AC197" s="28"/>
      <c r="AD197" s="28"/>
    </row>
    <row r="198" spans="1:30">
      <c r="A198" s="3" t="s">
        <v>33</v>
      </c>
      <c r="B198" s="4">
        <v>41933</v>
      </c>
      <c r="C198" s="3">
        <v>8655</v>
      </c>
      <c r="D198" s="3">
        <v>8663</v>
      </c>
      <c r="E198" s="3">
        <v>8616</v>
      </c>
      <c r="F198" s="3">
        <v>8636</v>
      </c>
      <c r="G198" s="3">
        <v>90638</v>
      </c>
      <c r="H198" s="3">
        <v>1.355</v>
      </c>
      <c r="I198" s="2">
        <f t="shared" si="40"/>
        <v>0</v>
      </c>
      <c r="J198" s="10">
        <f t="shared" si="42"/>
        <v>-6</v>
      </c>
      <c r="K198" s="10">
        <f t="shared" si="41"/>
        <v>-19</v>
      </c>
      <c r="L198" s="10">
        <f t="shared" ca="1" si="30"/>
        <v>0</v>
      </c>
      <c r="M198" s="10">
        <f t="shared" ca="1" si="32"/>
        <v>0</v>
      </c>
      <c r="N198" s="30">
        <f t="shared" ca="1" si="33"/>
        <v>0</v>
      </c>
      <c r="O198" s="10">
        <f t="shared" ca="1" si="34"/>
        <v>0</v>
      </c>
      <c r="P198" s="29">
        <f t="shared" ca="1" si="35"/>
        <v>0</v>
      </c>
      <c r="Q198" s="12">
        <f t="shared" ca="1" si="36"/>
        <v>-106400</v>
      </c>
      <c r="R198" s="10">
        <f t="shared" ca="1" si="37"/>
        <v>0</v>
      </c>
      <c r="U198" s="12">
        <f t="shared" ca="1" si="38"/>
        <v>0</v>
      </c>
      <c r="V198" s="14">
        <f t="shared" ca="1" si="39"/>
        <v>0</v>
      </c>
      <c r="X198" s="7">
        <f ca="1">AVERAGE(E198:OFFSET(F198,-$X$5+1,0))</f>
        <v>8592.2999999999993</v>
      </c>
      <c r="Y198" s="7">
        <f ca="1">AVERAGE(E198:OFFSET(F198,-$Y$5+1,0))</f>
        <v>8728.85</v>
      </c>
      <c r="Z198" s="7">
        <f t="shared" ca="1" si="31"/>
        <v>0</v>
      </c>
      <c r="AA198" s="28"/>
      <c r="AB198" s="28"/>
      <c r="AC198" s="28"/>
      <c r="AD198" s="28"/>
    </row>
    <row r="199" spans="1:30">
      <c r="A199" s="3" t="s">
        <v>33</v>
      </c>
      <c r="B199" s="4">
        <v>41934</v>
      </c>
      <c r="C199" s="3">
        <v>8748</v>
      </c>
      <c r="D199" s="3">
        <v>8764</v>
      </c>
      <c r="E199" s="3">
        <v>8714</v>
      </c>
      <c r="F199" s="3">
        <v>8744</v>
      </c>
      <c r="G199" s="3">
        <v>96753</v>
      </c>
      <c r="H199" s="3">
        <v>1.355</v>
      </c>
      <c r="I199" s="2">
        <f t="shared" si="40"/>
        <v>0</v>
      </c>
      <c r="J199" s="10">
        <f t="shared" si="42"/>
        <v>112</v>
      </c>
      <c r="K199" s="10">
        <f t="shared" si="41"/>
        <v>-4</v>
      </c>
      <c r="L199" s="10">
        <f t="shared" ca="1" si="30"/>
        <v>0</v>
      </c>
      <c r="M199" s="10">
        <f t="shared" ca="1" si="32"/>
        <v>0</v>
      </c>
      <c r="N199" s="30">
        <f t="shared" ca="1" si="33"/>
        <v>0</v>
      </c>
      <c r="O199" s="10">
        <f t="shared" ca="1" si="34"/>
        <v>0</v>
      </c>
      <c r="P199" s="29">
        <f t="shared" ca="1" si="35"/>
        <v>0</v>
      </c>
      <c r="Q199" s="12">
        <f t="shared" ca="1" si="36"/>
        <v>-106400</v>
      </c>
      <c r="R199" s="10">
        <f t="shared" ca="1" si="37"/>
        <v>0</v>
      </c>
      <c r="U199" s="12">
        <f t="shared" ca="1" si="38"/>
        <v>0</v>
      </c>
      <c r="V199" s="14">
        <f t="shared" ca="1" si="39"/>
        <v>0</v>
      </c>
      <c r="X199" s="7">
        <f ca="1">AVERAGE(E199:OFFSET(F199,-$X$5+1,0))</f>
        <v>8609.4</v>
      </c>
      <c r="Y199" s="7">
        <f ca="1">AVERAGE(E199:OFFSET(F199,-$Y$5+1,0))</f>
        <v>8702.1</v>
      </c>
      <c r="Z199" s="7">
        <f t="shared" ca="1" si="31"/>
        <v>0</v>
      </c>
      <c r="AA199" s="28"/>
      <c r="AB199" s="28"/>
      <c r="AC199" s="28"/>
      <c r="AD199" s="28"/>
    </row>
    <row r="200" spans="1:30">
      <c r="A200" s="3" t="s">
        <v>33</v>
      </c>
      <c r="B200" s="4">
        <v>41935</v>
      </c>
      <c r="C200" s="3">
        <v>8732</v>
      </c>
      <c r="D200" s="3">
        <v>8740</v>
      </c>
      <c r="E200" s="3">
        <v>8702</v>
      </c>
      <c r="F200" s="3">
        <v>8721</v>
      </c>
      <c r="G200" s="3">
        <v>79233</v>
      </c>
      <c r="H200" s="3">
        <v>1.355</v>
      </c>
      <c r="I200" s="2">
        <f t="shared" si="40"/>
        <v>0</v>
      </c>
      <c r="J200" s="10">
        <f t="shared" si="42"/>
        <v>-12</v>
      </c>
      <c r="K200" s="10">
        <f t="shared" si="41"/>
        <v>-11</v>
      </c>
      <c r="L200" s="10">
        <f t="shared" ca="1" si="30"/>
        <v>0</v>
      </c>
      <c r="M200" s="10">
        <f t="shared" ca="1" si="32"/>
        <v>0</v>
      </c>
      <c r="N200" s="30">
        <f t="shared" ca="1" si="33"/>
        <v>0</v>
      </c>
      <c r="O200" s="10">
        <f t="shared" ca="1" si="34"/>
        <v>0</v>
      </c>
      <c r="P200" s="29">
        <f t="shared" ca="1" si="35"/>
        <v>0</v>
      </c>
      <c r="Q200" s="12">
        <f t="shared" ca="1" si="36"/>
        <v>-106400</v>
      </c>
      <c r="R200" s="10">
        <f t="shared" ca="1" si="37"/>
        <v>0</v>
      </c>
      <c r="U200" s="12">
        <f t="shared" ca="1" si="38"/>
        <v>0</v>
      </c>
      <c r="V200" s="14">
        <f t="shared" ca="1" si="39"/>
        <v>0</v>
      </c>
      <c r="X200" s="7">
        <f ca="1">AVERAGE(E200:OFFSET(F200,-$X$5+1,0))</f>
        <v>8637.9</v>
      </c>
      <c r="Y200" s="7">
        <f ca="1">AVERAGE(E200:OFFSET(F200,-$Y$5+1,0))</f>
        <v>8680.2000000000007</v>
      </c>
      <c r="Z200" s="7">
        <f t="shared" ca="1" si="31"/>
        <v>0</v>
      </c>
      <c r="AA200" s="28"/>
      <c r="AB200" s="28"/>
      <c r="AC200" s="28"/>
      <c r="AD200" s="28"/>
    </row>
    <row r="201" spans="1:30">
      <c r="A201" s="3" t="s">
        <v>33</v>
      </c>
      <c r="B201" s="4">
        <v>41936</v>
      </c>
      <c r="C201" s="3">
        <v>8742</v>
      </c>
      <c r="D201" s="3">
        <v>8746</v>
      </c>
      <c r="E201" s="3">
        <v>8609</v>
      </c>
      <c r="F201" s="3">
        <v>8642</v>
      </c>
      <c r="G201" s="3">
        <v>133051</v>
      </c>
      <c r="H201" s="3">
        <v>1.355</v>
      </c>
      <c r="I201" s="2">
        <f t="shared" si="40"/>
        <v>0</v>
      </c>
      <c r="J201" s="10">
        <f t="shared" si="42"/>
        <v>21</v>
      </c>
      <c r="K201" s="10">
        <f t="shared" si="41"/>
        <v>-100</v>
      </c>
      <c r="L201" s="10">
        <f t="shared" ca="1" si="30"/>
        <v>1</v>
      </c>
      <c r="M201" s="10">
        <f t="shared" ca="1" si="32"/>
        <v>0</v>
      </c>
      <c r="N201" s="30">
        <f t="shared" ca="1" si="33"/>
        <v>0</v>
      </c>
      <c r="O201" s="10">
        <f t="shared" ca="1" si="34"/>
        <v>0</v>
      </c>
      <c r="P201" s="29">
        <f t="shared" ca="1" si="35"/>
        <v>0</v>
      </c>
      <c r="Q201" s="12">
        <f t="shared" ca="1" si="36"/>
        <v>-106400</v>
      </c>
      <c r="R201" s="10">
        <f t="shared" ca="1" si="37"/>
        <v>0</v>
      </c>
      <c r="U201" s="12">
        <f t="shared" ca="1" si="38"/>
        <v>0</v>
      </c>
      <c r="V201" s="14">
        <f t="shared" ca="1" si="39"/>
        <v>0</v>
      </c>
      <c r="X201" s="7">
        <f ca="1">AVERAGE(E201:OFFSET(F201,-$X$5+1,0))</f>
        <v>8663.2999999999993</v>
      </c>
      <c r="Y201" s="7">
        <f ca="1">AVERAGE(E201:OFFSET(F201,-$Y$5+1,0))</f>
        <v>8646.2999999999993</v>
      </c>
      <c r="Z201" s="7">
        <f t="shared" ca="1" si="31"/>
        <v>1</v>
      </c>
      <c r="AA201" s="28"/>
      <c r="AB201" s="28"/>
      <c r="AC201" s="28"/>
      <c r="AD201" s="28"/>
    </row>
    <row r="202" spans="1:30">
      <c r="A202" s="3" t="s">
        <v>33</v>
      </c>
      <c r="B202" s="4">
        <v>41939</v>
      </c>
      <c r="C202" s="3">
        <v>8675</v>
      </c>
      <c r="D202" s="3">
        <v>8686</v>
      </c>
      <c r="E202" s="3">
        <v>8592</v>
      </c>
      <c r="F202" s="3">
        <v>8642</v>
      </c>
      <c r="G202" s="3">
        <v>108102</v>
      </c>
      <c r="H202" s="3">
        <v>1.355</v>
      </c>
      <c r="I202" s="2">
        <f t="shared" si="40"/>
        <v>0</v>
      </c>
      <c r="J202" s="10">
        <f t="shared" si="42"/>
        <v>33</v>
      </c>
      <c r="K202" s="10">
        <f t="shared" si="41"/>
        <v>-33</v>
      </c>
      <c r="L202" s="10">
        <f t="shared" ca="1" si="30"/>
        <v>0</v>
      </c>
      <c r="M202" s="10">
        <f t="shared" ca="1" si="32"/>
        <v>1</v>
      </c>
      <c r="N202" s="30">
        <f t="shared" ca="1" si="33"/>
        <v>1735000</v>
      </c>
      <c r="O202" s="10">
        <f t="shared" ca="1" si="34"/>
        <v>1735000</v>
      </c>
      <c r="P202" s="29">
        <f t="shared" ca="1" si="35"/>
        <v>-7100</v>
      </c>
      <c r="Q202" s="12">
        <f t="shared" ca="1" si="36"/>
        <v>-113500</v>
      </c>
      <c r="R202" s="10">
        <f t="shared" ca="1" si="37"/>
        <v>-0.40922190201729108</v>
      </c>
      <c r="U202" s="12">
        <f t="shared" ca="1" si="38"/>
        <v>0</v>
      </c>
      <c r="V202" s="14">
        <f t="shared" ca="1" si="39"/>
        <v>0</v>
      </c>
      <c r="X202" s="7">
        <f ca="1">AVERAGE(E202:OFFSET(F202,-$X$5+1,0))</f>
        <v>8661.7999999999993</v>
      </c>
      <c r="Y202" s="7">
        <f ca="1">AVERAGE(E202:OFFSET(F202,-$Y$5+1,0))</f>
        <v>8636.7999999999993</v>
      </c>
      <c r="Z202" s="7">
        <f t="shared" ca="1" si="31"/>
        <v>0</v>
      </c>
      <c r="AA202" s="28"/>
      <c r="AB202" s="28"/>
      <c r="AC202" s="28"/>
      <c r="AD202" s="28"/>
    </row>
    <row r="203" spans="1:30">
      <c r="A203" s="3" t="s">
        <v>33</v>
      </c>
      <c r="B203" s="4">
        <v>41940</v>
      </c>
      <c r="C203" s="3">
        <v>8666</v>
      </c>
      <c r="D203" s="3">
        <v>8805</v>
      </c>
      <c r="E203" s="3">
        <v>8663</v>
      </c>
      <c r="F203" s="3">
        <v>8793</v>
      </c>
      <c r="G203" s="3">
        <v>127091</v>
      </c>
      <c r="H203" s="3">
        <v>1.355</v>
      </c>
      <c r="I203" s="2">
        <f t="shared" si="40"/>
        <v>0</v>
      </c>
      <c r="J203" s="10">
        <f t="shared" si="42"/>
        <v>24</v>
      </c>
      <c r="K203" s="10">
        <f t="shared" si="41"/>
        <v>127</v>
      </c>
      <c r="L203" s="10">
        <f t="shared" ca="1" si="30"/>
        <v>0</v>
      </c>
      <c r="M203" s="10">
        <f t="shared" ca="1" si="32"/>
        <v>1</v>
      </c>
      <c r="N203" s="30">
        <f t="shared" ca="1" si="33"/>
        <v>0</v>
      </c>
      <c r="O203" s="10">
        <f t="shared" ca="1" si="34"/>
        <v>1735000</v>
      </c>
      <c r="P203" s="29">
        <f t="shared" ca="1" si="35"/>
        <v>30200</v>
      </c>
      <c r="Q203" s="12">
        <f t="shared" ca="1" si="36"/>
        <v>-83300</v>
      </c>
      <c r="R203" s="10">
        <f t="shared" ca="1" si="37"/>
        <v>1.7406340057636887</v>
      </c>
      <c r="U203" s="12">
        <f t="shared" ca="1" si="38"/>
        <v>0</v>
      </c>
      <c r="V203" s="14">
        <f t="shared" ca="1" si="39"/>
        <v>0</v>
      </c>
      <c r="X203" s="7">
        <f ca="1">AVERAGE(E203:OFFSET(F203,-$X$5+1,0))</f>
        <v>8682.2000000000007</v>
      </c>
      <c r="Y203" s="7">
        <f ca="1">AVERAGE(E203:OFFSET(F203,-$Y$5+1,0))</f>
        <v>8637.25</v>
      </c>
      <c r="Z203" s="7">
        <f t="shared" ca="1" si="31"/>
        <v>0</v>
      </c>
      <c r="AA203" s="28"/>
      <c r="AB203" s="28"/>
      <c r="AC203" s="28"/>
      <c r="AD203" s="28"/>
    </row>
    <row r="204" spans="1:30">
      <c r="A204" s="3" t="s">
        <v>33</v>
      </c>
      <c r="B204" s="4">
        <v>41941</v>
      </c>
      <c r="C204" s="3">
        <v>8833</v>
      </c>
      <c r="D204" s="3">
        <v>8905</v>
      </c>
      <c r="E204" s="3">
        <v>8818</v>
      </c>
      <c r="F204" s="3">
        <v>8879</v>
      </c>
      <c r="G204" s="3">
        <v>106490</v>
      </c>
      <c r="H204" s="3">
        <v>1.355</v>
      </c>
      <c r="I204" s="2">
        <f t="shared" si="40"/>
        <v>0</v>
      </c>
      <c r="J204" s="10">
        <f t="shared" si="42"/>
        <v>40</v>
      </c>
      <c r="K204" s="10">
        <f t="shared" si="41"/>
        <v>46</v>
      </c>
      <c r="L204" s="10">
        <f t="shared" ca="1" si="30"/>
        <v>0</v>
      </c>
      <c r="M204" s="10">
        <f t="shared" ca="1" si="32"/>
        <v>1</v>
      </c>
      <c r="N204" s="30">
        <f t="shared" ca="1" si="33"/>
        <v>0</v>
      </c>
      <c r="O204" s="10">
        <f t="shared" ca="1" si="34"/>
        <v>1735000</v>
      </c>
      <c r="P204" s="29">
        <f t="shared" ca="1" si="35"/>
        <v>17200</v>
      </c>
      <c r="Q204" s="12">
        <f t="shared" ca="1" si="36"/>
        <v>-66100</v>
      </c>
      <c r="R204" s="10">
        <f t="shared" ca="1" si="37"/>
        <v>0.99135446685878958</v>
      </c>
      <c r="U204" s="12">
        <f t="shared" ca="1" si="38"/>
        <v>0</v>
      </c>
      <c r="V204" s="14">
        <f t="shared" ca="1" si="39"/>
        <v>0</v>
      </c>
      <c r="X204" s="7">
        <f ca="1">AVERAGE(E204:OFFSET(F204,-$X$5+1,0))</f>
        <v>8706.1</v>
      </c>
      <c r="Y204" s="7">
        <f ca="1">AVERAGE(E204:OFFSET(F204,-$Y$5+1,0))</f>
        <v>8657.75</v>
      </c>
      <c r="Z204" s="7">
        <f t="shared" ca="1" si="31"/>
        <v>0</v>
      </c>
      <c r="AA204" s="28"/>
      <c r="AB204" s="28"/>
      <c r="AC204" s="28"/>
      <c r="AD204" s="28"/>
    </row>
    <row r="205" spans="1:30">
      <c r="A205" s="3" t="s">
        <v>33</v>
      </c>
      <c r="B205" s="4">
        <v>41942</v>
      </c>
      <c r="C205" s="3">
        <v>8878</v>
      </c>
      <c r="D205" s="3">
        <v>8889</v>
      </c>
      <c r="E205" s="3">
        <v>8838</v>
      </c>
      <c r="F205" s="3">
        <v>8881</v>
      </c>
      <c r="G205" s="3">
        <v>95556</v>
      </c>
      <c r="H205" s="3">
        <v>1.355</v>
      </c>
      <c r="I205" s="2">
        <f t="shared" si="40"/>
        <v>0</v>
      </c>
      <c r="J205" s="10">
        <f t="shared" si="42"/>
        <v>-1</v>
      </c>
      <c r="K205" s="10">
        <f t="shared" si="41"/>
        <v>3</v>
      </c>
      <c r="L205" s="10">
        <f t="shared" ca="1" si="30"/>
        <v>0</v>
      </c>
      <c r="M205" s="10">
        <f t="shared" ca="1" si="32"/>
        <v>1</v>
      </c>
      <c r="N205" s="30">
        <f t="shared" ca="1" si="33"/>
        <v>0</v>
      </c>
      <c r="O205" s="10">
        <f t="shared" ca="1" si="34"/>
        <v>1735000</v>
      </c>
      <c r="P205" s="29">
        <f t="shared" ca="1" si="35"/>
        <v>400</v>
      </c>
      <c r="Q205" s="12">
        <f t="shared" ca="1" si="36"/>
        <v>-65700</v>
      </c>
      <c r="R205" s="10">
        <f t="shared" ca="1" si="37"/>
        <v>2.3054755043227664E-2</v>
      </c>
      <c r="U205" s="12">
        <f t="shared" ca="1" si="38"/>
        <v>0</v>
      </c>
      <c r="V205" s="14">
        <f t="shared" ca="1" si="39"/>
        <v>0</v>
      </c>
      <c r="X205" s="7">
        <f ca="1">AVERAGE(E205:OFFSET(F205,-$X$5+1,0))</f>
        <v>8735.7000000000007</v>
      </c>
      <c r="Y205" s="7">
        <f ca="1">AVERAGE(E205:OFFSET(F205,-$Y$5+1,0))</f>
        <v>8686.7999999999993</v>
      </c>
      <c r="Z205" s="7">
        <f t="shared" ca="1" si="31"/>
        <v>0</v>
      </c>
      <c r="AA205" s="28"/>
      <c r="AB205" s="28"/>
      <c r="AC205" s="28"/>
      <c r="AD205" s="28"/>
    </row>
    <row r="206" spans="1:30">
      <c r="A206" s="3" t="s">
        <v>33</v>
      </c>
      <c r="B206" s="4">
        <v>41943</v>
      </c>
      <c r="C206" s="3">
        <v>8887</v>
      </c>
      <c r="D206" s="3">
        <v>8978</v>
      </c>
      <c r="E206" s="3">
        <v>8867</v>
      </c>
      <c r="F206" s="3">
        <v>8978</v>
      </c>
      <c r="G206" s="3">
        <v>137623</v>
      </c>
      <c r="H206" s="3">
        <v>1.355</v>
      </c>
      <c r="I206" s="2">
        <f t="shared" si="40"/>
        <v>0</v>
      </c>
      <c r="J206" s="10">
        <f t="shared" si="42"/>
        <v>6</v>
      </c>
      <c r="K206" s="10">
        <f t="shared" si="41"/>
        <v>91</v>
      </c>
      <c r="L206" s="10">
        <f t="shared" ca="1" si="30"/>
        <v>0</v>
      </c>
      <c r="M206" s="10">
        <f t="shared" ca="1" si="32"/>
        <v>1</v>
      </c>
      <c r="N206" s="30">
        <f t="shared" ca="1" si="33"/>
        <v>0</v>
      </c>
      <c r="O206" s="10">
        <f t="shared" ca="1" si="34"/>
        <v>1735000</v>
      </c>
      <c r="P206" s="29">
        <f t="shared" ca="1" si="35"/>
        <v>19400</v>
      </c>
      <c r="Q206" s="12">
        <f t="shared" ca="1" si="36"/>
        <v>-46300</v>
      </c>
      <c r="R206" s="10">
        <f t="shared" ca="1" si="37"/>
        <v>1.1181556195965419</v>
      </c>
      <c r="U206" s="12">
        <f t="shared" ca="1" si="38"/>
        <v>0</v>
      </c>
      <c r="V206" s="14">
        <f t="shared" ca="1" si="39"/>
        <v>0</v>
      </c>
      <c r="X206" s="7">
        <f ca="1">AVERAGE(E206:OFFSET(F206,-$X$5+1,0))</f>
        <v>8795.1</v>
      </c>
      <c r="Y206" s="7">
        <f ca="1">AVERAGE(E206:OFFSET(F206,-$Y$5+1,0))</f>
        <v>8729.2000000000007</v>
      </c>
      <c r="Z206" s="7">
        <f t="shared" ca="1" si="31"/>
        <v>0</v>
      </c>
      <c r="AA206" s="28"/>
      <c r="AB206" s="28"/>
      <c r="AC206" s="28"/>
      <c r="AD206" s="28"/>
    </row>
    <row r="207" spans="1:30">
      <c r="A207" s="3" t="s">
        <v>33</v>
      </c>
      <c r="B207" s="4">
        <v>41946</v>
      </c>
      <c r="C207" s="3">
        <v>8978</v>
      </c>
      <c r="D207" s="3">
        <v>9027</v>
      </c>
      <c r="E207" s="3">
        <v>8942</v>
      </c>
      <c r="F207" s="3">
        <v>8982</v>
      </c>
      <c r="G207" s="3">
        <v>117415</v>
      </c>
      <c r="H207" s="3">
        <v>1.355</v>
      </c>
      <c r="I207" s="2">
        <f t="shared" si="40"/>
        <v>0</v>
      </c>
      <c r="J207" s="10">
        <f t="shared" si="42"/>
        <v>0</v>
      </c>
      <c r="K207" s="10">
        <f t="shared" si="41"/>
        <v>4</v>
      </c>
      <c r="L207" s="10">
        <f t="shared" ca="1" si="30"/>
        <v>0</v>
      </c>
      <c r="M207" s="10">
        <f t="shared" ca="1" si="32"/>
        <v>1</v>
      </c>
      <c r="N207" s="30">
        <f t="shared" ca="1" si="33"/>
        <v>0</v>
      </c>
      <c r="O207" s="10">
        <f t="shared" ca="1" si="34"/>
        <v>1735000</v>
      </c>
      <c r="P207" s="29">
        <f t="shared" ca="1" si="35"/>
        <v>800</v>
      </c>
      <c r="Q207" s="12">
        <f t="shared" ca="1" si="36"/>
        <v>-45500</v>
      </c>
      <c r="R207" s="10">
        <f t="shared" ca="1" si="37"/>
        <v>4.6109510086455328E-2</v>
      </c>
      <c r="U207" s="12">
        <f t="shared" ca="1" si="38"/>
        <v>0</v>
      </c>
      <c r="V207" s="14">
        <f t="shared" ca="1" si="39"/>
        <v>0</v>
      </c>
      <c r="X207" s="7">
        <f ca="1">AVERAGE(E207:OFFSET(F207,-$X$5+1,0))</f>
        <v>8864.1</v>
      </c>
      <c r="Y207" s="7">
        <f ca="1">AVERAGE(E207:OFFSET(F207,-$Y$5+1,0))</f>
        <v>8762.9500000000007</v>
      </c>
      <c r="Z207" s="7">
        <f t="shared" ca="1" si="31"/>
        <v>0</v>
      </c>
      <c r="AA207" s="28"/>
      <c r="AB207" s="28"/>
      <c r="AC207" s="28"/>
      <c r="AD207" s="28"/>
    </row>
    <row r="208" spans="1:30">
      <c r="A208" s="3" t="s">
        <v>33</v>
      </c>
      <c r="B208" s="4">
        <v>41947</v>
      </c>
      <c r="C208" s="3">
        <v>8984</v>
      </c>
      <c r="D208" s="3">
        <v>9055</v>
      </c>
      <c r="E208" s="3">
        <v>8968</v>
      </c>
      <c r="F208" s="3">
        <v>8992</v>
      </c>
      <c r="G208" s="3">
        <v>140218</v>
      </c>
      <c r="H208" s="3">
        <v>1.355</v>
      </c>
      <c r="I208" s="2">
        <f t="shared" si="40"/>
        <v>0</v>
      </c>
      <c r="J208" s="10">
        <f t="shared" si="42"/>
        <v>2</v>
      </c>
      <c r="K208" s="10">
        <f t="shared" si="41"/>
        <v>8</v>
      </c>
      <c r="L208" s="10">
        <f t="shared" ca="1" si="30"/>
        <v>0</v>
      </c>
      <c r="M208" s="10">
        <f t="shared" ca="1" si="32"/>
        <v>1</v>
      </c>
      <c r="N208" s="30">
        <f t="shared" ca="1" si="33"/>
        <v>0</v>
      </c>
      <c r="O208" s="10">
        <f t="shared" ca="1" si="34"/>
        <v>1735000</v>
      </c>
      <c r="P208" s="29">
        <f t="shared" ca="1" si="35"/>
        <v>2000</v>
      </c>
      <c r="Q208" s="12">
        <f t="shared" ca="1" si="36"/>
        <v>-43500</v>
      </c>
      <c r="R208" s="10">
        <f t="shared" ca="1" si="37"/>
        <v>0.11527377521613832</v>
      </c>
      <c r="U208" s="12">
        <f t="shared" ca="1" si="38"/>
        <v>0</v>
      </c>
      <c r="V208" s="14">
        <f t="shared" ca="1" si="39"/>
        <v>0</v>
      </c>
      <c r="X208" s="7">
        <f ca="1">AVERAGE(E208:OFFSET(F208,-$X$5+1,0))</f>
        <v>8914.5</v>
      </c>
      <c r="Y208" s="7">
        <f ca="1">AVERAGE(E208:OFFSET(F208,-$Y$5+1,0))</f>
        <v>8798.35</v>
      </c>
      <c r="Z208" s="7">
        <f t="shared" ca="1" si="31"/>
        <v>0</v>
      </c>
      <c r="AC208" s="28"/>
      <c r="AD208" s="28"/>
    </row>
    <row r="209" spans="1:30">
      <c r="A209" s="3" t="s">
        <v>33</v>
      </c>
      <c r="B209" s="4">
        <v>41948</v>
      </c>
      <c r="C209" s="3">
        <v>9030</v>
      </c>
      <c r="D209" s="3">
        <v>9039</v>
      </c>
      <c r="E209" s="3">
        <v>8960</v>
      </c>
      <c r="F209" s="3">
        <v>8984</v>
      </c>
      <c r="G209" s="3">
        <v>111110</v>
      </c>
      <c r="H209" s="3">
        <v>1.355</v>
      </c>
      <c r="I209" s="2">
        <f t="shared" si="40"/>
        <v>0</v>
      </c>
      <c r="J209" s="10">
        <f t="shared" si="42"/>
        <v>38</v>
      </c>
      <c r="K209" s="10">
        <f t="shared" si="41"/>
        <v>-46</v>
      </c>
      <c r="L209" s="10">
        <f t="shared" ca="1" si="30"/>
        <v>0</v>
      </c>
      <c r="M209" s="10">
        <f t="shared" ca="1" si="32"/>
        <v>1</v>
      </c>
      <c r="N209" s="30">
        <f t="shared" ca="1" si="33"/>
        <v>0</v>
      </c>
      <c r="O209" s="10">
        <f t="shared" ca="1" si="34"/>
        <v>1735000</v>
      </c>
      <c r="P209" s="29">
        <f t="shared" ca="1" si="35"/>
        <v>-1600</v>
      </c>
      <c r="Q209" s="12">
        <f t="shared" ca="1" si="36"/>
        <v>-45100</v>
      </c>
      <c r="R209" s="10">
        <f t="shared" ca="1" si="37"/>
        <v>-9.2219020172910657E-2</v>
      </c>
      <c r="U209" s="12">
        <f t="shared" ca="1" si="38"/>
        <v>0</v>
      </c>
      <c r="V209" s="14">
        <f t="shared" ca="1" si="39"/>
        <v>0</v>
      </c>
      <c r="X209" s="7">
        <f ca="1">AVERAGE(E209:OFFSET(F209,-$X$5+1,0))</f>
        <v>8939.2000000000007</v>
      </c>
      <c r="Y209" s="7">
        <f ca="1">AVERAGE(E209:OFFSET(F209,-$Y$5+1,0))</f>
        <v>8822.65</v>
      </c>
      <c r="Z209" s="7">
        <f t="shared" ca="1" si="31"/>
        <v>0</v>
      </c>
      <c r="AC209" s="28"/>
      <c r="AD209" s="28"/>
    </row>
    <row r="210" spans="1:30">
      <c r="A210" s="3" t="s">
        <v>33</v>
      </c>
      <c r="B210" s="4">
        <v>41949</v>
      </c>
      <c r="C210" s="3">
        <v>8976</v>
      </c>
      <c r="D210" s="3">
        <v>9005</v>
      </c>
      <c r="E210" s="3">
        <v>8890</v>
      </c>
      <c r="F210" s="3">
        <v>8902</v>
      </c>
      <c r="G210" s="3">
        <v>129127</v>
      </c>
      <c r="H210" s="3">
        <v>1.355</v>
      </c>
      <c r="I210" s="2">
        <f t="shared" si="40"/>
        <v>0</v>
      </c>
      <c r="J210" s="10">
        <f t="shared" si="42"/>
        <v>-8</v>
      </c>
      <c r="K210" s="10">
        <f t="shared" si="41"/>
        <v>-74</v>
      </c>
      <c r="L210" s="10">
        <f t="shared" ca="1" si="30"/>
        <v>0</v>
      </c>
      <c r="M210" s="10">
        <f t="shared" ca="1" si="32"/>
        <v>1</v>
      </c>
      <c r="N210" s="30">
        <f t="shared" ca="1" si="33"/>
        <v>0</v>
      </c>
      <c r="O210" s="10">
        <f t="shared" ca="1" si="34"/>
        <v>1735000</v>
      </c>
      <c r="P210" s="29">
        <f t="shared" ca="1" si="35"/>
        <v>-16400</v>
      </c>
      <c r="Q210" s="12">
        <f t="shared" ca="1" si="36"/>
        <v>-61500</v>
      </c>
      <c r="R210" s="10">
        <f t="shared" ca="1" si="37"/>
        <v>-0.94524495677233433</v>
      </c>
      <c r="U210" s="12">
        <f t="shared" ca="1" si="38"/>
        <v>0</v>
      </c>
      <c r="V210" s="14">
        <f t="shared" ca="1" si="39"/>
        <v>0</v>
      </c>
      <c r="X210" s="7">
        <f ca="1">AVERAGE(E210:OFFSET(F210,-$X$5+1,0))</f>
        <v>8946.5</v>
      </c>
      <c r="Y210" s="7">
        <f ca="1">AVERAGE(E210:OFFSET(F210,-$Y$5+1,0))</f>
        <v>8841.1</v>
      </c>
      <c r="Z210" s="7">
        <f t="shared" ca="1" si="31"/>
        <v>0</v>
      </c>
      <c r="AC210" s="28"/>
      <c r="AD210" s="28"/>
    </row>
    <row r="211" spans="1:30">
      <c r="A211" s="3" t="s">
        <v>33</v>
      </c>
      <c r="B211" s="4">
        <v>41950</v>
      </c>
      <c r="C211" s="3">
        <v>8924</v>
      </c>
      <c r="D211" s="3">
        <v>8943</v>
      </c>
      <c r="E211" s="3">
        <v>8862</v>
      </c>
      <c r="F211" s="3">
        <v>8939</v>
      </c>
      <c r="G211" s="3">
        <v>117608</v>
      </c>
      <c r="H211" s="3">
        <v>1.355</v>
      </c>
      <c r="I211" s="2">
        <f t="shared" si="40"/>
        <v>0</v>
      </c>
      <c r="J211" s="10">
        <f t="shared" si="42"/>
        <v>22</v>
      </c>
      <c r="K211" s="10">
        <f t="shared" si="41"/>
        <v>15</v>
      </c>
      <c r="L211" s="10">
        <f t="shared" ca="1" si="30"/>
        <v>0</v>
      </c>
      <c r="M211" s="10">
        <f t="shared" ca="1" si="32"/>
        <v>1</v>
      </c>
      <c r="N211" s="30">
        <f t="shared" ca="1" si="33"/>
        <v>0</v>
      </c>
      <c r="O211" s="10">
        <f t="shared" ca="1" si="34"/>
        <v>1735000</v>
      </c>
      <c r="P211" s="29">
        <f t="shared" ca="1" si="35"/>
        <v>7400</v>
      </c>
      <c r="Q211" s="12">
        <f t="shared" ca="1" si="36"/>
        <v>-54100</v>
      </c>
      <c r="R211" s="10">
        <f t="shared" ca="1" si="37"/>
        <v>0.4265129682997118</v>
      </c>
      <c r="U211" s="12">
        <f t="shared" ca="1" si="38"/>
        <v>0</v>
      </c>
      <c r="V211" s="14">
        <f t="shared" ca="1" si="39"/>
        <v>0</v>
      </c>
      <c r="X211" s="7">
        <f ca="1">AVERAGE(E211:OFFSET(F211,-$X$5+1,0))</f>
        <v>8942.1</v>
      </c>
      <c r="Y211" s="7">
        <f ca="1">AVERAGE(E211:OFFSET(F211,-$Y$5+1,0))</f>
        <v>8868.6</v>
      </c>
      <c r="Z211" s="7">
        <f t="shared" ca="1" si="31"/>
        <v>0</v>
      </c>
      <c r="AC211" s="28"/>
      <c r="AD211" s="28"/>
    </row>
    <row r="212" spans="1:30">
      <c r="A212" s="3" t="s">
        <v>33</v>
      </c>
      <c r="B212" s="4">
        <v>41953</v>
      </c>
      <c r="C212" s="3">
        <v>8965</v>
      </c>
      <c r="D212" s="3">
        <v>9092</v>
      </c>
      <c r="E212" s="3">
        <v>8952</v>
      </c>
      <c r="F212" s="3">
        <v>9074</v>
      </c>
      <c r="G212" s="3">
        <v>120952</v>
      </c>
      <c r="H212" s="3">
        <v>1.355</v>
      </c>
      <c r="I212" s="2">
        <f t="shared" si="40"/>
        <v>0</v>
      </c>
      <c r="J212" s="10">
        <f t="shared" si="42"/>
        <v>26</v>
      </c>
      <c r="K212" s="10">
        <f t="shared" si="41"/>
        <v>109</v>
      </c>
      <c r="L212" s="10">
        <f t="shared" ca="1" si="30"/>
        <v>0</v>
      </c>
      <c r="M212" s="10">
        <f t="shared" ca="1" si="32"/>
        <v>1</v>
      </c>
      <c r="N212" s="30">
        <f t="shared" ca="1" si="33"/>
        <v>0</v>
      </c>
      <c r="O212" s="10">
        <f t="shared" ca="1" si="34"/>
        <v>1735000</v>
      </c>
      <c r="P212" s="29">
        <f t="shared" ca="1" si="35"/>
        <v>27000</v>
      </c>
      <c r="Q212" s="12">
        <f t="shared" ca="1" si="36"/>
        <v>-27100</v>
      </c>
      <c r="R212" s="10">
        <f t="shared" ca="1" si="37"/>
        <v>1.5561959654178674</v>
      </c>
      <c r="U212" s="12">
        <f t="shared" ca="1" si="38"/>
        <v>0</v>
      </c>
      <c r="V212" s="14">
        <f t="shared" ca="1" si="39"/>
        <v>0</v>
      </c>
      <c r="X212" s="7">
        <f ca="1">AVERAGE(E212:OFFSET(F212,-$X$5+1,0))</f>
        <v>8952.2999999999993</v>
      </c>
      <c r="Y212" s="7">
        <f ca="1">AVERAGE(E212:OFFSET(F212,-$Y$5+1,0))</f>
        <v>8908.2000000000007</v>
      </c>
      <c r="Z212" s="7">
        <f t="shared" ca="1" si="31"/>
        <v>0</v>
      </c>
    </row>
    <row r="213" spans="1:30">
      <c r="A213" s="3" t="s">
        <v>33</v>
      </c>
      <c r="B213" s="4">
        <v>41954</v>
      </c>
      <c r="C213" s="3">
        <v>9088</v>
      </c>
      <c r="D213" s="3">
        <v>9105</v>
      </c>
      <c r="E213" s="3">
        <v>9048</v>
      </c>
      <c r="F213" s="3">
        <v>9063</v>
      </c>
      <c r="G213" s="3">
        <v>91460</v>
      </c>
      <c r="H213" s="3">
        <v>1.355</v>
      </c>
      <c r="I213" s="2">
        <f t="shared" si="40"/>
        <v>0</v>
      </c>
      <c r="J213" s="10">
        <f t="shared" si="42"/>
        <v>14</v>
      </c>
      <c r="K213" s="10">
        <f t="shared" si="41"/>
        <v>-25</v>
      </c>
      <c r="L213" s="10">
        <f t="shared" ca="1" si="30"/>
        <v>0</v>
      </c>
      <c r="M213" s="10">
        <f t="shared" ca="1" si="32"/>
        <v>1</v>
      </c>
      <c r="N213" s="30">
        <f t="shared" ca="1" si="33"/>
        <v>0</v>
      </c>
      <c r="O213" s="10">
        <f t="shared" ca="1" si="34"/>
        <v>1735000</v>
      </c>
      <c r="P213" s="29">
        <f t="shared" ca="1" si="35"/>
        <v>-2200</v>
      </c>
      <c r="Q213" s="12">
        <f t="shared" ca="1" si="36"/>
        <v>-29300</v>
      </c>
      <c r="R213" s="10">
        <f t="shared" ca="1" si="37"/>
        <v>-0.12680115273775217</v>
      </c>
      <c r="U213" s="12">
        <f t="shared" ca="1" si="38"/>
        <v>0</v>
      </c>
      <c r="V213" s="14">
        <f t="shared" ca="1" si="39"/>
        <v>0</v>
      </c>
      <c r="X213" s="7">
        <f ca="1">AVERAGE(E213:OFFSET(F213,-$X$5+1,0))</f>
        <v>8967.4</v>
      </c>
      <c r="Y213" s="7">
        <f ca="1">AVERAGE(E213:OFFSET(F213,-$Y$5+1,0))</f>
        <v>8940.9500000000007</v>
      </c>
      <c r="Z213" s="7">
        <f t="shared" ca="1" si="31"/>
        <v>0</v>
      </c>
    </row>
    <row r="214" spans="1:30">
      <c r="A214" s="3" t="s">
        <v>33</v>
      </c>
      <c r="B214" s="4">
        <v>41955</v>
      </c>
      <c r="C214" s="3">
        <v>9028</v>
      </c>
      <c r="D214" s="3">
        <v>9034</v>
      </c>
      <c r="E214" s="3">
        <v>8901</v>
      </c>
      <c r="F214" s="3">
        <v>8905</v>
      </c>
      <c r="G214" s="3">
        <v>141490</v>
      </c>
      <c r="H214" s="3">
        <v>1.355</v>
      </c>
      <c r="I214" s="2">
        <f t="shared" si="40"/>
        <v>0</v>
      </c>
      <c r="J214" s="10">
        <f t="shared" si="42"/>
        <v>-35</v>
      </c>
      <c r="K214" s="10">
        <f t="shared" si="41"/>
        <v>-123</v>
      </c>
      <c r="L214" s="10">
        <f t="shared" ca="1" si="30"/>
        <v>0</v>
      </c>
      <c r="M214" s="10">
        <f t="shared" ca="1" si="32"/>
        <v>1</v>
      </c>
      <c r="N214" s="30">
        <f t="shared" ca="1" si="33"/>
        <v>0</v>
      </c>
      <c r="O214" s="10">
        <f t="shared" ca="1" si="34"/>
        <v>1735000</v>
      </c>
      <c r="P214" s="29">
        <f t="shared" ca="1" si="35"/>
        <v>-31600</v>
      </c>
      <c r="Q214" s="12">
        <f t="shared" ca="1" si="36"/>
        <v>-60900</v>
      </c>
      <c r="R214" s="10">
        <f t="shared" ca="1" si="37"/>
        <v>-1.8213256484149856</v>
      </c>
      <c r="U214" s="12">
        <f t="shared" ca="1" si="38"/>
        <v>0</v>
      </c>
      <c r="V214" s="14">
        <f t="shared" ca="1" si="39"/>
        <v>0</v>
      </c>
      <c r="X214" s="7">
        <f ca="1">AVERAGE(E214:OFFSET(F214,-$X$5+1,0))</f>
        <v>8953.6</v>
      </c>
      <c r="Y214" s="7">
        <f ca="1">AVERAGE(E214:OFFSET(F214,-$Y$5+1,0))</f>
        <v>8946.4</v>
      </c>
      <c r="Z214" s="7">
        <f t="shared" ca="1" si="31"/>
        <v>0</v>
      </c>
    </row>
    <row r="215" spans="1:30">
      <c r="A215" s="3" t="s">
        <v>33</v>
      </c>
      <c r="B215" s="4">
        <v>41956</v>
      </c>
      <c r="C215" s="3">
        <v>8920</v>
      </c>
      <c r="D215" s="3">
        <v>8978</v>
      </c>
      <c r="E215" s="3">
        <v>8903</v>
      </c>
      <c r="F215" s="3">
        <v>8959</v>
      </c>
      <c r="G215" s="3">
        <v>112842</v>
      </c>
      <c r="H215" s="3">
        <v>1.355</v>
      </c>
      <c r="I215" s="2">
        <f t="shared" si="40"/>
        <v>0</v>
      </c>
      <c r="J215" s="10">
        <f t="shared" si="42"/>
        <v>15</v>
      </c>
      <c r="K215" s="10">
        <f t="shared" si="41"/>
        <v>39</v>
      </c>
      <c r="L215" s="10">
        <f t="shared" ca="1" si="30"/>
        <v>0</v>
      </c>
      <c r="M215" s="10">
        <f t="shared" ca="1" si="32"/>
        <v>1</v>
      </c>
      <c r="N215" s="30">
        <f t="shared" ca="1" si="33"/>
        <v>0</v>
      </c>
      <c r="O215" s="10">
        <f t="shared" ca="1" si="34"/>
        <v>1735000</v>
      </c>
      <c r="P215" s="29">
        <f t="shared" ca="1" si="35"/>
        <v>10800</v>
      </c>
      <c r="Q215" s="12">
        <f t="shared" ca="1" si="36"/>
        <v>-50100</v>
      </c>
      <c r="R215" s="10">
        <f t="shared" ca="1" si="37"/>
        <v>0.62247838616714701</v>
      </c>
      <c r="U215" s="12">
        <f t="shared" ca="1" si="38"/>
        <v>0</v>
      </c>
      <c r="V215" s="14">
        <f t="shared" ca="1" si="39"/>
        <v>0</v>
      </c>
      <c r="X215" s="7">
        <f ca="1">AVERAGE(E215:OFFSET(F215,-$X$5+1,0))</f>
        <v>8960.6</v>
      </c>
      <c r="Y215" s="7">
        <f ca="1">AVERAGE(E215:OFFSET(F215,-$Y$5+1,0))</f>
        <v>8953.5499999999993</v>
      </c>
      <c r="Z215" s="7">
        <f t="shared" ca="1" si="31"/>
        <v>0</v>
      </c>
    </row>
    <row r="216" spans="1:30">
      <c r="A216" s="3" t="s">
        <v>33</v>
      </c>
      <c r="B216" s="4">
        <v>41957</v>
      </c>
      <c r="C216" s="3">
        <v>8980</v>
      </c>
      <c r="D216" s="3">
        <v>8996</v>
      </c>
      <c r="E216" s="3">
        <v>8933</v>
      </c>
      <c r="F216" s="3">
        <v>8962</v>
      </c>
      <c r="G216" s="3">
        <v>109824</v>
      </c>
      <c r="H216" s="3">
        <v>1.355</v>
      </c>
      <c r="I216" s="2">
        <f t="shared" si="40"/>
        <v>0</v>
      </c>
      <c r="J216" s="10">
        <f t="shared" si="42"/>
        <v>21</v>
      </c>
      <c r="K216" s="10">
        <f t="shared" si="41"/>
        <v>-18</v>
      </c>
      <c r="L216" s="10">
        <f t="shared" ca="1" si="30"/>
        <v>0</v>
      </c>
      <c r="M216" s="10">
        <f t="shared" ca="1" si="32"/>
        <v>1</v>
      </c>
      <c r="N216" s="30">
        <f t="shared" ca="1" si="33"/>
        <v>0</v>
      </c>
      <c r="O216" s="10">
        <f t="shared" ca="1" si="34"/>
        <v>1735000</v>
      </c>
      <c r="P216" s="29">
        <f t="shared" ca="1" si="35"/>
        <v>600</v>
      </c>
      <c r="Q216" s="12">
        <f t="shared" ca="1" si="36"/>
        <v>-49500</v>
      </c>
      <c r="R216" s="10">
        <f t="shared" ca="1" si="37"/>
        <v>3.4582132564841501E-2</v>
      </c>
      <c r="U216" s="12">
        <f t="shared" ca="1" si="38"/>
        <v>0</v>
      </c>
      <c r="V216" s="14">
        <f t="shared" ca="1" si="39"/>
        <v>0</v>
      </c>
      <c r="X216" s="7">
        <f ca="1">AVERAGE(E216:OFFSET(F216,-$X$5+1,0))</f>
        <v>8970</v>
      </c>
      <c r="Y216" s="7">
        <f ca="1">AVERAGE(E216:OFFSET(F216,-$Y$5+1,0))</f>
        <v>8956.0499999999993</v>
      </c>
      <c r="Z216" s="7">
        <f t="shared" ca="1" si="31"/>
        <v>0</v>
      </c>
    </row>
    <row r="217" spans="1:30">
      <c r="A217" s="3" t="s">
        <v>33</v>
      </c>
      <c r="B217" s="4">
        <v>41960</v>
      </c>
      <c r="C217" s="3">
        <v>8959</v>
      </c>
      <c r="D217" s="3">
        <v>9043</v>
      </c>
      <c r="E217" s="3">
        <v>8872</v>
      </c>
      <c r="F217" s="3">
        <v>8900</v>
      </c>
      <c r="G217" s="3">
        <v>156670</v>
      </c>
      <c r="H217" s="3">
        <v>1.355</v>
      </c>
      <c r="I217" s="2">
        <f t="shared" si="40"/>
        <v>0</v>
      </c>
      <c r="J217" s="10">
        <f t="shared" si="42"/>
        <v>-3</v>
      </c>
      <c r="K217" s="10">
        <f t="shared" si="41"/>
        <v>-59</v>
      </c>
      <c r="L217" s="10">
        <f t="shared" ca="1" si="30"/>
        <v>-1</v>
      </c>
      <c r="M217" s="10">
        <f t="shared" ca="1" si="32"/>
        <v>1</v>
      </c>
      <c r="N217" s="30">
        <f t="shared" ca="1" si="33"/>
        <v>0</v>
      </c>
      <c r="O217" s="10">
        <f t="shared" ca="1" si="34"/>
        <v>1735000</v>
      </c>
      <c r="P217" s="29">
        <f t="shared" ca="1" si="35"/>
        <v>-12400</v>
      </c>
      <c r="Q217" s="12">
        <f t="shared" ca="1" si="36"/>
        <v>-61900</v>
      </c>
      <c r="R217" s="10">
        <f t="shared" ca="1" si="37"/>
        <v>-0.71469740634005763</v>
      </c>
      <c r="U217" s="12">
        <f t="shared" ca="1" si="38"/>
        <v>0</v>
      </c>
      <c r="V217" s="14">
        <f t="shared" ca="1" si="39"/>
        <v>0</v>
      </c>
      <c r="X217" s="7">
        <f ca="1">AVERAGE(E217:OFFSET(F217,-$X$5+1,0))</f>
        <v>8944.6</v>
      </c>
      <c r="Y217" s="7">
        <f ca="1">AVERAGE(E217:OFFSET(F217,-$Y$5+1,0))</f>
        <v>8948.4500000000007</v>
      </c>
      <c r="Z217" s="7">
        <f t="shared" ca="1" si="31"/>
        <v>-1</v>
      </c>
    </row>
    <row r="218" spans="1:30">
      <c r="A218" s="3" t="s">
        <v>33</v>
      </c>
      <c r="B218" s="4">
        <v>41961</v>
      </c>
      <c r="C218" s="3">
        <v>8951</v>
      </c>
      <c r="D218" s="3">
        <v>8958</v>
      </c>
      <c r="E218" s="3">
        <v>8839</v>
      </c>
      <c r="F218" s="3">
        <v>8872</v>
      </c>
      <c r="G218" s="3">
        <v>124772</v>
      </c>
      <c r="H218" s="3">
        <v>1.355</v>
      </c>
      <c r="I218" s="2">
        <f t="shared" si="40"/>
        <v>0</v>
      </c>
      <c r="J218" s="10">
        <f t="shared" si="42"/>
        <v>51</v>
      </c>
      <c r="K218" s="10">
        <f t="shared" si="41"/>
        <v>-79</v>
      </c>
      <c r="L218" s="10">
        <f t="shared" ca="1" si="30"/>
        <v>0</v>
      </c>
      <c r="M218" s="10">
        <f t="shared" ca="1" si="32"/>
        <v>0</v>
      </c>
      <c r="N218" s="30">
        <f t="shared" ca="1" si="33"/>
        <v>0</v>
      </c>
      <c r="O218" s="10">
        <f t="shared" ca="1" si="34"/>
        <v>0</v>
      </c>
      <c r="P218" s="29">
        <f t="shared" ca="1" si="35"/>
        <v>9700</v>
      </c>
      <c r="Q218" s="12">
        <f t="shared" ca="1" si="36"/>
        <v>-52200</v>
      </c>
      <c r="R218" s="10">
        <f t="shared" ca="1" si="37"/>
        <v>0.55907780979827093</v>
      </c>
      <c r="U218" s="12">
        <f t="shared" ca="1" si="38"/>
        <v>0</v>
      </c>
      <c r="V218" s="14">
        <f t="shared" ca="1" si="39"/>
        <v>0</v>
      </c>
      <c r="X218" s="7">
        <f ca="1">AVERAGE(E218:OFFSET(F218,-$X$5+1,0))</f>
        <v>8904.6</v>
      </c>
      <c r="Y218" s="7">
        <f ca="1">AVERAGE(E218:OFFSET(F218,-$Y$5+1,0))</f>
        <v>8936</v>
      </c>
      <c r="Z218" s="7">
        <f t="shared" ca="1" si="31"/>
        <v>0</v>
      </c>
    </row>
    <row r="219" spans="1:30">
      <c r="A219" s="3" t="s">
        <v>33</v>
      </c>
      <c r="B219" s="4">
        <v>41962</v>
      </c>
      <c r="C219" s="3">
        <v>8905</v>
      </c>
      <c r="D219" s="3">
        <v>8985</v>
      </c>
      <c r="E219" s="3">
        <v>8877</v>
      </c>
      <c r="F219" s="3">
        <v>8953</v>
      </c>
      <c r="G219" s="3">
        <v>73761</v>
      </c>
      <c r="H219" s="3">
        <v>1.355</v>
      </c>
      <c r="I219" s="2">
        <f t="shared" si="40"/>
        <v>1</v>
      </c>
      <c r="J219" s="10">
        <f t="shared" si="42"/>
        <v>33</v>
      </c>
      <c r="K219" s="10">
        <f t="shared" si="41"/>
        <v>48</v>
      </c>
      <c r="L219" s="10">
        <f t="shared" ca="1" si="30"/>
        <v>0</v>
      </c>
      <c r="M219" s="10">
        <f t="shared" si="32"/>
        <v>0</v>
      </c>
      <c r="N219" s="30">
        <f t="shared" si="33"/>
        <v>0</v>
      </c>
      <c r="O219" s="10">
        <f t="shared" si="34"/>
        <v>0</v>
      </c>
      <c r="P219" s="29">
        <f t="shared" ca="1" si="35"/>
        <v>0</v>
      </c>
      <c r="Q219" s="12">
        <f t="shared" ca="1" si="36"/>
        <v>-52200</v>
      </c>
      <c r="R219" s="10">
        <f t="shared" ca="1" si="37"/>
        <v>0</v>
      </c>
      <c r="U219" s="12">
        <f t="shared" ca="1" si="38"/>
        <v>0</v>
      </c>
      <c r="V219" s="14">
        <f t="shared" ca="1" si="39"/>
        <v>0</v>
      </c>
      <c r="X219" s="7">
        <f ca="1">AVERAGE(E219:OFFSET(F219,-$X$5+1,0))</f>
        <v>8907</v>
      </c>
      <c r="Y219" s="7">
        <f ca="1">AVERAGE(E219:OFFSET(F219,-$Y$5+1,0))</f>
        <v>8930.2999999999993</v>
      </c>
      <c r="Z219" s="7">
        <f t="shared" ca="1" si="31"/>
        <v>0</v>
      </c>
    </row>
    <row r="220" spans="1:30">
      <c r="A220" s="3" t="s">
        <v>34</v>
      </c>
      <c r="B220" s="4">
        <v>41963</v>
      </c>
      <c r="C220" s="3">
        <v>9031</v>
      </c>
      <c r="D220" s="3">
        <v>9104</v>
      </c>
      <c r="E220" s="3">
        <v>9012</v>
      </c>
      <c r="F220" s="3">
        <v>9093</v>
      </c>
      <c r="G220" s="3">
        <v>113333</v>
      </c>
      <c r="H220" s="3">
        <v>1.355</v>
      </c>
      <c r="I220" s="2">
        <f t="shared" si="40"/>
        <v>0</v>
      </c>
      <c r="J220" s="10">
        <f t="shared" si="42"/>
        <v>78</v>
      </c>
      <c r="K220" s="10">
        <f t="shared" si="41"/>
        <v>62</v>
      </c>
      <c r="L220" s="10">
        <f t="shared" ca="1" si="30"/>
        <v>0</v>
      </c>
      <c r="M220" s="10">
        <f t="shared" ca="1" si="32"/>
        <v>0</v>
      </c>
      <c r="N220" s="30">
        <f t="shared" ca="1" si="33"/>
        <v>0</v>
      </c>
      <c r="O220" s="10">
        <f t="shared" ca="1" si="34"/>
        <v>0</v>
      </c>
      <c r="P220" s="29">
        <f t="shared" ca="1" si="35"/>
        <v>0</v>
      </c>
      <c r="Q220" s="12">
        <f t="shared" ca="1" si="36"/>
        <v>-52200</v>
      </c>
      <c r="R220" s="10">
        <f t="shared" ca="1" si="37"/>
        <v>0</v>
      </c>
      <c r="U220" s="12">
        <f t="shared" ca="1" si="38"/>
        <v>0</v>
      </c>
      <c r="V220" s="14">
        <f t="shared" ca="1" si="39"/>
        <v>0</v>
      </c>
      <c r="X220" s="7">
        <f ca="1">AVERAGE(E220:OFFSET(F220,-$X$5+1,0))</f>
        <v>8931.2999999999993</v>
      </c>
      <c r="Y220" s="7">
        <f ca="1">AVERAGE(E220:OFFSET(F220,-$Y$5+1,0))</f>
        <v>8945.9500000000007</v>
      </c>
      <c r="Z220" s="7">
        <f t="shared" ca="1" si="31"/>
        <v>0</v>
      </c>
    </row>
    <row r="221" spans="1:30">
      <c r="A221" s="3" t="s">
        <v>34</v>
      </c>
      <c r="B221" s="4">
        <v>41964</v>
      </c>
      <c r="C221" s="3">
        <v>9119</v>
      </c>
      <c r="D221" s="3">
        <v>9125</v>
      </c>
      <c r="E221" s="3">
        <v>9081</v>
      </c>
      <c r="F221" s="3">
        <v>9103</v>
      </c>
      <c r="G221" s="3">
        <v>83395</v>
      </c>
      <c r="H221" s="3">
        <v>1.355</v>
      </c>
      <c r="I221" s="2">
        <f t="shared" si="40"/>
        <v>0</v>
      </c>
      <c r="J221" s="10">
        <f t="shared" si="42"/>
        <v>26</v>
      </c>
      <c r="K221" s="10">
        <f t="shared" si="41"/>
        <v>-16</v>
      </c>
      <c r="L221" s="10">
        <f t="shared" ca="1" si="30"/>
        <v>0</v>
      </c>
      <c r="M221" s="10">
        <f t="shared" ca="1" si="32"/>
        <v>0</v>
      </c>
      <c r="N221" s="30">
        <f t="shared" ca="1" si="33"/>
        <v>0</v>
      </c>
      <c r="O221" s="10">
        <f t="shared" ca="1" si="34"/>
        <v>0</v>
      </c>
      <c r="P221" s="29">
        <f t="shared" ca="1" si="35"/>
        <v>0</v>
      </c>
      <c r="Q221" s="12">
        <f t="shared" ca="1" si="36"/>
        <v>-52200</v>
      </c>
      <c r="R221" s="10">
        <f t="shared" ca="1" si="37"/>
        <v>0</v>
      </c>
      <c r="U221" s="12">
        <f t="shared" ca="1" si="38"/>
        <v>0</v>
      </c>
      <c r="V221" s="14">
        <f t="shared" ca="1" si="39"/>
        <v>0</v>
      </c>
      <c r="X221" s="7">
        <f ca="1">AVERAGE(E221:OFFSET(F221,-$X$5+1,0))</f>
        <v>8960.2000000000007</v>
      </c>
      <c r="Y221" s="7">
        <f ca="1">AVERAGE(E221:OFFSET(F221,-$Y$5+1,0))</f>
        <v>8965.1</v>
      </c>
      <c r="Z221" s="7">
        <f t="shared" ca="1" si="31"/>
        <v>0</v>
      </c>
    </row>
    <row r="222" spans="1:30">
      <c r="A222" s="3" t="s">
        <v>34</v>
      </c>
      <c r="B222" s="4">
        <v>41967</v>
      </c>
      <c r="C222" s="3">
        <v>9135</v>
      </c>
      <c r="D222" s="3">
        <v>9170</v>
      </c>
      <c r="E222" s="3">
        <v>9109</v>
      </c>
      <c r="F222" s="3">
        <v>9130</v>
      </c>
      <c r="G222" s="3">
        <v>77972</v>
      </c>
      <c r="H222" s="3">
        <v>1.355</v>
      </c>
      <c r="I222" s="2">
        <f t="shared" si="40"/>
        <v>0</v>
      </c>
      <c r="J222" s="10">
        <f t="shared" si="42"/>
        <v>32</v>
      </c>
      <c r="K222" s="10">
        <f t="shared" si="41"/>
        <v>-5</v>
      </c>
      <c r="L222" s="10">
        <f t="shared" ca="1" si="30"/>
        <v>1</v>
      </c>
      <c r="M222" s="10">
        <f t="shared" ca="1" si="32"/>
        <v>0</v>
      </c>
      <c r="N222" s="30">
        <f t="shared" ca="1" si="33"/>
        <v>0</v>
      </c>
      <c r="O222" s="10">
        <f t="shared" ca="1" si="34"/>
        <v>0</v>
      </c>
      <c r="P222" s="29">
        <f t="shared" ca="1" si="35"/>
        <v>0</v>
      </c>
      <c r="Q222" s="12">
        <f t="shared" ca="1" si="36"/>
        <v>-52200</v>
      </c>
      <c r="R222" s="10">
        <f t="shared" ca="1" si="37"/>
        <v>0</v>
      </c>
      <c r="U222" s="12">
        <f t="shared" ca="1" si="38"/>
        <v>0</v>
      </c>
      <c r="V222" s="14">
        <f t="shared" ca="1" si="39"/>
        <v>0</v>
      </c>
      <c r="X222" s="7">
        <f ca="1">AVERAGE(E222:OFFSET(F222,-$X$5+1,0))</f>
        <v>9006.9</v>
      </c>
      <c r="Y222" s="7">
        <f ca="1">AVERAGE(E222:OFFSET(F222,-$Y$5+1,0))</f>
        <v>8975.75</v>
      </c>
      <c r="Z222" s="7">
        <f t="shared" ca="1" si="31"/>
        <v>1</v>
      </c>
    </row>
    <row r="223" spans="1:30">
      <c r="A223" s="3" t="s">
        <v>34</v>
      </c>
      <c r="B223" s="4">
        <v>41968</v>
      </c>
      <c r="C223" s="3">
        <v>9116</v>
      </c>
      <c r="D223" s="3">
        <v>9150</v>
      </c>
      <c r="E223" s="3">
        <v>9069</v>
      </c>
      <c r="F223" s="3">
        <v>9107</v>
      </c>
      <c r="G223" s="3">
        <v>101177</v>
      </c>
      <c r="H223" s="3">
        <v>1.355</v>
      </c>
      <c r="I223" s="2">
        <f t="shared" si="40"/>
        <v>0</v>
      </c>
      <c r="J223" s="10">
        <f t="shared" si="42"/>
        <v>-14</v>
      </c>
      <c r="K223" s="10">
        <f t="shared" si="41"/>
        <v>-9</v>
      </c>
      <c r="L223" s="10">
        <f t="shared" ca="1" si="30"/>
        <v>0</v>
      </c>
      <c r="M223" s="10">
        <f t="shared" ca="1" si="32"/>
        <v>1</v>
      </c>
      <c r="N223" s="30">
        <f t="shared" ca="1" si="33"/>
        <v>1823200</v>
      </c>
      <c r="O223" s="10">
        <f t="shared" ca="1" si="34"/>
        <v>1823200</v>
      </c>
      <c r="P223" s="29">
        <f t="shared" ca="1" si="35"/>
        <v>-2300</v>
      </c>
      <c r="Q223" s="12">
        <f t="shared" ca="1" si="36"/>
        <v>-54500</v>
      </c>
      <c r="R223" s="10">
        <f t="shared" ca="1" si="37"/>
        <v>-0.12615182097411146</v>
      </c>
      <c r="U223" s="12">
        <f t="shared" ca="1" si="38"/>
        <v>0</v>
      </c>
      <c r="V223" s="14">
        <f t="shared" ca="1" si="39"/>
        <v>0</v>
      </c>
      <c r="X223" s="7">
        <f ca="1">AVERAGE(E223:OFFSET(F223,-$X$5+1,0))</f>
        <v>9053.4</v>
      </c>
      <c r="Y223" s="7">
        <f ca="1">AVERAGE(E223:OFFSET(F223,-$Y$5+1,0))</f>
        <v>8979</v>
      </c>
      <c r="Z223" s="7">
        <f t="shared" ca="1" si="31"/>
        <v>0</v>
      </c>
    </row>
    <row r="224" spans="1:30">
      <c r="A224" s="3" t="s">
        <v>34</v>
      </c>
      <c r="B224" s="4">
        <v>41969</v>
      </c>
      <c r="C224" s="3">
        <v>9126</v>
      </c>
      <c r="D224" s="3">
        <v>9143</v>
      </c>
      <c r="E224" s="3">
        <v>9102</v>
      </c>
      <c r="F224" s="3">
        <v>9123</v>
      </c>
      <c r="G224" s="3">
        <v>73155</v>
      </c>
      <c r="H224" s="3">
        <v>1.355</v>
      </c>
      <c r="I224" s="2">
        <f t="shared" si="40"/>
        <v>0</v>
      </c>
      <c r="J224" s="10">
        <f t="shared" si="42"/>
        <v>19</v>
      </c>
      <c r="K224" s="10">
        <f t="shared" si="41"/>
        <v>-3</v>
      </c>
      <c r="L224" s="10">
        <f t="shared" ca="1" si="30"/>
        <v>0</v>
      </c>
      <c r="M224" s="10">
        <f t="shared" ca="1" si="32"/>
        <v>1</v>
      </c>
      <c r="N224" s="30">
        <f t="shared" ca="1" si="33"/>
        <v>0</v>
      </c>
      <c r="O224" s="10">
        <f t="shared" ca="1" si="34"/>
        <v>1823200</v>
      </c>
      <c r="P224" s="29">
        <f t="shared" ca="1" si="35"/>
        <v>3200</v>
      </c>
      <c r="Q224" s="12">
        <f t="shared" ca="1" si="36"/>
        <v>-51300</v>
      </c>
      <c r="R224" s="10">
        <f t="shared" ca="1" si="37"/>
        <v>0.1755155770074594</v>
      </c>
      <c r="U224" s="12">
        <f t="shared" ca="1" si="38"/>
        <v>0</v>
      </c>
      <c r="V224" s="14">
        <f t="shared" ca="1" si="39"/>
        <v>0</v>
      </c>
      <c r="X224" s="7">
        <f ca="1">AVERAGE(E224:OFFSET(F224,-$X$5+1,0))</f>
        <v>9092.9</v>
      </c>
      <c r="Y224" s="7">
        <f ca="1">AVERAGE(E224:OFFSET(F224,-$Y$5+1,0))</f>
        <v>8999.9500000000007</v>
      </c>
      <c r="Z224" s="7">
        <f t="shared" ca="1" si="31"/>
        <v>0</v>
      </c>
    </row>
    <row r="225" spans="1:26">
      <c r="A225" s="3" t="s">
        <v>34</v>
      </c>
      <c r="B225" s="4">
        <v>41970</v>
      </c>
      <c r="C225" s="3">
        <v>9136</v>
      </c>
      <c r="D225" s="3">
        <v>9235</v>
      </c>
      <c r="E225" s="3">
        <v>9136</v>
      </c>
      <c r="F225" s="3">
        <v>9176</v>
      </c>
      <c r="G225" s="3">
        <v>109702</v>
      </c>
      <c r="H225" s="3">
        <v>1.355</v>
      </c>
      <c r="I225" s="2">
        <f t="shared" si="40"/>
        <v>0</v>
      </c>
      <c r="J225" s="10">
        <f t="shared" si="42"/>
        <v>13</v>
      </c>
      <c r="K225" s="10">
        <f t="shared" si="41"/>
        <v>40</v>
      </c>
      <c r="L225" s="10">
        <f t="shared" ca="1" si="30"/>
        <v>0</v>
      </c>
      <c r="M225" s="10">
        <f t="shared" ca="1" si="32"/>
        <v>1</v>
      </c>
      <c r="N225" s="30">
        <f t="shared" ca="1" si="33"/>
        <v>0</v>
      </c>
      <c r="O225" s="10">
        <f t="shared" ca="1" si="34"/>
        <v>1823200</v>
      </c>
      <c r="P225" s="29">
        <f t="shared" ca="1" si="35"/>
        <v>10600</v>
      </c>
      <c r="Q225" s="12">
        <f t="shared" ca="1" si="36"/>
        <v>-40700</v>
      </c>
      <c r="R225" s="10">
        <f t="shared" ca="1" si="37"/>
        <v>0.58139534883720934</v>
      </c>
      <c r="U225" s="12">
        <f t="shared" ca="1" si="38"/>
        <v>0</v>
      </c>
      <c r="V225" s="14">
        <f t="shared" ca="1" si="39"/>
        <v>0</v>
      </c>
      <c r="X225" s="7">
        <f ca="1">AVERAGE(E225:OFFSET(F225,-$X$5+1,0))</f>
        <v>9113.6</v>
      </c>
      <c r="Y225" s="7">
        <f ca="1">AVERAGE(E225:OFFSET(F225,-$Y$5+1,0))</f>
        <v>9022.4500000000007</v>
      </c>
      <c r="Z225" s="7">
        <f t="shared" ca="1" si="31"/>
        <v>0</v>
      </c>
    </row>
    <row r="226" spans="1:26">
      <c r="A226" s="3" t="s">
        <v>34</v>
      </c>
      <c r="B226" s="4">
        <v>41971</v>
      </c>
      <c r="C226" s="3">
        <v>9202</v>
      </c>
      <c r="D226" s="3">
        <v>9208</v>
      </c>
      <c r="E226" s="3">
        <v>9174</v>
      </c>
      <c r="F226" s="3">
        <v>9181</v>
      </c>
      <c r="G226" s="3">
        <v>57835</v>
      </c>
      <c r="H226" s="3">
        <v>1.355</v>
      </c>
      <c r="I226" s="2">
        <f t="shared" si="40"/>
        <v>0</v>
      </c>
      <c r="J226" s="10">
        <f t="shared" si="42"/>
        <v>26</v>
      </c>
      <c r="K226" s="10">
        <f t="shared" si="41"/>
        <v>-21</v>
      </c>
      <c r="L226" s="10">
        <f t="shared" ca="1" si="30"/>
        <v>0</v>
      </c>
      <c r="M226" s="10">
        <f t="shared" ca="1" si="32"/>
        <v>1</v>
      </c>
      <c r="N226" s="30">
        <f t="shared" ca="1" si="33"/>
        <v>0</v>
      </c>
      <c r="O226" s="10">
        <f t="shared" ca="1" si="34"/>
        <v>1823200</v>
      </c>
      <c r="P226" s="29">
        <f t="shared" ca="1" si="35"/>
        <v>1000</v>
      </c>
      <c r="Q226" s="12">
        <f t="shared" ca="1" si="36"/>
        <v>-39700</v>
      </c>
      <c r="R226" s="10">
        <f t="shared" ca="1" si="37"/>
        <v>5.4848617814831066E-2</v>
      </c>
      <c r="U226" s="12">
        <f t="shared" ca="1" si="38"/>
        <v>0</v>
      </c>
      <c r="V226" s="14">
        <f t="shared" ca="1" si="39"/>
        <v>0</v>
      </c>
      <c r="X226" s="7">
        <f ca="1">AVERAGE(E226:OFFSET(F226,-$X$5+1,0))</f>
        <v>9130.7000000000007</v>
      </c>
      <c r="Y226" s="7">
        <f ca="1">AVERAGE(E226:OFFSET(F226,-$Y$5+1,0))</f>
        <v>9045.4500000000007</v>
      </c>
      <c r="Z226" s="7">
        <f t="shared" ca="1" si="31"/>
        <v>0</v>
      </c>
    </row>
    <row r="227" spans="1:26">
      <c r="A227" s="3" t="s">
        <v>34</v>
      </c>
      <c r="B227" s="4">
        <v>41974</v>
      </c>
      <c r="C227" s="3">
        <v>9036</v>
      </c>
      <c r="D227" s="3">
        <v>9182</v>
      </c>
      <c r="E227" s="3">
        <v>8991</v>
      </c>
      <c r="F227" s="3">
        <v>9119</v>
      </c>
      <c r="G227" s="3">
        <v>158276</v>
      </c>
      <c r="H227" s="3">
        <v>1.355</v>
      </c>
      <c r="I227" s="2">
        <f t="shared" si="40"/>
        <v>0</v>
      </c>
      <c r="J227" s="10">
        <f t="shared" si="42"/>
        <v>-145</v>
      </c>
      <c r="K227" s="10">
        <f t="shared" si="41"/>
        <v>83</v>
      </c>
      <c r="L227" s="10">
        <f t="shared" ca="1" si="30"/>
        <v>0</v>
      </c>
      <c r="M227" s="10">
        <f t="shared" ca="1" si="32"/>
        <v>1</v>
      </c>
      <c r="N227" s="30">
        <f t="shared" ca="1" si="33"/>
        <v>0</v>
      </c>
      <c r="O227" s="10">
        <f t="shared" ca="1" si="34"/>
        <v>1823200</v>
      </c>
      <c r="P227" s="29">
        <f t="shared" ca="1" si="35"/>
        <v>-12400</v>
      </c>
      <c r="Q227" s="12">
        <f t="shared" ca="1" si="36"/>
        <v>-52100</v>
      </c>
      <c r="R227" s="10">
        <f t="shared" ca="1" si="37"/>
        <v>-0.68012286090390517</v>
      </c>
      <c r="U227" s="12">
        <f t="shared" ca="1" si="38"/>
        <v>0</v>
      </c>
      <c r="V227" s="14">
        <f t="shared" ca="1" si="39"/>
        <v>0</v>
      </c>
      <c r="X227" s="7">
        <f ca="1">AVERAGE(E227:OFFSET(F227,-$X$5+1,0))</f>
        <v>9117.7999999999993</v>
      </c>
      <c r="Y227" s="7">
        <f ca="1">AVERAGE(E227:OFFSET(F227,-$Y$5+1,0))</f>
        <v>9062.35</v>
      </c>
      <c r="Z227" s="7">
        <f t="shared" ca="1" si="31"/>
        <v>0</v>
      </c>
    </row>
    <row r="228" spans="1:26">
      <c r="A228" s="3" t="s">
        <v>34</v>
      </c>
      <c r="B228" s="4">
        <v>41975</v>
      </c>
      <c r="C228" s="3">
        <v>9092</v>
      </c>
      <c r="D228" s="3">
        <v>9098</v>
      </c>
      <c r="E228" s="3">
        <v>9001</v>
      </c>
      <c r="F228" s="3">
        <v>9031</v>
      </c>
      <c r="G228" s="3">
        <v>145718</v>
      </c>
      <c r="H228" s="3">
        <v>1.355</v>
      </c>
      <c r="I228" s="2">
        <f t="shared" si="40"/>
        <v>0</v>
      </c>
      <c r="J228" s="10">
        <f t="shared" si="42"/>
        <v>-27</v>
      </c>
      <c r="K228" s="10">
        <f t="shared" si="41"/>
        <v>-61</v>
      </c>
      <c r="L228" s="10">
        <f t="shared" ca="1" si="30"/>
        <v>0</v>
      </c>
      <c r="M228" s="10">
        <f t="shared" ca="1" si="32"/>
        <v>1</v>
      </c>
      <c r="N228" s="30">
        <f t="shared" ca="1" si="33"/>
        <v>0</v>
      </c>
      <c r="O228" s="10">
        <f t="shared" ca="1" si="34"/>
        <v>1823200</v>
      </c>
      <c r="P228" s="29">
        <f t="shared" ca="1" si="35"/>
        <v>-17600</v>
      </c>
      <c r="Q228" s="12">
        <f t="shared" ca="1" si="36"/>
        <v>-69700</v>
      </c>
      <c r="R228" s="10">
        <f t="shared" ca="1" si="37"/>
        <v>-0.96533567354102678</v>
      </c>
      <c r="U228" s="12">
        <f t="shared" ca="1" si="38"/>
        <v>0</v>
      </c>
      <c r="V228" s="14">
        <f t="shared" ca="1" si="39"/>
        <v>0</v>
      </c>
      <c r="X228" s="7">
        <f ca="1">AVERAGE(E228:OFFSET(F228,-$X$5+1,0))</f>
        <v>9103.4</v>
      </c>
      <c r="Y228" s="7">
        <f ca="1">AVERAGE(E228:OFFSET(F228,-$Y$5+1,0))</f>
        <v>9078.4</v>
      </c>
      <c r="Z228" s="7">
        <f t="shared" ca="1" si="31"/>
        <v>0</v>
      </c>
    </row>
    <row r="229" spans="1:26">
      <c r="A229" s="3" t="s">
        <v>34</v>
      </c>
      <c r="B229" s="4">
        <v>41976</v>
      </c>
      <c r="C229" s="3">
        <v>9051</v>
      </c>
      <c r="D229" s="3">
        <v>9215</v>
      </c>
      <c r="E229" s="3">
        <v>9035</v>
      </c>
      <c r="F229" s="3">
        <v>9211</v>
      </c>
      <c r="G229" s="3">
        <v>149036</v>
      </c>
      <c r="H229" s="3">
        <v>1.355</v>
      </c>
      <c r="I229" s="2">
        <f t="shared" si="40"/>
        <v>0</v>
      </c>
      <c r="J229" s="10">
        <f t="shared" si="42"/>
        <v>20</v>
      </c>
      <c r="K229" s="10">
        <f t="shared" si="41"/>
        <v>160</v>
      </c>
      <c r="L229" s="10">
        <f t="shared" ca="1" si="30"/>
        <v>0</v>
      </c>
      <c r="M229" s="10">
        <f t="shared" ca="1" si="32"/>
        <v>1</v>
      </c>
      <c r="N229" s="30">
        <f t="shared" ca="1" si="33"/>
        <v>0</v>
      </c>
      <c r="O229" s="10">
        <f t="shared" ca="1" si="34"/>
        <v>1823200</v>
      </c>
      <c r="P229" s="29">
        <f t="shared" ca="1" si="35"/>
        <v>36000</v>
      </c>
      <c r="Q229" s="12">
        <f t="shared" ca="1" si="36"/>
        <v>-33700</v>
      </c>
      <c r="R229" s="10">
        <f t="shared" ca="1" si="37"/>
        <v>1.9745502413339184</v>
      </c>
      <c r="U229" s="12">
        <f t="shared" ca="1" si="38"/>
        <v>0</v>
      </c>
      <c r="V229" s="14">
        <f t="shared" ca="1" si="39"/>
        <v>0</v>
      </c>
      <c r="X229" s="7">
        <f ca="1">AVERAGE(E229:OFFSET(F229,-$X$5+1,0))</f>
        <v>9105.5</v>
      </c>
      <c r="Y229" s="7">
        <f ca="1">AVERAGE(E229:OFFSET(F229,-$Y$5+1,0))</f>
        <v>9099.2000000000007</v>
      </c>
      <c r="Z229" s="7">
        <f t="shared" ca="1" si="31"/>
        <v>0</v>
      </c>
    </row>
    <row r="230" spans="1:26">
      <c r="A230" s="3" t="s">
        <v>34</v>
      </c>
      <c r="B230" s="4">
        <v>41977</v>
      </c>
      <c r="C230" s="3">
        <v>9213</v>
      </c>
      <c r="D230" s="3">
        <v>9266</v>
      </c>
      <c r="E230" s="3">
        <v>9201</v>
      </c>
      <c r="F230" s="3">
        <v>9220</v>
      </c>
      <c r="G230" s="3">
        <v>97499</v>
      </c>
      <c r="H230" s="3">
        <v>1.355</v>
      </c>
      <c r="I230" s="2">
        <f t="shared" si="40"/>
        <v>0</v>
      </c>
      <c r="J230" s="10">
        <f t="shared" si="42"/>
        <v>2</v>
      </c>
      <c r="K230" s="10">
        <f t="shared" si="41"/>
        <v>7</v>
      </c>
      <c r="L230" s="10">
        <f t="shared" ca="1" si="30"/>
        <v>0</v>
      </c>
      <c r="M230" s="10">
        <f t="shared" ca="1" si="32"/>
        <v>1</v>
      </c>
      <c r="N230" s="30">
        <f t="shared" ca="1" si="33"/>
        <v>0</v>
      </c>
      <c r="O230" s="10">
        <f t="shared" ca="1" si="34"/>
        <v>1823200</v>
      </c>
      <c r="P230" s="29">
        <f t="shared" ca="1" si="35"/>
        <v>1800</v>
      </c>
      <c r="Q230" s="12">
        <f t="shared" ca="1" si="36"/>
        <v>-31900</v>
      </c>
      <c r="R230" s="10">
        <f t="shared" ca="1" si="37"/>
        <v>9.8727512066695916E-2</v>
      </c>
      <c r="U230" s="12">
        <f t="shared" ca="1" si="38"/>
        <v>0</v>
      </c>
      <c r="V230" s="14">
        <f t="shared" ca="1" si="39"/>
        <v>0</v>
      </c>
      <c r="X230" s="7">
        <f ca="1">AVERAGE(E230:OFFSET(F230,-$X$5+1,0))</f>
        <v>9116.4</v>
      </c>
      <c r="Y230" s="7">
        <f ca="1">AVERAGE(E230:OFFSET(F230,-$Y$5+1,0))</f>
        <v>9115</v>
      </c>
      <c r="Z230" s="7">
        <f t="shared" ca="1" si="31"/>
        <v>0</v>
      </c>
    </row>
    <row r="231" spans="1:26">
      <c r="A231" s="3" t="s">
        <v>34</v>
      </c>
      <c r="B231" s="4">
        <v>41978</v>
      </c>
      <c r="C231" s="3">
        <v>9203</v>
      </c>
      <c r="D231" s="3">
        <v>9231</v>
      </c>
      <c r="E231" s="3">
        <v>9182</v>
      </c>
      <c r="F231" s="3">
        <v>9216</v>
      </c>
      <c r="G231" s="3">
        <v>87093</v>
      </c>
      <c r="H231" s="3">
        <v>1.355</v>
      </c>
      <c r="I231" s="2">
        <f t="shared" si="40"/>
        <v>0</v>
      </c>
      <c r="J231" s="10">
        <f t="shared" si="42"/>
        <v>-17</v>
      </c>
      <c r="K231" s="10">
        <f t="shared" si="41"/>
        <v>13</v>
      </c>
      <c r="L231" s="10">
        <f t="shared" ca="1" si="30"/>
        <v>-1</v>
      </c>
      <c r="M231" s="10">
        <f t="shared" ca="1" si="32"/>
        <v>1</v>
      </c>
      <c r="N231" s="30">
        <f t="shared" ca="1" si="33"/>
        <v>0</v>
      </c>
      <c r="O231" s="10">
        <f t="shared" ca="1" si="34"/>
        <v>1823200</v>
      </c>
      <c r="P231" s="29">
        <f t="shared" ca="1" si="35"/>
        <v>-800</v>
      </c>
      <c r="Q231" s="12">
        <f t="shared" ca="1" si="36"/>
        <v>-32700</v>
      </c>
      <c r="R231" s="10">
        <f t="shared" ca="1" si="37"/>
        <v>-4.387889425186485E-2</v>
      </c>
      <c r="U231" s="12">
        <f t="shared" ca="1" si="38"/>
        <v>0</v>
      </c>
      <c r="V231" s="14">
        <f t="shared" ca="1" si="39"/>
        <v>0</v>
      </c>
      <c r="X231" s="7">
        <f ca="1">AVERAGE(E231:OFFSET(F231,-$X$5+1,0))</f>
        <v>9120.7000000000007</v>
      </c>
      <c r="Y231" s="7">
        <f ca="1">AVERAGE(E231:OFFSET(F231,-$Y$5+1,0))</f>
        <v>9125.7000000000007</v>
      </c>
      <c r="Z231" s="7">
        <f t="shared" ca="1" si="31"/>
        <v>-1</v>
      </c>
    </row>
    <row r="232" spans="1:26">
      <c r="A232" s="3" t="s">
        <v>34</v>
      </c>
      <c r="B232" s="4">
        <v>41981</v>
      </c>
      <c r="C232" s="3">
        <v>9264</v>
      </c>
      <c r="D232" s="3">
        <v>9265</v>
      </c>
      <c r="E232" s="3">
        <v>9168</v>
      </c>
      <c r="F232" s="3">
        <v>9185</v>
      </c>
      <c r="G232" s="3">
        <v>105218</v>
      </c>
      <c r="H232" s="3">
        <v>1.355</v>
      </c>
      <c r="I232" s="2">
        <f t="shared" si="40"/>
        <v>0</v>
      </c>
      <c r="J232" s="10">
        <f t="shared" si="42"/>
        <v>48</v>
      </c>
      <c r="K232" s="10">
        <f t="shared" si="41"/>
        <v>-79</v>
      </c>
      <c r="L232" s="10">
        <f t="shared" ca="1" si="30"/>
        <v>1</v>
      </c>
      <c r="M232" s="10">
        <f t="shared" ca="1" si="32"/>
        <v>0</v>
      </c>
      <c r="N232" s="30">
        <f t="shared" ca="1" si="33"/>
        <v>0</v>
      </c>
      <c r="O232" s="10">
        <f t="shared" ca="1" si="34"/>
        <v>0</v>
      </c>
      <c r="P232" s="29">
        <f t="shared" ca="1" si="35"/>
        <v>9100</v>
      </c>
      <c r="Q232" s="12">
        <f t="shared" ca="1" si="36"/>
        <v>-23600</v>
      </c>
      <c r="R232" s="10">
        <f t="shared" ca="1" si="37"/>
        <v>0.49912242211496272</v>
      </c>
      <c r="U232" s="12">
        <f t="shared" ca="1" si="38"/>
        <v>0</v>
      </c>
      <c r="V232" s="14">
        <f t="shared" ca="1" si="39"/>
        <v>0</v>
      </c>
      <c r="X232" s="7">
        <f ca="1">AVERAGE(E232:OFFSET(F232,-$X$5+1,0))</f>
        <v>9145</v>
      </c>
      <c r="Y232" s="7">
        <f ca="1">AVERAGE(E232:OFFSET(F232,-$Y$5+1,0))</f>
        <v>9131.4</v>
      </c>
      <c r="Z232" s="7">
        <f t="shared" ca="1" si="31"/>
        <v>1</v>
      </c>
    </row>
    <row r="233" spans="1:26">
      <c r="A233" s="3" t="s">
        <v>34</v>
      </c>
      <c r="B233" s="4">
        <v>41982</v>
      </c>
      <c r="C233" s="3">
        <v>9142</v>
      </c>
      <c r="D233" s="3">
        <v>9174</v>
      </c>
      <c r="E233" s="3">
        <v>9121</v>
      </c>
      <c r="F233" s="3">
        <v>9132</v>
      </c>
      <c r="G233" s="3">
        <v>92634</v>
      </c>
      <c r="H233" s="3">
        <v>1.355</v>
      </c>
      <c r="I233" s="2">
        <f t="shared" si="40"/>
        <v>0</v>
      </c>
      <c r="J233" s="10">
        <f t="shared" si="42"/>
        <v>-43</v>
      </c>
      <c r="K233" s="10">
        <f t="shared" si="41"/>
        <v>-10</v>
      </c>
      <c r="L233" s="10">
        <f t="shared" ca="1" si="30"/>
        <v>0</v>
      </c>
      <c r="M233" s="10">
        <f t="shared" ca="1" si="32"/>
        <v>1</v>
      </c>
      <c r="N233" s="30">
        <f t="shared" ca="1" si="33"/>
        <v>1828400</v>
      </c>
      <c r="O233" s="10">
        <f t="shared" ca="1" si="34"/>
        <v>1828400</v>
      </c>
      <c r="P233" s="29">
        <f t="shared" ca="1" si="35"/>
        <v>-2500</v>
      </c>
      <c r="Q233" s="12">
        <f t="shared" ca="1" si="36"/>
        <v>-26100</v>
      </c>
      <c r="R233" s="10">
        <f t="shared" ca="1" si="37"/>
        <v>-0.13673156858455479</v>
      </c>
      <c r="U233" s="12">
        <f t="shared" ca="1" si="38"/>
        <v>0</v>
      </c>
      <c r="V233" s="14">
        <f t="shared" ca="1" si="39"/>
        <v>0</v>
      </c>
      <c r="X233" s="7">
        <f ca="1">AVERAGE(E233:OFFSET(F233,-$X$5+1,0))</f>
        <v>9167.1</v>
      </c>
      <c r="Y233" s="7">
        <f ca="1">AVERAGE(E233:OFFSET(F233,-$Y$5+1,0))</f>
        <v>9135.25</v>
      </c>
      <c r="Z233" s="7">
        <f t="shared" ca="1" si="31"/>
        <v>0</v>
      </c>
    </row>
    <row r="234" spans="1:26">
      <c r="A234" s="3" t="s">
        <v>34</v>
      </c>
      <c r="B234" s="4">
        <v>41983</v>
      </c>
      <c r="C234" s="3">
        <v>9092</v>
      </c>
      <c r="D234" s="3">
        <v>9136</v>
      </c>
      <c r="E234" s="3">
        <v>9003</v>
      </c>
      <c r="F234" s="3">
        <v>9046</v>
      </c>
      <c r="G234" s="3">
        <v>165103</v>
      </c>
      <c r="H234" s="3">
        <v>1.355</v>
      </c>
      <c r="I234" s="2">
        <f t="shared" si="40"/>
        <v>0</v>
      </c>
      <c r="J234" s="10">
        <f t="shared" si="42"/>
        <v>-40</v>
      </c>
      <c r="K234" s="10">
        <f t="shared" si="41"/>
        <v>-46</v>
      </c>
      <c r="L234" s="10">
        <f t="shared" ca="1" si="30"/>
        <v>0</v>
      </c>
      <c r="M234" s="10">
        <f t="shared" ca="1" si="32"/>
        <v>1</v>
      </c>
      <c r="N234" s="30">
        <f t="shared" ca="1" si="33"/>
        <v>0</v>
      </c>
      <c r="O234" s="10">
        <f t="shared" ca="1" si="34"/>
        <v>1828400</v>
      </c>
      <c r="P234" s="29">
        <f t="shared" ca="1" si="35"/>
        <v>-17200</v>
      </c>
      <c r="Q234" s="12">
        <f t="shared" ca="1" si="36"/>
        <v>-43300</v>
      </c>
      <c r="R234" s="10">
        <f t="shared" ca="1" si="37"/>
        <v>-0.94071319186173707</v>
      </c>
      <c r="U234" s="12">
        <f t="shared" ca="1" si="38"/>
        <v>0</v>
      </c>
      <c r="V234" s="14">
        <f t="shared" ca="1" si="39"/>
        <v>0</v>
      </c>
      <c r="X234" s="7">
        <f ca="1">AVERAGE(E234:OFFSET(F234,-$X$5+1,0))</f>
        <v>9147.4</v>
      </c>
      <c r="Y234" s="7">
        <f ca="1">AVERAGE(E234:OFFSET(F234,-$Y$5+1,0))</f>
        <v>9126.4500000000007</v>
      </c>
      <c r="Z234" s="7">
        <f t="shared" ca="1" si="31"/>
        <v>0</v>
      </c>
    </row>
    <row r="235" spans="1:26">
      <c r="A235" s="3" t="s">
        <v>34</v>
      </c>
      <c r="B235" s="4">
        <v>41984</v>
      </c>
      <c r="C235" s="3">
        <v>8976</v>
      </c>
      <c r="D235" s="3">
        <v>9048</v>
      </c>
      <c r="E235" s="3">
        <v>8958</v>
      </c>
      <c r="F235" s="3">
        <v>9010</v>
      </c>
      <c r="G235" s="3">
        <v>116039</v>
      </c>
      <c r="H235" s="3">
        <v>1.355</v>
      </c>
      <c r="I235" s="2">
        <f t="shared" si="40"/>
        <v>0</v>
      </c>
      <c r="J235" s="10">
        <f t="shared" si="42"/>
        <v>-70</v>
      </c>
      <c r="K235" s="10">
        <f t="shared" si="41"/>
        <v>34</v>
      </c>
      <c r="L235" s="10">
        <f t="shared" ca="1" si="30"/>
        <v>-1</v>
      </c>
      <c r="M235" s="10">
        <f t="shared" ca="1" si="32"/>
        <v>1</v>
      </c>
      <c r="N235" s="30">
        <f t="shared" ca="1" si="33"/>
        <v>0</v>
      </c>
      <c r="O235" s="10">
        <f t="shared" ca="1" si="34"/>
        <v>1828400</v>
      </c>
      <c r="P235" s="29">
        <f t="shared" ca="1" si="35"/>
        <v>-7200</v>
      </c>
      <c r="Q235" s="12">
        <f t="shared" ca="1" si="36"/>
        <v>-50500</v>
      </c>
      <c r="R235" s="10">
        <f t="shared" ca="1" si="37"/>
        <v>-0.39378691752351785</v>
      </c>
      <c r="U235" s="12">
        <f t="shared" ca="1" si="38"/>
        <v>0</v>
      </c>
      <c r="V235" s="14">
        <f t="shared" ca="1" si="39"/>
        <v>0</v>
      </c>
      <c r="X235" s="7">
        <f ca="1">AVERAGE(E235:OFFSET(F235,-$X$5+1,0))</f>
        <v>9102.1</v>
      </c>
      <c r="Y235" s="7">
        <f ca="1">AVERAGE(E235:OFFSET(F235,-$Y$5+1,0))</f>
        <v>9109.25</v>
      </c>
      <c r="Z235" s="7">
        <f t="shared" ca="1" si="31"/>
        <v>-1</v>
      </c>
    </row>
    <row r="236" spans="1:26">
      <c r="A236" s="3" t="s">
        <v>34</v>
      </c>
      <c r="B236" s="4">
        <v>41985</v>
      </c>
      <c r="C236" s="3">
        <v>9023</v>
      </c>
      <c r="D236" s="3">
        <v>9069</v>
      </c>
      <c r="E236" s="3">
        <v>9003</v>
      </c>
      <c r="F236" s="3">
        <v>9006</v>
      </c>
      <c r="G236" s="3">
        <v>98839</v>
      </c>
      <c r="H236" s="3">
        <v>1.355</v>
      </c>
      <c r="I236" s="2">
        <f t="shared" si="40"/>
        <v>0</v>
      </c>
      <c r="J236" s="10">
        <f t="shared" si="42"/>
        <v>13</v>
      </c>
      <c r="K236" s="10">
        <f t="shared" si="41"/>
        <v>-17</v>
      </c>
      <c r="L236" s="10">
        <f t="shared" ca="1" si="30"/>
        <v>0</v>
      </c>
      <c r="M236" s="10">
        <f t="shared" ca="1" si="32"/>
        <v>0</v>
      </c>
      <c r="N236" s="30">
        <f t="shared" ca="1" si="33"/>
        <v>0</v>
      </c>
      <c r="O236" s="10">
        <f t="shared" ca="1" si="34"/>
        <v>0</v>
      </c>
      <c r="P236" s="29">
        <f t="shared" ca="1" si="35"/>
        <v>2100</v>
      </c>
      <c r="Q236" s="12">
        <f t="shared" ca="1" si="36"/>
        <v>-48400</v>
      </c>
      <c r="R236" s="10">
        <f t="shared" ca="1" si="37"/>
        <v>0.11485451761102604</v>
      </c>
      <c r="U236" s="12">
        <f t="shared" ca="1" si="38"/>
        <v>0</v>
      </c>
      <c r="V236" s="14">
        <f t="shared" ca="1" si="39"/>
        <v>0</v>
      </c>
      <c r="X236" s="7">
        <f ca="1">AVERAGE(E236:OFFSET(F236,-$X$5+1,0))</f>
        <v>9063.2000000000007</v>
      </c>
      <c r="Y236" s="7">
        <f ca="1">AVERAGE(E236:OFFSET(F236,-$Y$5+1,0))</f>
        <v>9091.9500000000007</v>
      </c>
      <c r="Z236" s="7">
        <f t="shared" ca="1" si="31"/>
        <v>0</v>
      </c>
    </row>
    <row r="237" spans="1:26">
      <c r="A237" s="3" t="s">
        <v>34</v>
      </c>
      <c r="B237" s="4">
        <v>41988</v>
      </c>
      <c r="C237" s="3">
        <v>8958</v>
      </c>
      <c r="D237" s="3">
        <v>9038</v>
      </c>
      <c r="E237" s="3">
        <v>8925</v>
      </c>
      <c r="F237" s="3">
        <v>9036</v>
      </c>
      <c r="G237" s="3">
        <v>125072</v>
      </c>
      <c r="H237" s="3">
        <v>1.355</v>
      </c>
      <c r="I237" s="2">
        <f t="shared" si="40"/>
        <v>0</v>
      </c>
      <c r="J237" s="10">
        <f t="shared" si="42"/>
        <v>-48</v>
      </c>
      <c r="K237" s="10">
        <f t="shared" si="41"/>
        <v>78</v>
      </c>
      <c r="L237" s="10">
        <f t="shared" ca="1" si="30"/>
        <v>0</v>
      </c>
      <c r="M237" s="10">
        <f t="shared" ca="1" si="32"/>
        <v>0</v>
      </c>
      <c r="N237" s="30">
        <f t="shared" ca="1" si="33"/>
        <v>0</v>
      </c>
      <c r="O237" s="10">
        <f t="shared" ca="1" si="34"/>
        <v>0</v>
      </c>
      <c r="P237" s="29">
        <f t="shared" ca="1" si="35"/>
        <v>0</v>
      </c>
      <c r="Q237" s="12">
        <f t="shared" ca="1" si="36"/>
        <v>-48400</v>
      </c>
      <c r="R237" s="10">
        <f t="shared" ca="1" si="37"/>
        <v>0</v>
      </c>
      <c r="U237" s="12">
        <f t="shared" ca="1" si="38"/>
        <v>0</v>
      </c>
      <c r="V237" s="14">
        <f t="shared" ca="1" si="39"/>
        <v>0</v>
      </c>
      <c r="X237" s="7">
        <f ca="1">AVERAGE(E237:OFFSET(F237,-$X$5+1,0))</f>
        <v>9024</v>
      </c>
      <c r="Y237" s="7">
        <f ca="1">AVERAGE(E237:OFFSET(F237,-$Y$5+1,0))</f>
        <v>9084.5</v>
      </c>
      <c r="Z237" s="7">
        <f t="shared" ca="1" si="31"/>
        <v>0</v>
      </c>
    </row>
    <row r="238" spans="1:26">
      <c r="A238" s="3" t="s">
        <v>34</v>
      </c>
      <c r="B238" s="4">
        <v>41989</v>
      </c>
      <c r="C238" s="3">
        <v>8971</v>
      </c>
      <c r="D238" s="3">
        <v>9041</v>
      </c>
      <c r="E238" s="3">
        <v>8963</v>
      </c>
      <c r="F238" s="3">
        <v>8981</v>
      </c>
      <c r="G238" s="3">
        <v>122633</v>
      </c>
      <c r="H238" s="3">
        <v>1.355</v>
      </c>
      <c r="I238" s="2">
        <f t="shared" si="40"/>
        <v>0</v>
      </c>
      <c r="J238" s="10">
        <f t="shared" si="42"/>
        <v>-65</v>
      </c>
      <c r="K238" s="10">
        <f t="shared" si="41"/>
        <v>10</v>
      </c>
      <c r="L238" s="10">
        <f t="shared" ca="1" si="30"/>
        <v>0</v>
      </c>
      <c r="M238" s="10">
        <f t="shared" ca="1" si="32"/>
        <v>0</v>
      </c>
      <c r="N238" s="30">
        <f t="shared" ca="1" si="33"/>
        <v>0</v>
      </c>
      <c r="O238" s="10">
        <f t="shared" ca="1" si="34"/>
        <v>0</v>
      </c>
      <c r="P238" s="29">
        <f t="shared" ca="1" si="35"/>
        <v>0</v>
      </c>
      <c r="Q238" s="12">
        <f t="shared" ca="1" si="36"/>
        <v>-48400</v>
      </c>
      <c r="R238" s="10">
        <f t="shared" ca="1" si="37"/>
        <v>0</v>
      </c>
      <c r="U238" s="12">
        <f t="shared" ca="1" si="38"/>
        <v>0</v>
      </c>
      <c r="V238" s="14">
        <f t="shared" ca="1" si="39"/>
        <v>0</v>
      </c>
      <c r="X238" s="7">
        <f ca="1">AVERAGE(E238:OFFSET(F238,-$X$5+1,0))</f>
        <v>8993.1</v>
      </c>
      <c r="Y238" s="7">
        <f ca="1">AVERAGE(E238:OFFSET(F238,-$Y$5+1,0))</f>
        <v>9080.1</v>
      </c>
      <c r="Z238" s="7">
        <f t="shared" ca="1" si="31"/>
        <v>0</v>
      </c>
    </row>
    <row r="239" spans="1:26">
      <c r="A239" s="3" t="s">
        <v>34</v>
      </c>
      <c r="B239" s="4">
        <v>41990</v>
      </c>
      <c r="C239" s="3">
        <v>8970</v>
      </c>
      <c r="D239" s="3">
        <v>8985</v>
      </c>
      <c r="E239" s="3">
        <v>8834</v>
      </c>
      <c r="F239" s="3">
        <v>8844</v>
      </c>
      <c r="G239" s="3">
        <v>81915</v>
      </c>
      <c r="H239" s="3">
        <v>1.355</v>
      </c>
      <c r="I239" s="2">
        <f t="shared" si="40"/>
        <v>1</v>
      </c>
      <c r="J239" s="10">
        <f t="shared" si="42"/>
        <v>-11</v>
      </c>
      <c r="K239" s="10">
        <f t="shared" si="41"/>
        <v>-126</v>
      </c>
      <c r="L239" s="10">
        <f t="shared" ca="1" si="30"/>
        <v>0</v>
      </c>
      <c r="M239" s="10">
        <f t="shared" si="32"/>
        <v>0</v>
      </c>
      <c r="N239" s="30">
        <f t="shared" si="33"/>
        <v>0</v>
      </c>
      <c r="O239" s="10">
        <f t="shared" si="34"/>
        <v>0</v>
      </c>
      <c r="P239" s="29">
        <f t="shared" ca="1" si="35"/>
        <v>0</v>
      </c>
      <c r="Q239" s="12">
        <f t="shared" ca="1" si="36"/>
        <v>-48400</v>
      </c>
      <c r="R239" s="10">
        <f t="shared" ca="1" si="37"/>
        <v>0</v>
      </c>
      <c r="U239" s="12">
        <f t="shared" ca="1" si="38"/>
        <v>0</v>
      </c>
      <c r="V239" s="14">
        <f t="shared" ca="1" si="39"/>
        <v>0</v>
      </c>
      <c r="X239" s="7">
        <f ca="1">AVERAGE(E239:OFFSET(F239,-$X$5+1,0))</f>
        <v>8956</v>
      </c>
      <c r="Y239" s="7">
        <f ca="1">AVERAGE(E239:OFFSET(F239,-$Y$5+1,0))</f>
        <v>9051.7000000000007</v>
      </c>
      <c r="Z239" s="7">
        <f t="shared" ca="1" si="31"/>
        <v>0</v>
      </c>
    </row>
    <row r="240" spans="1:26">
      <c r="A240" s="3" t="s">
        <v>35</v>
      </c>
      <c r="B240" s="4">
        <v>41991</v>
      </c>
      <c r="C240" s="3">
        <v>8902</v>
      </c>
      <c r="D240" s="3">
        <v>8927</v>
      </c>
      <c r="E240" s="3">
        <v>8857</v>
      </c>
      <c r="F240" s="3">
        <v>8857</v>
      </c>
      <c r="G240" s="3">
        <v>101962</v>
      </c>
      <c r="H240" s="3">
        <v>1.355</v>
      </c>
      <c r="I240" s="2">
        <f t="shared" si="40"/>
        <v>0</v>
      </c>
      <c r="J240" s="10">
        <f t="shared" si="42"/>
        <v>58</v>
      </c>
      <c r="K240" s="10">
        <f t="shared" si="41"/>
        <v>-45</v>
      </c>
      <c r="L240" s="10">
        <f t="shared" ca="1" si="30"/>
        <v>0</v>
      </c>
      <c r="M240" s="10">
        <f t="shared" ca="1" si="32"/>
        <v>0</v>
      </c>
      <c r="N240" s="30">
        <f t="shared" ca="1" si="33"/>
        <v>0</v>
      </c>
      <c r="O240" s="10">
        <f t="shared" ca="1" si="34"/>
        <v>0</v>
      </c>
      <c r="P240" s="29">
        <f t="shared" ca="1" si="35"/>
        <v>0</v>
      </c>
      <c r="Q240" s="12">
        <f t="shared" ca="1" si="36"/>
        <v>-48400</v>
      </c>
      <c r="R240" s="10">
        <f t="shared" ca="1" si="37"/>
        <v>0</v>
      </c>
      <c r="U240" s="12">
        <f t="shared" ca="1" si="38"/>
        <v>0</v>
      </c>
      <c r="V240" s="14">
        <f t="shared" ca="1" si="39"/>
        <v>0</v>
      </c>
      <c r="X240" s="7">
        <f ca="1">AVERAGE(E240:OFFSET(F240,-$X$5+1,0))</f>
        <v>8930.6</v>
      </c>
      <c r="Y240" s="7">
        <f ca="1">AVERAGE(E240:OFFSET(F240,-$Y$5+1,0))</f>
        <v>9016.35</v>
      </c>
      <c r="Z240" s="7">
        <f t="shared" ca="1" si="31"/>
        <v>0</v>
      </c>
    </row>
    <row r="241" spans="1:26">
      <c r="A241" s="3" t="s">
        <v>35</v>
      </c>
      <c r="B241" s="4">
        <v>41992</v>
      </c>
      <c r="C241" s="3">
        <v>8962</v>
      </c>
      <c r="D241" s="3">
        <v>9040</v>
      </c>
      <c r="E241" s="3">
        <v>8958</v>
      </c>
      <c r="F241" s="3">
        <v>9019</v>
      </c>
      <c r="G241" s="3">
        <v>148633</v>
      </c>
      <c r="H241" s="3">
        <v>1.355</v>
      </c>
      <c r="I241" s="2">
        <f t="shared" si="40"/>
        <v>0</v>
      </c>
      <c r="J241" s="10">
        <f t="shared" si="42"/>
        <v>105</v>
      </c>
      <c r="K241" s="10">
        <f t="shared" si="41"/>
        <v>57</v>
      </c>
      <c r="L241" s="10">
        <f t="shared" ca="1" si="30"/>
        <v>0</v>
      </c>
      <c r="M241" s="10">
        <f t="shared" ca="1" si="32"/>
        <v>0</v>
      </c>
      <c r="N241" s="30">
        <f t="shared" ca="1" si="33"/>
        <v>0</v>
      </c>
      <c r="O241" s="10">
        <f t="shared" ca="1" si="34"/>
        <v>0</v>
      </c>
      <c r="P241" s="29">
        <f t="shared" ca="1" si="35"/>
        <v>0</v>
      </c>
      <c r="Q241" s="12">
        <f t="shared" ca="1" si="36"/>
        <v>-48400</v>
      </c>
      <c r="R241" s="10">
        <f t="shared" ca="1" si="37"/>
        <v>0</v>
      </c>
      <c r="U241" s="12">
        <f t="shared" ca="1" si="38"/>
        <v>0</v>
      </c>
      <c r="V241" s="14">
        <f t="shared" ca="1" si="39"/>
        <v>0</v>
      </c>
      <c r="X241" s="7">
        <f ca="1">AVERAGE(E241:OFFSET(F241,-$X$5+1,0))</f>
        <v>8927.4</v>
      </c>
      <c r="Y241" s="7">
        <f ca="1">AVERAGE(E241:OFFSET(F241,-$Y$5+1,0))</f>
        <v>8995.2999999999993</v>
      </c>
      <c r="Z241" s="7">
        <f t="shared" ca="1" si="31"/>
        <v>0</v>
      </c>
    </row>
    <row r="242" spans="1:26">
      <c r="A242" s="3" t="s">
        <v>35</v>
      </c>
      <c r="B242" s="4">
        <v>41995</v>
      </c>
      <c r="C242" s="3">
        <v>9031</v>
      </c>
      <c r="D242" s="3">
        <v>9100</v>
      </c>
      <c r="E242" s="3">
        <v>9023</v>
      </c>
      <c r="F242" s="3">
        <v>9096</v>
      </c>
      <c r="G242" s="3">
        <v>102111</v>
      </c>
      <c r="H242" s="3">
        <v>1.355</v>
      </c>
      <c r="I242" s="2">
        <f t="shared" si="40"/>
        <v>0</v>
      </c>
      <c r="J242" s="10">
        <f t="shared" si="42"/>
        <v>12</v>
      </c>
      <c r="K242" s="10">
        <f t="shared" si="41"/>
        <v>65</v>
      </c>
      <c r="L242" s="10">
        <f t="shared" ca="1" si="30"/>
        <v>0</v>
      </c>
      <c r="M242" s="10">
        <f t="shared" ca="1" si="32"/>
        <v>0</v>
      </c>
      <c r="N242" s="30">
        <f t="shared" ca="1" si="33"/>
        <v>0</v>
      </c>
      <c r="O242" s="10">
        <f t="shared" ca="1" si="34"/>
        <v>0</v>
      </c>
      <c r="P242" s="29">
        <f t="shared" ca="1" si="35"/>
        <v>0</v>
      </c>
      <c r="Q242" s="12">
        <f t="shared" ca="1" si="36"/>
        <v>-48400</v>
      </c>
      <c r="R242" s="10">
        <f t="shared" ca="1" si="37"/>
        <v>0</v>
      </c>
      <c r="U242" s="12">
        <f t="shared" ca="1" si="38"/>
        <v>0</v>
      </c>
      <c r="V242" s="14">
        <f t="shared" ca="1" si="39"/>
        <v>0</v>
      </c>
      <c r="X242" s="7">
        <f ca="1">AVERAGE(E242:OFFSET(F242,-$X$5+1,0))</f>
        <v>8943.2000000000007</v>
      </c>
      <c r="Y242" s="7">
        <f ca="1">AVERAGE(E242:OFFSET(F242,-$Y$5+1,0))</f>
        <v>8983.6</v>
      </c>
      <c r="Z242" s="7">
        <f t="shared" ca="1" si="31"/>
        <v>0</v>
      </c>
    </row>
    <row r="243" spans="1:26">
      <c r="A243" s="3" t="s">
        <v>35</v>
      </c>
      <c r="B243" s="4">
        <v>41996</v>
      </c>
      <c r="C243" s="3">
        <v>9134</v>
      </c>
      <c r="D243" s="3">
        <v>9140</v>
      </c>
      <c r="E243" s="3">
        <v>9097</v>
      </c>
      <c r="F243" s="3">
        <v>9115</v>
      </c>
      <c r="G243" s="3">
        <v>69691</v>
      </c>
      <c r="H243" s="3">
        <v>1.355</v>
      </c>
      <c r="I243" s="2">
        <f t="shared" si="40"/>
        <v>0</v>
      </c>
      <c r="J243" s="10">
        <f t="shared" si="42"/>
        <v>38</v>
      </c>
      <c r="K243" s="10">
        <f t="shared" si="41"/>
        <v>-19</v>
      </c>
      <c r="L243" s="10">
        <f t="shared" ca="1" si="30"/>
        <v>0</v>
      </c>
      <c r="M243" s="10">
        <f t="shared" ca="1" si="32"/>
        <v>0</v>
      </c>
      <c r="N243" s="30">
        <f t="shared" ca="1" si="33"/>
        <v>0</v>
      </c>
      <c r="O243" s="10">
        <f t="shared" ca="1" si="34"/>
        <v>0</v>
      </c>
      <c r="P243" s="29">
        <f t="shared" ca="1" si="35"/>
        <v>0</v>
      </c>
      <c r="Q243" s="12">
        <f t="shared" ca="1" si="36"/>
        <v>-48400</v>
      </c>
      <c r="R243" s="10">
        <f t="shared" ca="1" si="37"/>
        <v>0</v>
      </c>
      <c r="U243" s="12">
        <f t="shared" ca="1" si="38"/>
        <v>0</v>
      </c>
      <c r="V243" s="14">
        <f t="shared" ca="1" si="39"/>
        <v>0</v>
      </c>
      <c r="X243" s="7">
        <f ca="1">AVERAGE(E243:OFFSET(F243,-$X$5+1,0))</f>
        <v>8970</v>
      </c>
      <c r="Y243" s="7">
        <f ca="1">AVERAGE(E243:OFFSET(F243,-$Y$5+1,0))</f>
        <v>8981.5499999999993</v>
      </c>
      <c r="Z243" s="7">
        <f t="shared" ca="1" si="31"/>
        <v>0</v>
      </c>
    </row>
    <row r="244" spans="1:26">
      <c r="A244" s="3" t="s">
        <v>35</v>
      </c>
      <c r="B244" s="4">
        <v>41997</v>
      </c>
      <c r="C244" s="3">
        <v>9120</v>
      </c>
      <c r="D244" s="3">
        <v>9183</v>
      </c>
      <c r="E244" s="3">
        <v>9103</v>
      </c>
      <c r="F244" s="3">
        <v>9176</v>
      </c>
      <c r="G244" s="3">
        <v>93125</v>
      </c>
      <c r="H244" s="3">
        <v>1.355</v>
      </c>
      <c r="I244" s="2">
        <f t="shared" si="40"/>
        <v>0</v>
      </c>
      <c r="J244" s="10">
        <f t="shared" si="42"/>
        <v>5</v>
      </c>
      <c r="K244" s="10">
        <f t="shared" si="41"/>
        <v>56</v>
      </c>
      <c r="L244" s="10">
        <f t="shared" ca="1" si="30"/>
        <v>1</v>
      </c>
      <c r="M244" s="10">
        <f t="shared" ca="1" si="32"/>
        <v>0</v>
      </c>
      <c r="N244" s="30">
        <f t="shared" ca="1" si="33"/>
        <v>0</v>
      </c>
      <c r="O244" s="10">
        <f t="shared" ca="1" si="34"/>
        <v>0</v>
      </c>
      <c r="P244" s="29">
        <f t="shared" ca="1" si="35"/>
        <v>0</v>
      </c>
      <c r="Q244" s="12">
        <f t="shared" ca="1" si="36"/>
        <v>-48400</v>
      </c>
      <c r="R244" s="10">
        <f t="shared" ca="1" si="37"/>
        <v>0</v>
      </c>
      <c r="U244" s="12">
        <f t="shared" ca="1" si="38"/>
        <v>0</v>
      </c>
      <c r="V244" s="14">
        <f t="shared" ca="1" si="39"/>
        <v>0</v>
      </c>
      <c r="X244" s="7">
        <f ca="1">AVERAGE(E244:OFFSET(F244,-$X$5+1,0))</f>
        <v>9030.1</v>
      </c>
      <c r="Y244" s="7">
        <f ca="1">AVERAGE(E244:OFFSET(F244,-$Y$5+1,0))</f>
        <v>8993.0499999999993</v>
      </c>
      <c r="Z244" s="7">
        <f t="shared" ca="1" si="31"/>
        <v>1</v>
      </c>
    </row>
    <row r="245" spans="1:26">
      <c r="A245" s="3" t="s">
        <v>35</v>
      </c>
      <c r="B245" s="4">
        <v>41998</v>
      </c>
      <c r="C245" s="3">
        <v>9171</v>
      </c>
      <c r="D245" s="3">
        <v>9195</v>
      </c>
      <c r="E245" s="3">
        <v>9162</v>
      </c>
      <c r="F245" s="3">
        <v>9183</v>
      </c>
      <c r="G245" s="3">
        <v>44950</v>
      </c>
      <c r="H245" s="3">
        <v>1.355</v>
      </c>
      <c r="I245" s="2">
        <f t="shared" si="40"/>
        <v>0</v>
      </c>
      <c r="J245" s="10">
        <f t="shared" si="42"/>
        <v>-5</v>
      </c>
      <c r="K245" s="10">
        <f t="shared" si="41"/>
        <v>12</v>
      </c>
      <c r="L245" s="10">
        <f t="shared" ca="1" si="30"/>
        <v>0</v>
      </c>
      <c r="M245" s="10">
        <f t="shared" ca="1" si="32"/>
        <v>1</v>
      </c>
      <c r="N245" s="30">
        <f t="shared" ca="1" si="33"/>
        <v>1834200</v>
      </c>
      <c r="O245" s="10">
        <f t="shared" ca="1" si="34"/>
        <v>1834200</v>
      </c>
      <c r="P245" s="29">
        <f t="shared" ca="1" si="35"/>
        <v>1900</v>
      </c>
      <c r="Q245" s="12">
        <f t="shared" ca="1" si="36"/>
        <v>-46500</v>
      </c>
      <c r="R245" s="10">
        <f t="shared" ca="1" si="37"/>
        <v>0.10358739504961291</v>
      </c>
      <c r="U245" s="12">
        <f t="shared" ca="1" si="38"/>
        <v>0</v>
      </c>
      <c r="V245" s="14">
        <f t="shared" ca="1" si="39"/>
        <v>0</v>
      </c>
      <c r="X245" s="7">
        <f ca="1">AVERAGE(E245:OFFSET(F245,-$X$5+1,0))</f>
        <v>9093.2000000000007</v>
      </c>
      <c r="Y245" s="7">
        <f ca="1">AVERAGE(E245:OFFSET(F245,-$Y$5+1,0))</f>
        <v>9011.9</v>
      </c>
      <c r="Z245" s="7">
        <f t="shared" ca="1" si="31"/>
        <v>0</v>
      </c>
    </row>
    <row r="246" spans="1:26">
      <c r="A246" s="3" t="s">
        <v>35</v>
      </c>
      <c r="B246" s="4">
        <v>41999</v>
      </c>
      <c r="C246" s="3">
        <v>9178</v>
      </c>
      <c r="D246" s="3">
        <v>9230</v>
      </c>
      <c r="E246" s="3">
        <v>9173</v>
      </c>
      <c r="F246" s="3">
        <v>9226</v>
      </c>
      <c r="G246" s="3">
        <v>73031</v>
      </c>
      <c r="H246" s="3">
        <v>1.355</v>
      </c>
      <c r="I246" s="2">
        <f t="shared" si="40"/>
        <v>0</v>
      </c>
      <c r="J246" s="10">
        <f t="shared" si="42"/>
        <v>-5</v>
      </c>
      <c r="K246" s="10">
        <f t="shared" si="41"/>
        <v>48</v>
      </c>
      <c r="L246" s="10">
        <f t="shared" ca="1" si="30"/>
        <v>0</v>
      </c>
      <c r="M246" s="10">
        <f t="shared" ca="1" si="32"/>
        <v>1</v>
      </c>
      <c r="N246" s="30">
        <f t="shared" ca="1" si="33"/>
        <v>0</v>
      </c>
      <c r="O246" s="10">
        <f t="shared" ca="1" si="34"/>
        <v>1834200</v>
      </c>
      <c r="P246" s="29">
        <f t="shared" ca="1" si="35"/>
        <v>8600</v>
      </c>
      <c r="Q246" s="12">
        <f t="shared" ca="1" si="36"/>
        <v>-37900</v>
      </c>
      <c r="R246" s="10">
        <f t="shared" ca="1" si="37"/>
        <v>0.46886926180351107</v>
      </c>
      <c r="U246" s="12">
        <f t="shared" ca="1" si="38"/>
        <v>0</v>
      </c>
      <c r="V246" s="14">
        <f t="shared" ca="1" si="39"/>
        <v>0</v>
      </c>
      <c r="X246" s="7">
        <f ca="1">AVERAGE(E246:OFFSET(F246,-$X$5+1,0))</f>
        <v>9135.4</v>
      </c>
      <c r="Y246" s="7">
        <f ca="1">AVERAGE(E246:OFFSET(F246,-$Y$5+1,0))</f>
        <v>9031.4</v>
      </c>
      <c r="Z246" s="7">
        <f t="shared" ca="1" si="31"/>
        <v>0</v>
      </c>
    </row>
    <row r="247" spans="1:26">
      <c r="A247" s="3" t="s">
        <v>35</v>
      </c>
      <c r="B247" s="4">
        <v>42000</v>
      </c>
      <c r="C247" s="3">
        <v>9235</v>
      </c>
      <c r="D247" s="3">
        <v>9257</v>
      </c>
      <c r="E247" s="3">
        <v>9226</v>
      </c>
      <c r="F247" s="3">
        <v>9256</v>
      </c>
      <c r="G247" s="3">
        <v>27720</v>
      </c>
      <c r="H247" s="3">
        <v>1.355</v>
      </c>
      <c r="I247" s="2">
        <f t="shared" si="40"/>
        <v>0</v>
      </c>
      <c r="J247" s="10">
        <f t="shared" si="42"/>
        <v>9</v>
      </c>
      <c r="K247" s="10">
        <f t="shared" si="41"/>
        <v>21</v>
      </c>
      <c r="L247" s="10">
        <f t="shared" ca="1" si="30"/>
        <v>0</v>
      </c>
      <c r="M247" s="10">
        <f t="shared" ca="1" si="32"/>
        <v>1</v>
      </c>
      <c r="N247" s="30">
        <f t="shared" ca="1" si="33"/>
        <v>0</v>
      </c>
      <c r="O247" s="10">
        <f t="shared" ca="1" si="34"/>
        <v>1834200</v>
      </c>
      <c r="P247" s="29">
        <f t="shared" ca="1" si="35"/>
        <v>6000</v>
      </c>
      <c r="Q247" s="12">
        <f t="shared" ca="1" si="36"/>
        <v>-31900</v>
      </c>
      <c r="R247" s="10">
        <f t="shared" ca="1" si="37"/>
        <v>0.32711808963035655</v>
      </c>
      <c r="U247" s="12">
        <f t="shared" ca="1" si="38"/>
        <v>0</v>
      </c>
      <c r="V247" s="14">
        <f t="shared" ca="1" si="39"/>
        <v>0</v>
      </c>
      <c r="X247" s="7">
        <f ca="1">AVERAGE(E247:OFFSET(F247,-$X$5+1,0))</f>
        <v>9171.7000000000007</v>
      </c>
      <c r="Y247" s="7">
        <f ca="1">AVERAGE(E247:OFFSET(F247,-$Y$5+1,0))</f>
        <v>9057.4500000000007</v>
      </c>
      <c r="Z247" s="7">
        <f t="shared" ca="1" si="31"/>
        <v>0</v>
      </c>
    </row>
    <row r="248" spans="1:26">
      <c r="A248" s="3" t="s">
        <v>35</v>
      </c>
      <c r="B248" s="4">
        <v>42002</v>
      </c>
      <c r="C248" s="3">
        <v>9245</v>
      </c>
      <c r="D248" s="3">
        <v>9336</v>
      </c>
      <c r="E248" s="3">
        <v>9241</v>
      </c>
      <c r="F248" s="3">
        <v>9314</v>
      </c>
      <c r="G248" s="3">
        <v>98576</v>
      </c>
      <c r="H248" s="3">
        <v>1.355</v>
      </c>
      <c r="I248" s="2">
        <f t="shared" si="40"/>
        <v>0</v>
      </c>
      <c r="J248" s="10">
        <f t="shared" si="42"/>
        <v>-11</v>
      </c>
      <c r="K248" s="10">
        <f t="shared" si="41"/>
        <v>69</v>
      </c>
      <c r="L248" s="10">
        <f t="shared" ca="1" si="30"/>
        <v>0</v>
      </c>
      <c r="M248" s="10">
        <f t="shared" ca="1" si="32"/>
        <v>1</v>
      </c>
      <c r="N248" s="30">
        <f t="shared" ca="1" si="33"/>
        <v>0</v>
      </c>
      <c r="O248" s="10">
        <f t="shared" ca="1" si="34"/>
        <v>1834200</v>
      </c>
      <c r="P248" s="29">
        <f t="shared" ca="1" si="35"/>
        <v>11600</v>
      </c>
      <c r="Q248" s="12">
        <f t="shared" ca="1" si="36"/>
        <v>-20300</v>
      </c>
      <c r="R248" s="10">
        <f t="shared" ca="1" si="37"/>
        <v>0.63242830661868932</v>
      </c>
      <c r="U248" s="12">
        <f t="shared" ca="1" si="38"/>
        <v>0</v>
      </c>
      <c r="V248" s="14">
        <f t="shared" ca="1" si="39"/>
        <v>0</v>
      </c>
      <c r="X248" s="7">
        <f ca="1">AVERAGE(E248:OFFSET(F248,-$X$5+1,0))</f>
        <v>9206</v>
      </c>
      <c r="Y248" s="7">
        <f ca="1">AVERAGE(E248:OFFSET(F248,-$Y$5+1,0))</f>
        <v>9088</v>
      </c>
      <c r="Z248" s="7">
        <f t="shared" ca="1" si="31"/>
        <v>0</v>
      </c>
    </row>
    <row r="249" spans="1:26">
      <c r="A249" s="3" t="s">
        <v>35</v>
      </c>
      <c r="B249" s="4">
        <v>42003</v>
      </c>
      <c r="C249" s="3">
        <v>9320</v>
      </c>
      <c r="D249" s="3">
        <v>9343</v>
      </c>
      <c r="E249" s="3">
        <v>9268</v>
      </c>
      <c r="F249" s="3">
        <v>9286</v>
      </c>
      <c r="G249" s="3">
        <v>92786</v>
      </c>
      <c r="H249" s="3">
        <v>1.355</v>
      </c>
      <c r="I249" s="2">
        <f t="shared" si="40"/>
        <v>0</v>
      </c>
      <c r="J249" s="10">
        <f t="shared" si="42"/>
        <v>6</v>
      </c>
      <c r="K249" s="10">
        <f t="shared" si="41"/>
        <v>-34</v>
      </c>
      <c r="L249" s="10">
        <f t="shared" ca="1" si="30"/>
        <v>0</v>
      </c>
      <c r="M249" s="10">
        <f t="shared" ca="1" si="32"/>
        <v>1</v>
      </c>
      <c r="N249" s="30">
        <f t="shared" ca="1" si="33"/>
        <v>0</v>
      </c>
      <c r="O249" s="10">
        <f t="shared" ca="1" si="34"/>
        <v>1834200</v>
      </c>
      <c r="P249" s="29">
        <f t="shared" ca="1" si="35"/>
        <v>-5600</v>
      </c>
      <c r="Q249" s="12">
        <f t="shared" ca="1" si="36"/>
        <v>-25900</v>
      </c>
      <c r="R249" s="10">
        <f t="shared" ca="1" si="37"/>
        <v>-0.30531021698833277</v>
      </c>
      <c r="U249" s="12">
        <f t="shared" ca="1" si="38"/>
        <v>0</v>
      </c>
      <c r="V249" s="14">
        <f t="shared" ca="1" si="39"/>
        <v>0</v>
      </c>
      <c r="X249" s="7">
        <f ca="1">AVERAGE(E249:OFFSET(F249,-$X$5+1,0))</f>
        <v>9233.5</v>
      </c>
      <c r="Y249" s="7">
        <f ca="1">AVERAGE(E249:OFFSET(F249,-$Y$5+1,0))</f>
        <v>9131.7999999999993</v>
      </c>
      <c r="Z249" s="7">
        <f t="shared" ca="1" si="31"/>
        <v>0</v>
      </c>
    </row>
    <row r="250" spans="1:26">
      <c r="A250" s="3" t="s">
        <v>35</v>
      </c>
      <c r="B250" s="4">
        <v>42004</v>
      </c>
      <c r="C250" s="3">
        <v>9286</v>
      </c>
      <c r="D250" s="3">
        <v>9303</v>
      </c>
      <c r="E250" s="3">
        <v>9252</v>
      </c>
      <c r="F250" s="3">
        <v>9283</v>
      </c>
      <c r="G250" s="3">
        <v>75117</v>
      </c>
      <c r="H250" s="3">
        <v>1.355</v>
      </c>
      <c r="I250" s="2">
        <f t="shared" si="40"/>
        <v>0</v>
      </c>
      <c r="J250" s="10">
        <f t="shared" si="42"/>
        <v>0</v>
      </c>
      <c r="K250" s="10">
        <f t="shared" si="41"/>
        <v>-3</v>
      </c>
      <c r="L250" s="10">
        <f t="shared" ca="1" si="30"/>
        <v>0</v>
      </c>
      <c r="M250" s="10">
        <f t="shared" ca="1" si="32"/>
        <v>1</v>
      </c>
      <c r="N250" s="30">
        <f t="shared" ca="1" si="33"/>
        <v>0</v>
      </c>
      <c r="O250" s="10">
        <f t="shared" ca="1" si="34"/>
        <v>1834200</v>
      </c>
      <c r="P250" s="29">
        <f t="shared" ca="1" si="35"/>
        <v>-600</v>
      </c>
      <c r="Q250" s="12">
        <f t="shared" ca="1" si="36"/>
        <v>-26500</v>
      </c>
      <c r="R250" s="10">
        <f t="shared" ca="1" si="37"/>
        <v>-3.2711808963035653E-2</v>
      </c>
      <c r="U250" s="12">
        <f t="shared" ca="1" si="38"/>
        <v>0</v>
      </c>
      <c r="V250" s="14">
        <f t="shared" ca="1" si="39"/>
        <v>0</v>
      </c>
      <c r="X250" s="7">
        <f ca="1">AVERAGE(E250:OFFSET(F250,-$X$5+1,0))</f>
        <v>9252.5</v>
      </c>
      <c r="Y250" s="7">
        <f ca="1">AVERAGE(E250:OFFSET(F250,-$Y$5+1,0))</f>
        <v>9172.85</v>
      </c>
      <c r="Z250" s="7">
        <f t="shared" ca="1" si="31"/>
        <v>0</v>
      </c>
    </row>
    <row r="251" spans="1:26">
      <c r="A251" s="3" t="s">
        <v>35</v>
      </c>
      <c r="B251" s="4">
        <v>42009</v>
      </c>
      <c r="C251" s="3">
        <v>9238</v>
      </c>
      <c r="D251" s="3">
        <v>9276</v>
      </c>
      <c r="E251" s="3">
        <v>9155</v>
      </c>
      <c r="F251" s="3">
        <v>9252</v>
      </c>
      <c r="G251" s="3">
        <v>120487</v>
      </c>
      <c r="H251" s="3">
        <v>1.355</v>
      </c>
      <c r="I251" s="2">
        <f t="shared" si="40"/>
        <v>0</v>
      </c>
      <c r="J251" s="10">
        <f t="shared" si="42"/>
        <v>-45</v>
      </c>
      <c r="K251" s="10">
        <f t="shared" si="41"/>
        <v>14</v>
      </c>
      <c r="L251" s="10">
        <f t="shared" ca="1" si="30"/>
        <v>0</v>
      </c>
      <c r="M251" s="10">
        <f t="shared" ca="1" si="32"/>
        <v>1</v>
      </c>
      <c r="N251" s="30">
        <f t="shared" ca="1" si="33"/>
        <v>0</v>
      </c>
      <c r="O251" s="10">
        <f t="shared" ca="1" si="34"/>
        <v>1834200</v>
      </c>
      <c r="P251" s="29">
        <f t="shared" ca="1" si="35"/>
        <v>-6200</v>
      </c>
      <c r="Q251" s="12">
        <f t="shared" ca="1" si="36"/>
        <v>-32700</v>
      </c>
      <c r="R251" s="10">
        <f t="shared" ca="1" si="37"/>
        <v>-0.33802202595136843</v>
      </c>
      <c r="U251" s="12">
        <f t="shared" ca="1" si="38"/>
        <v>0</v>
      </c>
      <c r="V251" s="14">
        <f t="shared" ca="1" si="39"/>
        <v>0</v>
      </c>
      <c r="X251" s="7">
        <f ca="1">AVERAGE(E251:OFFSET(F251,-$X$5+1,0))</f>
        <v>9253.2999999999993</v>
      </c>
      <c r="Y251" s="7">
        <f ca="1">AVERAGE(E251:OFFSET(F251,-$Y$5+1,0))</f>
        <v>9194.35</v>
      </c>
      <c r="Z251" s="7">
        <f t="shared" ca="1" si="31"/>
        <v>0</v>
      </c>
    </row>
    <row r="252" spans="1:26">
      <c r="A252" s="3" t="s">
        <v>35</v>
      </c>
      <c r="B252" s="4">
        <v>42010</v>
      </c>
      <c r="C252" s="3">
        <v>9144</v>
      </c>
      <c r="D252" s="3">
        <v>9153</v>
      </c>
      <c r="E252" s="3">
        <v>9017</v>
      </c>
      <c r="F252" s="3">
        <v>9058</v>
      </c>
      <c r="G252" s="3">
        <v>148125</v>
      </c>
      <c r="H252" s="3">
        <v>1.355</v>
      </c>
      <c r="I252" s="2">
        <f t="shared" si="40"/>
        <v>0</v>
      </c>
      <c r="J252" s="10">
        <f t="shared" si="42"/>
        <v>-108</v>
      </c>
      <c r="K252" s="10">
        <f t="shared" si="41"/>
        <v>-86</v>
      </c>
      <c r="L252" s="10">
        <f t="shared" ca="1" si="30"/>
        <v>0</v>
      </c>
      <c r="M252" s="10">
        <f t="shared" ca="1" si="32"/>
        <v>1</v>
      </c>
      <c r="N252" s="30">
        <f t="shared" ca="1" si="33"/>
        <v>0</v>
      </c>
      <c r="O252" s="10">
        <f t="shared" ca="1" si="34"/>
        <v>1834200</v>
      </c>
      <c r="P252" s="29">
        <f t="shared" ca="1" si="35"/>
        <v>-38800</v>
      </c>
      <c r="Q252" s="12">
        <f t="shared" ca="1" si="36"/>
        <v>-71500</v>
      </c>
      <c r="R252" s="10">
        <f t="shared" ca="1" si="37"/>
        <v>-2.1153636462763057</v>
      </c>
      <c r="U252" s="12">
        <f t="shared" ca="1" si="38"/>
        <v>0</v>
      </c>
      <c r="V252" s="14">
        <f t="shared" ca="1" si="39"/>
        <v>0</v>
      </c>
      <c r="X252" s="7">
        <f ca="1">AVERAGE(E252:OFFSET(F252,-$X$5+1,0))</f>
        <v>9212.6</v>
      </c>
      <c r="Y252" s="7">
        <f ca="1">AVERAGE(E252:OFFSET(F252,-$Y$5+1,0))</f>
        <v>9192.15</v>
      </c>
      <c r="Z252" s="7">
        <f t="shared" ca="1" si="31"/>
        <v>0</v>
      </c>
    </row>
    <row r="253" spans="1:26">
      <c r="A253" s="3" t="s">
        <v>35</v>
      </c>
      <c r="B253" s="4">
        <v>42011</v>
      </c>
      <c r="C253" s="3">
        <v>9042</v>
      </c>
      <c r="D253" s="3">
        <v>9092</v>
      </c>
      <c r="E253" s="3">
        <v>9033</v>
      </c>
      <c r="F253" s="3">
        <v>9045</v>
      </c>
      <c r="G253" s="3">
        <v>93314</v>
      </c>
      <c r="H253" s="3">
        <v>1.355</v>
      </c>
      <c r="I253" s="2">
        <f t="shared" si="40"/>
        <v>0</v>
      </c>
      <c r="J253" s="10">
        <f t="shared" si="42"/>
        <v>-16</v>
      </c>
      <c r="K253" s="10">
        <f t="shared" si="41"/>
        <v>3</v>
      </c>
      <c r="L253" s="10">
        <f t="shared" ref="L253:L316" ca="1" si="43">Z253</f>
        <v>-1</v>
      </c>
      <c r="M253" s="10">
        <f t="shared" ca="1" si="32"/>
        <v>1</v>
      </c>
      <c r="N253" s="30">
        <f t="shared" ca="1" si="33"/>
        <v>0</v>
      </c>
      <c r="O253" s="10">
        <f t="shared" ca="1" si="34"/>
        <v>1834200</v>
      </c>
      <c r="P253" s="29">
        <f t="shared" ca="1" si="35"/>
        <v>-2600</v>
      </c>
      <c r="Q253" s="12">
        <f t="shared" ca="1" si="36"/>
        <v>-74100</v>
      </c>
      <c r="R253" s="10">
        <f t="shared" ca="1" si="37"/>
        <v>-0.1417511721731545</v>
      </c>
      <c r="U253" s="12">
        <f t="shared" ca="1" si="38"/>
        <v>0</v>
      </c>
      <c r="V253" s="14">
        <f t="shared" ca="1" si="39"/>
        <v>0</v>
      </c>
      <c r="X253" s="7">
        <f ca="1">AVERAGE(E253:OFFSET(F253,-$X$5+1,0))</f>
        <v>9164.9</v>
      </c>
      <c r="Y253" s="7">
        <f ca="1">AVERAGE(E253:OFFSET(F253,-$Y$5+1,0))</f>
        <v>9185.4500000000007</v>
      </c>
      <c r="Z253" s="7">
        <f t="shared" ref="Z253:Z316" ca="1" si="44">IF(AND(X252&lt;=Y252,X253&gt;Y253),1,IF(AND(X252&gt;Y252,X253&lt;=Y253),-1,0))</f>
        <v>-1</v>
      </c>
    </row>
    <row r="254" spans="1:26">
      <c r="A254" s="3" t="s">
        <v>35</v>
      </c>
      <c r="B254" s="4">
        <v>42012</v>
      </c>
      <c r="C254" s="3">
        <v>9116</v>
      </c>
      <c r="D254" s="3">
        <v>9259</v>
      </c>
      <c r="E254" s="3">
        <v>9115</v>
      </c>
      <c r="F254" s="3">
        <v>9257</v>
      </c>
      <c r="G254" s="3">
        <v>131883</v>
      </c>
      <c r="H254" s="3">
        <v>1.355</v>
      </c>
      <c r="I254" s="2">
        <f t="shared" si="40"/>
        <v>0</v>
      </c>
      <c r="J254" s="10">
        <f t="shared" si="42"/>
        <v>71</v>
      </c>
      <c r="K254" s="10">
        <f t="shared" si="41"/>
        <v>141</v>
      </c>
      <c r="L254" s="10">
        <f t="shared" ca="1" si="43"/>
        <v>0</v>
      </c>
      <c r="M254" s="10">
        <f t="shared" ref="M254:M317" ca="1" si="45">IF(I254=1,0,IF(M253+L253&gt;=$M$5,$M$5,IF(M253+L253&lt;=$M$7,$M$7,M253+L253)))</f>
        <v>0</v>
      </c>
      <c r="N254" s="30">
        <f t="shared" ref="N254:N317" ca="1" si="46">IF(M254=0,0,IF(M254&gt;M253,(C254+N253*M253)*$S$5,0))</f>
        <v>0</v>
      </c>
      <c r="O254" s="10">
        <f t="shared" ref="O254:O317" ca="1" si="47">IF(M254=0,0,IF(M254=M253,O253,((M254-M253)*C254+N253*M253)*$S$5/M254))</f>
        <v>0</v>
      </c>
      <c r="P254" s="29">
        <f t="shared" ref="P254:P317" ca="1" si="48">IF(M253=M254,(M253*J254+M254*K254)*$S$5,(M253*J254+M254*K254)*$S$5-$S$6)</f>
        <v>13700</v>
      </c>
      <c r="Q254" s="12">
        <f t="shared" ref="Q254:Q317" ca="1" si="49">P254+Q253</f>
        <v>-60400</v>
      </c>
      <c r="R254" s="10">
        <f t="shared" ref="R254:R317" ca="1" si="50">IF(P254=0,0,IF(O254=0,100*P254/O253,100*P254/O254))</f>
        <v>0.74691963798931416</v>
      </c>
      <c r="U254" s="12">
        <f t="shared" ref="U254:U317" ca="1" si="51">IF(Q254&gt;U253,Q254,U253)</f>
        <v>0</v>
      </c>
      <c r="V254" s="14">
        <f t="shared" ref="V254:V317" ca="1" si="52">IF(U254=0,0,100*(Q254-U254)/U254)</f>
        <v>0</v>
      </c>
      <c r="X254" s="7">
        <f ca="1">AVERAGE(E254:OFFSET(F254,-$X$5+1,0))</f>
        <v>9146.7000000000007</v>
      </c>
      <c r="Y254" s="7">
        <f ca="1">AVERAGE(E254:OFFSET(F254,-$Y$5+1,0))</f>
        <v>9190.1</v>
      </c>
      <c r="Z254" s="7">
        <f t="shared" ca="1" si="44"/>
        <v>0</v>
      </c>
    </row>
    <row r="255" spans="1:26">
      <c r="A255" s="3" t="s">
        <v>35</v>
      </c>
      <c r="B255" s="4">
        <v>42013</v>
      </c>
      <c r="C255" s="3">
        <v>9328</v>
      </c>
      <c r="D255" s="3">
        <v>9335</v>
      </c>
      <c r="E255" s="3">
        <v>9217</v>
      </c>
      <c r="F255" s="3">
        <v>9230</v>
      </c>
      <c r="G255" s="3">
        <v>117874</v>
      </c>
      <c r="H255" s="3">
        <v>1.355</v>
      </c>
      <c r="I255" s="2">
        <f t="shared" si="40"/>
        <v>0</v>
      </c>
      <c r="J255" s="10">
        <f t="shared" si="42"/>
        <v>71</v>
      </c>
      <c r="K255" s="10">
        <f t="shared" si="41"/>
        <v>-98</v>
      </c>
      <c r="L255" s="10">
        <f t="shared" ca="1" si="43"/>
        <v>0</v>
      </c>
      <c r="M255" s="10">
        <f t="shared" ca="1" si="45"/>
        <v>0</v>
      </c>
      <c r="N255" s="30">
        <f t="shared" ca="1" si="46"/>
        <v>0</v>
      </c>
      <c r="O255" s="10">
        <f t="shared" ca="1" si="47"/>
        <v>0</v>
      </c>
      <c r="P255" s="29">
        <f t="shared" ca="1" si="48"/>
        <v>0</v>
      </c>
      <c r="Q255" s="12">
        <f t="shared" ca="1" si="49"/>
        <v>-60400</v>
      </c>
      <c r="R255" s="10">
        <f t="shared" ca="1" si="50"/>
        <v>0</v>
      </c>
      <c r="U255" s="12">
        <f t="shared" ca="1" si="51"/>
        <v>0</v>
      </c>
      <c r="V255" s="14">
        <f t="shared" ca="1" si="52"/>
        <v>0</v>
      </c>
      <c r="X255" s="7">
        <f ca="1">AVERAGE(E255:OFFSET(F255,-$X$5+1,0))</f>
        <v>9137.9</v>
      </c>
      <c r="Y255" s="7">
        <f ca="1">AVERAGE(E255:OFFSET(F255,-$Y$5+1,0))</f>
        <v>9195.2000000000007</v>
      </c>
      <c r="Z255" s="7">
        <f t="shared" ca="1" si="44"/>
        <v>0</v>
      </c>
    </row>
    <row r="256" spans="1:26">
      <c r="A256" s="3" t="s">
        <v>35</v>
      </c>
      <c r="B256" s="4">
        <v>42016</v>
      </c>
      <c r="C256" s="3">
        <v>9190</v>
      </c>
      <c r="D256" s="3">
        <v>9238</v>
      </c>
      <c r="E256" s="3">
        <v>9157</v>
      </c>
      <c r="F256" s="3">
        <v>9185</v>
      </c>
      <c r="G256" s="3">
        <v>97827</v>
      </c>
      <c r="H256" s="3">
        <v>1.355</v>
      </c>
      <c r="I256" s="2">
        <f t="shared" si="40"/>
        <v>0</v>
      </c>
      <c r="J256" s="10">
        <f t="shared" si="42"/>
        <v>-40</v>
      </c>
      <c r="K256" s="10">
        <f t="shared" si="41"/>
        <v>-5</v>
      </c>
      <c r="L256" s="10">
        <f t="shared" ca="1" si="43"/>
        <v>0</v>
      </c>
      <c r="M256" s="10">
        <f t="shared" ca="1" si="45"/>
        <v>0</v>
      </c>
      <c r="N256" s="30">
        <f t="shared" ca="1" si="46"/>
        <v>0</v>
      </c>
      <c r="O256" s="10">
        <f t="shared" ca="1" si="47"/>
        <v>0</v>
      </c>
      <c r="P256" s="29">
        <f t="shared" ca="1" si="48"/>
        <v>0</v>
      </c>
      <c r="Q256" s="12">
        <f t="shared" ca="1" si="49"/>
        <v>-60400</v>
      </c>
      <c r="R256" s="10">
        <f t="shared" ca="1" si="50"/>
        <v>0</v>
      </c>
      <c r="U256" s="12">
        <f t="shared" ca="1" si="51"/>
        <v>0</v>
      </c>
      <c r="V256" s="14">
        <f t="shared" ca="1" si="52"/>
        <v>0</v>
      </c>
      <c r="X256" s="7">
        <f ca="1">AVERAGE(E256:OFFSET(F256,-$X$5+1,0))</f>
        <v>9131.4</v>
      </c>
      <c r="Y256" s="7">
        <f ca="1">AVERAGE(E256:OFFSET(F256,-$Y$5+1,0))</f>
        <v>9192.35</v>
      </c>
      <c r="Z256" s="7">
        <f t="shared" ca="1" si="44"/>
        <v>0</v>
      </c>
    </row>
    <row r="257" spans="1:26">
      <c r="A257" s="3" t="s">
        <v>35</v>
      </c>
      <c r="B257" s="4">
        <v>42017</v>
      </c>
      <c r="C257" s="3">
        <v>9194</v>
      </c>
      <c r="D257" s="3">
        <v>9275</v>
      </c>
      <c r="E257" s="3">
        <v>9159</v>
      </c>
      <c r="F257" s="3">
        <v>9249</v>
      </c>
      <c r="G257" s="3">
        <v>127705</v>
      </c>
      <c r="H257" s="3">
        <v>1.355</v>
      </c>
      <c r="I257" s="2">
        <f t="shared" si="40"/>
        <v>0</v>
      </c>
      <c r="J257" s="10">
        <f t="shared" si="42"/>
        <v>9</v>
      </c>
      <c r="K257" s="10">
        <f t="shared" si="41"/>
        <v>55</v>
      </c>
      <c r="L257" s="10">
        <f t="shared" ca="1" si="43"/>
        <v>0</v>
      </c>
      <c r="M257" s="10">
        <f t="shared" ca="1" si="45"/>
        <v>0</v>
      </c>
      <c r="N257" s="30">
        <f t="shared" ca="1" si="46"/>
        <v>0</v>
      </c>
      <c r="O257" s="10">
        <f t="shared" ca="1" si="47"/>
        <v>0</v>
      </c>
      <c r="P257" s="29">
        <f t="shared" ca="1" si="48"/>
        <v>0</v>
      </c>
      <c r="Q257" s="12">
        <f t="shared" ca="1" si="49"/>
        <v>-60400</v>
      </c>
      <c r="R257" s="10">
        <f t="shared" ca="1" si="50"/>
        <v>0</v>
      </c>
      <c r="U257" s="12">
        <f t="shared" ca="1" si="51"/>
        <v>0</v>
      </c>
      <c r="V257" s="14">
        <f t="shared" ca="1" si="52"/>
        <v>0</v>
      </c>
      <c r="X257" s="7">
        <f ca="1">AVERAGE(E257:OFFSET(F257,-$X$5+1,0))</f>
        <v>9164.7000000000007</v>
      </c>
      <c r="Y257" s="7">
        <f ca="1">AVERAGE(E257:OFFSET(F257,-$Y$5+1,0))</f>
        <v>9188.65</v>
      </c>
      <c r="Z257" s="7">
        <f t="shared" ca="1" si="44"/>
        <v>0</v>
      </c>
    </row>
    <row r="258" spans="1:26">
      <c r="A258" s="3" t="s">
        <v>35</v>
      </c>
      <c r="B258" s="4">
        <v>42018</v>
      </c>
      <c r="C258" s="3">
        <v>9235</v>
      </c>
      <c r="D258" s="3">
        <v>9247</v>
      </c>
      <c r="E258" s="3">
        <v>9151</v>
      </c>
      <c r="F258" s="3">
        <v>9171</v>
      </c>
      <c r="G258" s="3">
        <v>122662</v>
      </c>
      <c r="H258" s="3">
        <v>1.355</v>
      </c>
      <c r="I258" s="2">
        <f t="shared" si="40"/>
        <v>0</v>
      </c>
      <c r="J258" s="10">
        <f t="shared" si="42"/>
        <v>-14</v>
      </c>
      <c r="K258" s="10">
        <f t="shared" si="41"/>
        <v>-64</v>
      </c>
      <c r="L258" s="10">
        <f t="shared" ca="1" si="43"/>
        <v>1</v>
      </c>
      <c r="M258" s="10">
        <f t="shared" ca="1" si="45"/>
        <v>0</v>
      </c>
      <c r="N258" s="30">
        <f t="shared" ca="1" si="46"/>
        <v>0</v>
      </c>
      <c r="O258" s="10">
        <f t="shared" ca="1" si="47"/>
        <v>0</v>
      </c>
      <c r="P258" s="29">
        <f t="shared" ca="1" si="48"/>
        <v>0</v>
      </c>
      <c r="Q258" s="12">
        <f t="shared" ca="1" si="49"/>
        <v>-60400</v>
      </c>
      <c r="R258" s="10">
        <f t="shared" ca="1" si="50"/>
        <v>0</v>
      </c>
      <c r="U258" s="12">
        <f t="shared" ca="1" si="51"/>
        <v>0</v>
      </c>
      <c r="V258" s="14">
        <f t="shared" ca="1" si="52"/>
        <v>0</v>
      </c>
      <c r="X258" s="7">
        <f ca="1">AVERAGE(E258:OFFSET(F258,-$X$5+1,0))</f>
        <v>9189.1</v>
      </c>
      <c r="Y258" s="7">
        <f ca="1">AVERAGE(E258:OFFSET(F258,-$Y$5+1,0))</f>
        <v>9177</v>
      </c>
      <c r="Z258" s="7">
        <f t="shared" ca="1" si="44"/>
        <v>1</v>
      </c>
    </row>
    <row r="259" spans="1:26">
      <c r="A259" s="3" t="s">
        <v>35</v>
      </c>
      <c r="B259" s="4">
        <v>42019</v>
      </c>
      <c r="C259" s="3">
        <v>9187</v>
      </c>
      <c r="D259" s="3">
        <v>9230</v>
      </c>
      <c r="E259" s="3">
        <v>9130</v>
      </c>
      <c r="F259" s="3">
        <v>9195</v>
      </c>
      <c r="G259" s="3">
        <v>116348</v>
      </c>
      <c r="H259" s="3">
        <v>1.355</v>
      </c>
      <c r="I259" s="2">
        <f t="shared" si="40"/>
        <v>0</v>
      </c>
      <c r="J259" s="10">
        <f t="shared" si="42"/>
        <v>16</v>
      </c>
      <c r="K259" s="10">
        <f t="shared" si="41"/>
        <v>8</v>
      </c>
      <c r="L259" s="10">
        <f t="shared" ca="1" si="43"/>
        <v>0</v>
      </c>
      <c r="M259" s="10">
        <f t="shared" ca="1" si="45"/>
        <v>1</v>
      </c>
      <c r="N259" s="30">
        <f t="shared" ca="1" si="46"/>
        <v>1837400</v>
      </c>
      <c r="O259" s="10">
        <f t="shared" ca="1" si="47"/>
        <v>1837400</v>
      </c>
      <c r="P259" s="29">
        <f t="shared" ca="1" si="48"/>
        <v>1100</v>
      </c>
      <c r="Q259" s="12">
        <f t="shared" ca="1" si="49"/>
        <v>-59300</v>
      </c>
      <c r="R259" s="10">
        <f t="shared" ca="1" si="50"/>
        <v>5.9867203657341897E-2</v>
      </c>
      <c r="U259" s="12">
        <f t="shared" ca="1" si="51"/>
        <v>0</v>
      </c>
      <c r="V259" s="14">
        <f t="shared" ca="1" si="52"/>
        <v>0</v>
      </c>
      <c r="X259" s="7">
        <f ca="1">AVERAGE(E259:OFFSET(F259,-$X$5+1,0))</f>
        <v>9184.4</v>
      </c>
      <c r="Y259" s="7">
        <f ca="1">AVERAGE(E259:OFFSET(F259,-$Y$5+1,0))</f>
        <v>9165.5499999999993</v>
      </c>
      <c r="Z259" s="7">
        <f t="shared" ca="1" si="44"/>
        <v>0</v>
      </c>
    </row>
    <row r="260" spans="1:26">
      <c r="A260" s="3" t="s">
        <v>35</v>
      </c>
      <c r="B260" s="4">
        <v>42020</v>
      </c>
      <c r="C260" s="3">
        <v>9175</v>
      </c>
      <c r="D260" s="3">
        <v>9229</v>
      </c>
      <c r="E260" s="3">
        <v>9082</v>
      </c>
      <c r="F260" s="3">
        <v>9115</v>
      </c>
      <c r="G260" s="3">
        <v>160290</v>
      </c>
      <c r="H260" s="3">
        <v>1.355</v>
      </c>
      <c r="I260" s="2">
        <f t="shared" ref="I260:I323" si="53">IF(A260=A261,0,1)</f>
        <v>0</v>
      </c>
      <c r="J260" s="10">
        <f t="shared" si="42"/>
        <v>-20</v>
      </c>
      <c r="K260" s="10">
        <f t="shared" ref="K260:K323" si="54">F260-C260</f>
        <v>-60</v>
      </c>
      <c r="L260" s="10">
        <f t="shared" ca="1" si="43"/>
        <v>0</v>
      </c>
      <c r="M260" s="10">
        <f t="shared" ca="1" si="45"/>
        <v>1</v>
      </c>
      <c r="N260" s="30">
        <f t="shared" ca="1" si="46"/>
        <v>0</v>
      </c>
      <c r="O260" s="10">
        <f t="shared" ca="1" si="47"/>
        <v>1837400</v>
      </c>
      <c r="P260" s="29">
        <f t="shared" ca="1" si="48"/>
        <v>-16000</v>
      </c>
      <c r="Q260" s="12">
        <f t="shared" ca="1" si="49"/>
        <v>-75300</v>
      </c>
      <c r="R260" s="10">
        <f t="shared" ca="1" si="50"/>
        <v>-0.87079568956133668</v>
      </c>
      <c r="U260" s="12">
        <f t="shared" ca="1" si="51"/>
        <v>0</v>
      </c>
      <c r="V260" s="14">
        <f t="shared" ca="1" si="52"/>
        <v>0</v>
      </c>
      <c r="X260" s="7">
        <f ca="1">AVERAGE(E260:OFFSET(F260,-$X$5+1,0))</f>
        <v>9159.4</v>
      </c>
      <c r="Y260" s="7">
        <f ca="1">AVERAGE(E260:OFFSET(F260,-$Y$5+1,0))</f>
        <v>9148.65</v>
      </c>
      <c r="Z260" s="7">
        <f t="shared" ca="1" si="44"/>
        <v>0</v>
      </c>
    </row>
    <row r="261" spans="1:26">
      <c r="A261" s="3" t="s">
        <v>35</v>
      </c>
      <c r="B261" s="4">
        <v>42023</v>
      </c>
      <c r="C261" s="3">
        <v>9211</v>
      </c>
      <c r="D261" s="3">
        <v>9260</v>
      </c>
      <c r="E261" s="3">
        <v>9142</v>
      </c>
      <c r="F261" s="3">
        <v>9181</v>
      </c>
      <c r="G261" s="3">
        <v>134142</v>
      </c>
      <c r="H261" s="3">
        <v>1.355</v>
      </c>
      <c r="I261" s="2">
        <f t="shared" si="53"/>
        <v>0</v>
      </c>
      <c r="J261" s="10">
        <f t="shared" ref="J261:J324" si="55">C261-F260</f>
        <v>96</v>
      </c>
      <c r="K261" s="10">
        <f t="shared" si="54"/>
        <v>-30</v>
      </c>
      <c r="L261" s="10">
        <f t="shared" ca="1" si="43"/>
        <v>0</v>
      </c>
      <c r="M261" s="10">
        <f t="shared" ca="1" si="45"/>
        <v>1</v>
      </c>
      <c r="N261" s="30">
        <f t="shared" ca="1" si="46"/>
        <v>0</v>
      </c>
      <c r="O261" s="10">
        <f t="shared" ca="1" si="47"/>
        <v>1837400</v>
      </c>
      <c r="P261" s="29">
        <f t="shared" ca="1" si="48"/>
        <v>13200</v>
      </c>
      <c r="Q261" s="12">
        <f t="shared" ca="1" si="49"/>
        <v>-62100</v>
      </c>
      <c r="R261" s="10">
        <f t="shared" ca="1" si="50"/>
        <v>0.71840644388810271</v>
      </c>
      <c r="U261" s="12">
        <f t="shared" ca="1" si="51"/>
        <v>0</v>
      </c>
      <c r="V261" s="14">
        <f t="shared" ca="1" si="52"/>
        <v>0</v>
      </c>
      <c r="X261" s="7">
        <f ca="1">AVERAGE(E261:OFFSET(F261,-$X$5+1,0))</f>
        <v>9157.5</v>
      </c>
      <c r="Y261" s="7">
        <f ca="1">AVERAGE(E261:OFFSET(F261,-$Y$5+1,0))</f>
        <v>9144.4500000000007</v>
      </c>
      <c r="Z261" s="7">
        <f t="shared" ca="1" si="44"/>
        <v>0</v>
      </c>
    </row>
    <row r="262" spans="1:26">
      <c r="A262" s="3" t="s">
        <v>35</v>
      </c>
      <c r="B262" s="4">
        <v>42024</v>
      </c>
      <c r="C262" s="3">
        <v>9220</v>
      </c>
      <c r="D262" s="3">
        <v>9269</v>
      </c>
      <c r="E262" s="3">
        <v>9183</v>
      </c>
      <c r="F262" s="3">
        <v>9268</v>
      </c>
      <c r="G262" s="3">
        <v>121592</v>
      </c>
      <c r="H262" s="3">
        <v>1.355</v>
      </c>
      <c r="I262" s="2">
        <f t="shared" si="53"/>
        <v>0</v>
      </c>
      <c r="J262" s="10">
        <f t="shared" si="55"/>
        <v>39</v>
      </c>
      <c r="K262" s="10">
        <f t="shared" si="54"/>
        <v>48</v>
      </c>
      <c r="L262" s="10">
        <f t="shared" ca="1" si="43"/>
        <v>-1</v>
      </c>
      <c r="M262" s="10">
        <f t="shared" ca="1" si="45"/>
        <v>1</v>
      </c>
      <c r="N262" s="30">
        <f t="shared" ca="1" si="46"/>
        <v>0</v>
      </c>
      <c r="O262" s="10">
        <f t="shared" ca="1" si="47"/>
        <v>1837400</v>
      </c>
      <c r="P262" s="29">
        <f t="shared" ca="1" si="48"/>
        <v>17400</v>
      </c>
      <c r="Q262" s="12">
        <f t="shared" ca="1" si="49"/>
        <v>-44700</v>
      </c>
      <c r="R262" s="10">
        <f t="shared" ca="1" si="50"/>
        <v>0.94699031239795362</v>
      </c>
      <c r="U262" s="12">
        <f t="shared" ca="1" si="51"/>
        <v>0</v>
      </c>
      <c r="V262" s="14">
        <f t="shared" ca="1" si="52"/>
        <v>0</v>
      </c>
      <c r="X262" s="7">
        <f ca="1">AVERAGE(E262:OFFSET(F262,-$X$5+1,0))</f>
        <v>9161.7999999999993</v>
      </c>
      <c r="Y262" s="7">
        <f ca="1">AVERAGE(E262:OFFSET(F262,-$Y$5+1,0))</f>
        <v>9163.25</v>
      </c>
      <c r="Z262" s="7">
        <f t="shared" ca="1" si="44"/>
        <v>-1</v>
      </c>
    </row>
    <row r="263" spans="1:26">
      <c r="A263" s="3" t="s">
        <v>35</v>
      </c>
      <c r="B263" s="4">
        <v>42025</v>
      </c>
      <c r="C263" s="3">
        <v>9282</v>
      </c>
      <c r="D263" s="3">
        <v>9316</v>
      </c>
      <c r="E263" s="3">
        <v>9274</v>
      </c>
      <c r="F263" s="3">
        <v>9308</v>
      </c>
      <c r="G263" s="3">
        <v>64253</v>
      </c>
      <c r="H263" s="3">
        <v>1.355</v>
      </c>
      <c r="I263" s="2">
        <f t="shared" si="53"/>
        <v>1</v>
      </c>
      <c r="J263" s="10">
        <f t="shared" si="55"/>
        <v>14</v>
      </c>
      <c r="K263" s="10">
        <f t="shared" si="54"/>
        <v>26</v>
      </c>
      <c r="L263" s="10">
        <f t="shared" ca="1" si="43"/>
        <v>0</v>
      </c>
      <c r="M263" s="10">
        <f t="shared" si="45"/>
        <v>0</v>
      </c>
      <c r="N263" s="30">
        <f t="shared" si="46"/>
        <v>0</v>
      </c>
      <c r="O263" s="10">
        <f t="shared" si="47"/>
        <v>0</v>
      </c>
      <c r="P263" s="29">
        <f t="shared" ca="1" si="48"/>
        <v>2300</v>
      </c>
      <c r="Q263" s="12">
        <f t="shared" ca="1" si="49"/>
        <v>-42400</v>
      </c>
      <c r="R263" s="10">
        <f t="shared" ca="1" si="50"/>
        <v>0.12517688037444213</v>
      </c>
      <c r="U263" s="12">
        <f t="shared" ca="1" si="51"/>
        <v>0</v>
      </c>
      <c r="V263" s="14">
        <f t="shared" ca="1" si="52"/>
        <v>0</v>
      </c>
      <c r="X263" s="7">
        <f ca="1">AVERAGE(E263:OFFSET(F263,-$X$5+1,0))</f>
        <v>9187.7999999999993</v>
      </c>
      <c r="Y263" s="7">
        <f ca="1">AVERAGE(E263:OFFSET(F263,-$Y$5+1,0))</f>
        <v>9188.4500000000007</v>
      </c>
      <c r="Z263" s="7">
        <f t="shared" ca="1" si="44"/>
        <v>0</v>
      </c>
    </row>
    <row r="264" spans="1:26">
      <c r="A264" s="3" t="s">
        <v>36</v>
      </c>
      <c r="B264" s="4">
        <v>42026</v>
      </c>
      <c r="C264" s="3">
        <v>9360</v>
      </c>
      <c r="D264" s="3">
        <v>9404</v>
      </c>
      <c r="E264" s="3">
        <v>9342</v>
      </c>
      <c r="F264" s="3">
        <v>9388</v>
      </c>
      <c r="G264" s="3">
        <v>108180</v>
      </c>
      <c r="H264" s="3">
        <v>1.355</v>
      </c>
      <c r="I264" s="2">
        <f t="shared" si="53"/>
        <v>0</v>
      </c>
      <c r="J264" s="10">
        <f t="shared" si="55"/>
        <v>52</v>
      </c>
      <c r="K264" s="10">
        <f t="shared" si="54"/>
        <v>28</v>
      </c>
      <c r="L264" s="10">
        <f t="shared" ca="1" si="43"/>
        <v>1</v>
      </c>
      <c r="M264" s="10">
        <f t="shared" ca="1" si="45"/>
        <v>0</v>
      </c>
      <c r="N264" s="30">
        <f t="shared" ca="1" si="46"/>
        <v>0</v>
      </c>
      <c r="O264" s="10">
        <f t="shared" ca="1" si="47"/>
        <v>0</v>
      </c>
      <c r="P264" s="29">
        <f t="shared" ca="1" si="48"/>
        <v>0</v>
      </c>
      <c r="Q264" s="12">
        <f t="shared" ca="1" si="49"/>
        <v>-42400</v>
      </c>
      <c r="R264" s="10">
        <f t="shared" ca="1" si="50"/>
        <v>0</v>
      </c>
      <c r="U264" s="12">
        <f t="shared" ca="1" si="51"/>
        <v>0</v>
      </c>
      <c r="V264" s="14">
        <f t="shared" ca="1" si="52"/>
        <v>0</v>
      </c>
      <c r="X264" s="7">
        <f ca="1">AVERAGE(E264:OFFSET(F264,-$X$5+1,0))</f>
        <v>9228.2999999999993</v>
      </c>
      <c r="Y264" s="7">
        <f ca="1">AVERAGE(E264:OFFSET(F264,-$Y$5+1,0))</f>
        <v>9206.35</v>
      </c>
      <c r="Z264" s="7">
        <f t="shared" ca="1" si="44"/>
        <v>1</v>
      </c>
    </row>
    <row r="265" spans="1:26">
      <c r="A265" s="3" t="s">
        <v>36</v>
      </c>
      <c r="B265" s="4">
        <v>42027</v>
      </c>
      <c r="C265" s="3">
        <v>9455</v>
      </c>
      <c r="D265" s="3">
        <v>9488</v>
      </c>
      <c r="E265" s="3">
        <v>9443</v>
      </c>
      <c r="F265" s="3">
        <v>9461</v>
      </c>
      <c r="G265" s="3">
        <v>92808</v>
      </c>
      <c r="H265" s="3">
        <v>1.355</v>
      </c>
      <c r="I265" s="2">
        <f t="shared" si="53"/>
        <v>0</v>
      </c>
      <c r="J265" s="10">
        <f t="shared" si="55"/>
        <v>67</v>
      </c>
      <c r="K265" s="10">
        <f t="shared" si="54"/>
        <v>6</v>
      </c>
      <c r="L265" s="10">
        <f t="shared" ca="1" si="43"/>
        <v>0</v>
      </c>
      <c r="M265" s="10">
        <f t="shared" ca="1" si="45"/>
        <v>1</v>
      </c>
      <c r="N265" s="30">
        <f t="shared" ca="1" si="46"/>
        <v>1891000</v>
      </c>
      <c r="O265" s="10">
        <f t="shared" ca="1" si="47"/>
        <v>1891000</v>
      </c>
      <c r="P265" s="29">
        <f t="shared" ca="1" si="48"/>
        <v>700</v>
      </c>
      <c r="Q265" s="12">
        <f t="shared" ca="1" si="49"/>
        <v>-41700</v>
      </c>
      <c r="R265" s="10">
        <f t="shared" ca="1" si="50"/>
        <v>3.7017451084082498E-2</v>
      </c>
      <c r="U265" s="12">
        <f t="shared" ca="1" si="51"/>
        <v>0</v>
      </c>
      <c r="V265" s="14">
        <f t="shared" ca="1" si="52"/>
        <v>0</v>
      </c>
      <c r="X265" s="7">
        <f ca="1">AVERAGE(E265:OFFSET(F265,-$X$5+1,0))</f>
        <v>9299</v>
      </c>
      <c r="Y265" s="7">
        <f ca="1">AVERAGE(E265:OFFSET(F265,-$Y$5+1,0))</f>
        <v>9229.2000000000007</v>
      </c>
      <c r="Z265" s="7">
        <f t="shared" ca="1" si="44"/>
        <v>0</v>
      </c>
    </row>
    <row r="266" spans="1:26">
      <c r="A266" s="3" t="s">
        <v>36</v>
      </c>
      <c r="B266" s="4">
        <v>42030</v>
      </c>
      <c r="C266" s="3">
        <v>9448</v>
      </c>
      <c r="D266" s="3">
        <v>9478</v>
      </c>
      <c r="E266" s="3">
        <v>9433</v>
      </c>
      <c r="F266" s="3">
        <v>9466</v>
      </c>
      <c r="G266" s="3">
        <v>68310</v>
      </c>
      <c r="H266" s="3">
        <v>1.355</v>
      </c>
      <c r="I266" s="2">
        <f t="shared" si="53"/>
        <v>0</v>
      </c>
      <c r="J266" s="10">
        <f t="shared" si="55"/>
        <v>-13</v>
      </c>
      <c r="K266" s="10">
        <f t="shared" si="54"/>
        <v>18</v>
      </c>
      <c r="L266" s="10">
        <f t="shared" ca="1" si="43"/>
        <v>0</v>
      </c>
      <c r="M266" s="10">
        <f t="shared" ca="1" si="45"/>
        <v>1</v>
      </c>
      <c r="N266" s="30">
        <f t="shared" ca="1" si="46"/>
        <v>0</v>
      </c>
      <c r="O266" s="10">
        <f t="shared" ca="1" si="47"/>
        <v>1891000</v>
      </c>
      <c r="P266" s="29">
        <f t="shared" ca="1" si="48"/>
        <v>1000</v>
      </c>
      <c r="Q266" s="12">
        <f t="shared" ca="1" si="49"/>
        <v>-40700</v>
      </c>
      <c r="R266" s="10">
        <f t="shared" ca="1" si="50"/>
        <v>5.2882072977260712E-2</v>
      </c>
      <c r="U266" s="12">
        <f t="shared" ca="1" si="51"/>
        <v>0</v>
      </c>
      <c r="V266" s="14">
        <f t="shared" ca="1" si="52"/>
        <v>0</v>
      </c>
      <c r="X266" s="7">
        <f ca="1">AVERAGE(E266:OFFSET(F266,-$X$5+1,0))</f>
        <v>9356.6</v>
      </c>
      <c r="Y266" s="7">
        <f ca="1">AVERAGE(E266:OFFSET(F266,-$Y$5+1,0))</f>
        <v>9257.0499999999993</v>
      </c>
      <c r="Z266" s="7">
        <f t="shared" ca="1" si="44"/>
        <v>0</v>
      </c>
    </row>
    <row r="267" spans="1:26">
      <c r="A267" s="3" t="s">
        <v>36</v>
      </c>
      <c r="B267" s="4">
        <v>42031</v>
      </c>
      <c r="C267" s="3">
        <v>9522</v>
      </c>
      <c r="D267" s="3">
        <v>9539</v>
      </c>
      <c r="E267" s="3">
        <v>9480</v>
      </c>
      <c r="F267" s="3">
        <v>9523</v>
      </c>
      <c r="G267" s="3">
        <v>90397</v>
      </c>
      <c r="H267" s="3">
        <v>1.355</v>
      </c>
      <c r="I267" s="2">
        <f t="shared" si="53"/>
        <v>0</v>
      </c>
      <c r="J267" s="10">
        <f t="shared" si="55"/>
        <v>56</v>
      </c>
      <c r="K267" s="10">
        <f t="shared" si="54"/>
        <v>1</v>
      </c>
      <c r="L267" s="10">
        <f t="shared" ca="1" si="43"/>
        <v>0</v>
      </c>
      <c r="M267" s="10">
        <f t="shared" ca="1" si="45"/>
        <v>1</v>
      </c>
      <c r="N267" s="30">
        <f t="shared" ca="1" si="46"/>
        <v>0</v>
      </c>
      <c r="O267" s="10">
        <f t="shared" ca="1" si="47"/>
        <v>1891000</v>
      </c>
      <c r="P267" s="29">
        <f t="shared" ca="1" si="48"/>
        <v>11400</v>
      </c>
      <c r="Q267" s="12">
        <f t="shared" ca="1" si="49"/>
        <v>-29300</v>
      </c>
      <c r="R267" s="10">
        <f t="shared" ca="1" si="50"/>
        <v>0.60285563194077207</v>
      </c>
      <c r="U267" s="12">
        <f t="shared" ca="1" si="51"/>
        <v>0</v>
      </c>
      <c r="V267" s="14">
        <f t="shared" ca="1" si="52"/>
        <v>0</v>
      </c>
      <c r="X267" s="7">
        <f ca="1">AVERAGE(E267:OFFSET(F267,-$X$5+1,0))</f>
        <v>9411.7999999999993</v>
      </c>
      <c r="Y267" s="7">
        <f ca="1">AVERAGE(E267:OFFSET(F267,-$Y$5+1,0))</f>
        <v>9286.7999999999993</v>
      </c>
      <c r="Z267" s="7">
        <f t="shared" ca="1" si="44"/>
        <v>0</v>
      </c>
    </row>
    <row r="268" spans="1:26">
      <c r="A268" s="3" t="s">
        <v>36</v>
      </c>
      <c r="B268" s="4">
        <v>42032</v>
      </c>
      <c r="C268" s="3">
        <v>9478</v>
      </c>
      <c r="D268" s="3">
        <v>9534</v>
      </c>
      <c r="E268" s="3">
        <v>9474</v>
      </c>
      <c r="F268" s="3">
        <v>9526</v>
      </c>
      <c r="G268" s="3">
        <v>75013</v>
      </c>
      <c r="H268" s="3">
        <v>1.355</v>
      </c>
      <c r="I268" s="2">
        <f t="shared" si="53"/>
        <v>0</v>
      </c>
      <c r="J268" s="10">
        <f t="shared" si="55"/>
        <v>-45</v>
      </c>
      <c r="K268" s="10">
        <f t="shared" si="54"/>
        <v>48</v>
      </c>
      <c r="L268" s="10">
        <f t="shared" ca="1" si="43"/>
        <v>0</v>
      </c>
      <c r="M268" s="10">
        <f t="shared" ca="1" si="45"/>
        <v>1</v>
      </c>
      <c r="N268" s="30">
        <f t="shared" ca="1" si="46"/>
        <v>0</v>
      </c>
      <c r="O268" s="10">
        <f t="shared" ca="1" si="47"/>
        <v>1891000</v>
      </c>
      <c r="P268" s="29">
        <f t="shared" ca="1" si="48"/>
        <v>600</v>
      </c>
      <c r="Q268" s="12">
        <f t="shared" ca="1" si="49"/>
        <v>-28700</v>
      </c>
      <c r="R268" s="10">
        <f t="shared" ca="1" si="50"/>
        <v>3.1729243786356429E-2</v>
      </c>
      <c r="U268" s="12">
        <f t="shared" ca="1" si="51"/>
        <v>0</v>
      </c>
      <c r="V268" s="14">
        <f t="shared" ca="1" si="52"/>
        <v>0</v>
      </c>
      <c r="X268" s="7">
        <f ca="1">AVERAGE(E268:OFFSET(F268,-$X$5+1,0))</f>
        <v>9453.6</v>
      </c>
      <c r="Y268" s="7">
        <f ca="1">AVERAGE(E268:OFFSET(F268,-$Y$5+1,0))</f>
        <v>9320.7000000000007</v>
      </c>
      <c r="Z268" s="7">
        <f t="shared" ca="1" si="44"/>
        <v>0</v>
      </c>
    </row>
    <row r="269" spans="1:26">
      <c r="A269" s="3" t="s">
        <v>36</v>
      </c>
      <c r="B269" s="4">
        <v>42033</v>
      </c>
      <c r="C269" s="3">
        <v>9497</v>
      </c>
      <c r="D269" s="3">
        <v>9502</v>
      </c>
      <c r="E269" s="3">
        <v>9426</v>
      </c>
      <c r="F269" s="3">
        <v>9428</v>
      </c>
      <c r="G269" s="3">
        <v>116368</v>
      </c>
      <c r="H269" s="3">
        <v>1.355</v>
      </c>
      <c r="I269" s="2">
        <f t="shared" si="53"/>
        <v>0</v>
      </c>
      <c r="J269" s="10">
        <f t="shared" si="55"/>
        <v>-29</v>
      </c>
      <c r="K269" s="10">
        <f t="shared" si="54"/>
        <v>-69</v>
      </c>
      <c r="L269" s="10">
        <f t="shared" ca="1" si="43"/>
        <v>0</v>
      </c>
      <c r="M269" s="10">
        <f t="shared" ca="1" si="45"/>
        <v>1</v>
      </c>
      <c r="N269" s="30">
        <f t="shared" ca="1" si="46"/>
        <v>0</v>
      </c>
      <c r="O269" s="10">
        <f t="shared" ca="1" si="47"/>
        <v>1891000</v>
      </c>
      <c r="P269" s="29">
        <f t="shared" ca="1" si="48"/>
        <v>-19600</v>
      </c>
      <c r="Q269" s="12">
        <f t="shared" ca="1" si="49"/>
        <v>-48300</v>
      </c>
      <c r="R269" s="10">
        <f t="shared" ca="1" si="50"/>
        <v>-1.0364886303543099</v>
      </c>
      <c r="U269" s="12">
        <f t="shared" ca="1" si="51"/>
        <v>0</v>
      </c>
      <c r="V269" s="14">
        <f t="shared" ca="1" si="52"/>
        <v>0</v>
      </c>
      <c r="X269" s="7">
        <f ca="1">AVERAGE(E269:OFFSET(F269,-$X$5+1,0))</f>
        <v>9466</v>
      </c>
      <c r="Y269" s="7">
        <f ca="1">AVERAGE(E269:OFFSET(F269,-$Y$5+1,0))</f>
        <v>9347.15</v>
      </c>
      <c r="Z269" s="7">
        <f t="shared" ca="1" si="44"/>
        <v>0</v>
      </c>
    </row>
    <row r="270" spans="1:26">
      <c r="A270" s="3" t="s">
        <v>36</v>
      </c>
      <c r="B270" s="4">
        <v>42034</v>
      </c>
      <c r="C270" s="3">
        <v>9460</v>
      </c>
      <c r="D270" s="3">
        <v>9472</v>
      </c>
      <c r="E270" s="3">
        <v>9385</v>
      </c>
      <c r="F270" s="3">
        <v>9400</v>
      </c>
      <c r="G270" s="3">
        <v>97244</v>
      </c>
      <c r="H270" s="3">
        <v>1.355</v>
      </c>
      <c r="I270" s="2">
        <f t="shared" si="53"/>
        <v>0</v>
      </c>
      <c r="J270" s="10">
        <f t="shared" si="55"/>
        <v>32</v>
      </c>
      <c r="K270" s="10">
        <f t="shared" si="54"/>
        <v>-60</v>
      </c>
      <c r="L270" s="10">
        <f t="shared" ca="1" si="43"/>
        <v>0</v>
      </c>
      <c r="M270" s="10">
        <f t="shared" ca="1" si="45"/>
        <v>1</v>
      </c>
      <c r="N270" s="30">
        <f t="shared" ca="1" si="46"/>
        <v>0</v>
      </c>
      <c r="O270" s="10">
        <f t="shared" ca="1" si="47"/>
        <v>1891000</v>
      </c>
      <c r="P270" s="29">
        <f t="shared" ca="1" si="48"/>
        <v>-5600</v>
      </c>
      <c r="Q270" s="12">
        <f t="shared" ca="1" si="49"/>
        <v>-53900</v>
      </c>
      <c r="R270" s="10">
        <f t="shared" ca="1" si="50"/>
        <v>-0.29613960867265998</v>
      </c>
      <c r="U270" s="12">
        <f t="shared" ca="1" si="51"/>
        <v>0</v>
      </c>
      <c r="V270" s="14">
        <f t="shared" ca="1" si="52"/>
        <v>0</v>
      </c>
      <c r="X270" s="7">
        <f ca="1">AVERAGE(E270:OFFSET(F270,-$X$5+1,0))</f>
        <v>9454.1</v>
      </c>
      <c r="Y270" s="7">
        <f ca="1">AVERAGE(E270:OFFSET(F270,-$Y$5+1,0))</f>
        <v>9376.5499999999993</v>
      </c>
      <c r="Z270" s="7">
        <f t="shared" ca="1" si="44"/>
        <v>0</v>
      </c>
    </row>
    <row r="271" spans="1:26">
      <c r="A271" s="3" t="s">
        <v>36</v>
      </c>
      <c r="B271" s="4">
        <v>42037</v>
      </c>
      <c r="C271" s="3">
        <v>9389</v>
      </c>
      <c r="D271" s="3">
        <v>9433</v>
      </c>
      <c r="E271" s="3">
        <v>9370</v>
      </c>
      <c r="F271" s="3">
        <v>9419</v>
      </c>
      <c r="G271" s="3">
        <v>85483</v>
      </c>
      <c r="H271" s="3">
        <v>1.355</v>
      </c>
      <c r="I271" s="2">
        <f t="shared" si="53"/>
        <v>0</v>
      </c>
      <c r="J271" s="10">
        <f t="shared" si="55"/>
        <v>-11</v>
      </c>
      <c r="K271" s="10">
        <f t="shared" si="54"/>
        <v>30</v>
      </c>
      <c r="L271" s="10">
        <f t="shared" ca="1" si="43"/>
        <v>0</v>
      </c>
      <c r="M271" s="10">
        <f t="shared" ca="1" si="45"/>
        <v>1</v>
      </c>
      <c r="N271" s="30">
        <f t="shared" ca="1" si="46"/>
        <v>0</v>
      </c>
      <c r="O271" s="10">
        <f t="shared" ca="1" si="47"/>
        <v>1891000</v>
      </c>
      <c r="P271" s="29">
        <f t="shared" ca="1" si="48"/>
        <v>3800</v>
      </c>
      <c r="Q271" s="12">
        <f t="shared" ca="1" si="49"/>
        <v>-50100</v>
      </c>
      <c r="R271" s="10">
        <f t="shared" ca="1" si="50"/>
        <v>0.20095187731359068</v>
      </c>
      <c r="U271" s="12">
        <f t="shared" ca="1" si="51"/>
        <v>0</v>
      </c>
      <c r="V271" s="14">
        <f t="shared" ca="1" si="52"/>
        <v>0</v>
      </c>
      <c r="X271" s="7">
        <f ca="1">AVERAGE(E271:OFFSET(F271,-$X$5+1,0))</f>
        <v>9443.1</v>
      </c>
      <c r="Y271" s="7">
        <f ca="1">AVERAGE(E271:OFFSET(F271,-$Y$5+1,0))</f>
        <v>9399.85</v>
      </c>
      <c r="Z271" s="7">
        <f t="shared" ca="1" si="44"/>
        <v>0</v>
      </c>
    </row>
    <row r="272" spans="1:26">
      <c r="A272" s="3" t="s">
        <v>36</v>
      </c>
      <c r="B272" s="4">
        <v>42038</v>
      </c>
      <c r="C272" s="3">
        <v>9434</v>
      </c>
      <c r="D272" s="3">
        <v>9485</v>
      </c>
      <c r="E272" s="3">
        <v>9407</v>
      </c>
      <c r="F272" s="3">
        <v>9464</v>
      </c>
      <c r="G272" s="3">
        <v>95115</v>
      </c>
      <c r="H272" s="3">
        <v>1.355</v>
      </c>
      <c r="I272" s="2">
        <f t="shared" si="53"/>
        <v>0</v>
      </c>
      <c r="J272" s="10">
        <f t="shared" si="55"/>
        <v>15</v>
      </c>
      <c r="K272" s="10">
        <f t="shared" si="54"/>
        <v>30</v>
      </c>
      <c r="L272" s="10">
        <f t="shared" ca="1" si="43"/>
        <v>0</v>
      </c>
      <c r="M272" s="10">
        <f t="shared" ca="1" si="45"/>
        <v>1</v>
      </c>
      <c r="N272" s="30">
        <f t="shared" ca="1" si="46"/>
        <v>0</v>
      </c>
      <c r="O272" s="10">
        <f t="shared" ca="1" si="47"/>
        <v>1891000</v>
      </c>
      <c r="P272" s="29">
        <f t="shared" ca="1" si="48"/>
        <v>9000</v>
      </c>
      <c r="Q272" s="12">
        <f t="shared" ca="1" si="49"/>
        <v>-41100</v>
      </c>
      <c r="R272" s="10">
        <f t="shared" ca="1" si="50"/>
        <v>0.47593865679534636</v>
      </c>
      <c r="U272" s="12">
        <f t="shared" ca="1" si="51"/>
        <v>0</v>
      </c>
      <c r="V272" s="14">
        <f t="shared" ca="1" si="52"/>
        <v>0</v>
      </c>
      <c r="X272" s="7">
        <f ca="1">AVERAGE(E272:OFFSET(F272,-$X$5+1,0))</f>
        <v>9429.9</v>
      </c>
      <c r="Y272" s="7">
        <f ca="1">AVERAGE(E272:OFFSET(F272,-$Y$5+1,0))</f>
        <v>9420.85</v>
      </c>
      <c r="Z272" s="7">
        <f t="shared" ca="1" si="44"/>
        <v>0</v>
      </c>
    </row>
    <row r="273" spans="1:26">
      <c r="A273" s="3" t="s">
        <v>36</v>
      </c>
      <c r="B273" s="4">
        <v>42039</v>
      </c>
      <c r="C273" s="3">
        <v>9526</v>
      </c>
      <c r="D273" s="3">
        <v>9556</v>
      </c>
      <c r="E273" s="3">
        <v>9512</v>
      </c>
      <c r="F273" s="3">
        <v>9521</v>
      </c>
      <c r="G273" s="3">
        <v>86781</v>
      </c>
      <c r="H273" s="3">
        <v>1.355</v>
      </c>
      <c r="I273" s="2">
        <f t="shared" si="53"/>
        <v>0</v>
      </c>
      <c r="J273" s="10">
        <f t="shared" si="55"/>
        <v>62</v>
      </c>
      <c r="K273" s="10">
        <f t="shared" si="54"/>
        <v>-5</v>
      </c>
      <c r="L273" s="10">
        <f t="shared" ca="1" si="43"/>
        <v>-1</v>
      </c>
      <c r="M273" s="10">
        <f t="shared" ca="1" si="45"/>
        <v>1</v>
      </c>
      <c r="N273" s="30">
        <f t="shared" ca="1" si="46"/>
        <v>0</v>
      </c>
      <c r="O273" s="10">
        <f t="shared" ca="1" si="47"/>
        <v>1891000</v>
      </c>
      <c r="P273" s="29">
        <f t="shared" ca="1" si="48"/>
        <v>11400</v>
      </c>
      <c r="Q273" s="12">
        <f t="shared" ca="1" si="49"/>
        <v>-29700</v>
      </c>
      <c r="R273" s="10">
        <f t="shared" ca="1" si="50"/>
        <v>0.60285563194077207</v>
      </c>
      <c r="U273" s="12">
        <f t="shared" ca="1" si="51"/>
        <v>0</v>
      </c>
      <c r="V273" s="14">
        <f t="shared" ca="1" si="52"/>
        <v>0</v>
      </c>
      <c r="X273" s="7">
        <f ca="1">AVERAGE(E273:OFFSET(F273,-$X$5+1,0))</f>
        <v>9433.2000000000007</v>
      </c>
      <c r="Y273" s="7">
        <f ca="1">AVERAGE(E273:OFFSET(F273,-$Y$5+1,0))</f>
        <v>9443.4</v>
      </c>
      <c r="Z273" s="7">
        <f t="shared" ca="1" si="44"/>
        <v>-1</v>
      </c>
    </row>
    <row r="274" spans="1:26">
      <c r="A274" s="3" t="s">
        <v>36</v>
      </c>
      <c r="B274" s="4">
        <v>42040</v>
      </c>
      <c r="C274" s="3">
        <v>9521</v>
      </c>
      <c r="D274" s="3">
        <v>9521</v>
      </c>
      <c r="E274" s="3">
        <v>9470</v>
      </c>
      <c r="F274" s="3">
        <v>9514</v>
      </c>
      <c r="G274" s="3">
        <v>79030</v>
      </c>
      <c r="H274" s="3">
        <v>1.355</v>
      </c>
      <c r="I274" s="2">
        <f t="shared" si="53"/>
        <v>0</v>
      </c>
      <c r="J274" s="10">
        <f t="shared" si="55"/>
        <v>0</v>
      </c>
      <c r="K274" s="10">
        <f t="shared" si="54"/>
        <v>-7</v>
      </c>
      <c r="L274" s="10">
        <f t="shared" ca="1" si="43"/>
        <v>0</v>
      </c>
      <c r="M274" s="10">
        <f t="shared" ca="1" si="45"/>
        <v>0</v>
      </c>
      <c r="N274" s="30">
        <f t="shared" ca="1" si="46"/>
        <v>0</v>
      </c>
      <c r="O274" s="10">
        <f t="shared" ca="1" si="47"/>
        <v>0</v>
      </c>
      <c r="P274" s="29">
        <f t="shared" ca="1" si="48"/>
        <v>-500</v>
      </c>
      <c r="Q274" s="12">
        <f t="shared" ca="1" si="49"/>
        <v>-30200</v>
      </c>
      <c r="R274" s="10">
        <f t="shared" ca="1" si="50"/>
        <v>-2.6441036488630356E-2</v>
      </c>
      <c r="U274" s="12">
        <f t="shared" ca="1" si="51"/>
        <v>0</v>
      </c>
      <c r="V274" s="14">
        <f t="shared" ca="1" si="52"/>
        <v>0</v>
      </c>
      <c r="X274" s="7">
        <f ca="1">AVERAGE(E274:OFFSET(F274,-$X$5+1,0))</f>
        <v>9446.2000000000007</v>
      </c>
      <c r="Y274" s="7">
        <f ca="1">AVERAGE(E274:OFFSET(F274,-$Y$5+1,0))</f>
        <v>9456.1</v>
      </c>
      <c r="Z274" s="7">
        <f t="shared" ca="1" si="44"/>
        <v>0</v>
      </c>
    </row>
    <row r="275" spans="1:26">
      <c r="A275" s="3" t="s">
        <v>36</v>
      </c>
      <c r="B275" s="4">
        <v>42041</v>
      </c>
      <c r="C275" s="3">
        <v>9536</v>
      </c>
      <c r="D275" s="3">
        <v>9543</v>
      </c>
      <c r="E275" s="3">
        <v>9459</v>
      </c>
      <c r="F275" s="3">
        <v>9469</v>
      </c>
      <c r="G275" s="3">
        <v>96048</v>
      </c>
      <c r="H275" s="3">
        <v>1.355</v>
      </c>
      <c r="I275" s="2">
        <f t="shared" si="53"/>
        <v>0</v>
      </c>
      <c r="J275" s="10">
        <f t="shared" si="55"/>
        <v>22</v>
      </c>
      <c r="K275" s="10">
        <f t="shared" si="54"/>
        <v>-67</v>
      </c>
      <c r="L275" s="10">
        <f t="shared" ca="1" si="43"/>
        <v>1</v>
      </c>
      <c r="M275" s="10">
        <f t="shared" ca="1" si="45"/>
        <v>0</v>
      </c>
      <c r="N275" s="30">
        <f t="shared" ca="1" si="46"/>
        <v>0</v>
      </c>
      <c r="O275" s="10">
        <f t="shared" ca="1" si="47"/>
        <v>0</v>
      </c>
      <c r="P275" s="29">
        <f t="shared" ca="1" si="48"/>
        <v>0</v>
      </c>
      <c r="Q275" s="12">
        <f t="shared" ca="1" si="49"/>
        <v>-30200</v>
      </c>
      <c r="R275" s="10">
        <f t="shared" ca="1" si="50"/>
        <v>0</v>
      </c>
      <c r="U275" s="12">
        <f t="shared" ca="1" si="51"/>
        <v>0</v>
      </c>
      <c r="V275" s="14">
        <f t="shared" ca="1" si="52"/>
        <v>0</v>
      </c>
      <c r="X275" s="7">
        <f ca="1">AVERAGE(E275:OFFSET(F275,-$X$5+1,0))</f>
        <v>9460.5</v>
      </c>
      <c r="Y275" s="7">
        <f ca="1">AVERAGE(E275:OFFSET(F275,-$Y$5+1,0))</f>
        <v>9457.2999999999993</v>
      </c>
      <c r="Z275" s="7">
        <f t="shared" ca="1" si="44"/>
        <v>1</v>
      </c>
    </row>
    <row r="276" spans="1:26">
      <c r="A276" s="3" t="s">
        <v>36</v>
      </c>
      <c r="B276" s="4">
        <v>42044</v>
      </c>
      <c r="C276" s="3">
        <v>9439</v>
      </c>
      <c r="D276" s="3">
        <v>9466</v>
      </c>
      <c r="E276" s="3">
        <v>9416</v>
      </c>
      <c r="F276" s="3">
        <v>9450</v>
      </c>
      <c r="G276" s="3">
        <v>78599</v>
      </c>
      <c r="H276" s="3">
        <v>1.355</v>
      </c>
      <c r="I276" s="2">
        <f t="shared" si="53"/>
        <v>0</v>
      </c>
      <c r="J276" s="10">
        <f t="shared" si="55"/>
        <v>-30</v>
      </c>
      <c r="K276" s="10">
        <f t="shared" si="54"/>
        <v>11</v>
      </c>
      <c r="L276" s="10">
        <f t="shared" ca="1" si="43"/>
        <v>0</v>
      </c>
      <c r="M276" s="10">
        <f t="shared" ca="1" si="45"/>
        <v>1</v>
      </c>
      <c r="N276" s="30">
        <f t="shared" ca="1" si="46"/>
        <v>1887800</v>
      </c>
      <c r="O276" s="10">
        <f t="shared" ca="1" si="47"/>
        <v>1887800</v>
      </c>
      <c r="P276" s="29">
        <f t="shared" ca="1" si="48"/>
        <v>1700</v>
      </c>
      <c r="Q276" s="12">
        <f t="shared" ca="1" si="49"/>
        <v>-28500</v>
      </c>
      <c r="R276" s="10">
        <f t="shared" ca="1" si="50"/>
        <v>9.0051912278843099E-2</v>
      </c>
      <c r="U276" s="12">
        <f t="shared" ca="1" si="51"/>
        <v>0</v>
      </c>
      <c r="V276" s="14">
        <f t="shared" ca="1" si="52"/>
        <v>0</v>
      </c>
      <c r="X276" s="7">
        <f ca="1">AVERAGE(E276:OFFSET(F276,-$X$5+1,0))</f>
        <v>9468.2000000000007</v>
      </c>
      <c r="Y276" s="7">
        <f ca="1">AVERAGE(E276:OFFSET(F276,-$Y$5+1,0))</f>
        <v>9455.65</v>
      </c>
      <c r="Z276" s="7">
        <f t="shared" ca="1" si="44"/>
        <v>0</v>
      </c>
    </row>
    <row r="277" spans="1:26">
      <c r="A277" s="3" t="s">
        <v>36</v>
      </c>
      <c r="B277" s="4">
        <v>42045</v>
      </c>
      <c r="C277" s="3">
        <v>9468</v>
      </c>
      <c r="D277" s="3">
        <v>9473</v>
      </c>
      <c r="E277" s="3">
        <v>9419</v>
      </c>
      <c r="F277" s="3">
        <v>9432</v>
      </c>
      <c r="G277" s="3">
        <v>86724</v>
      </c>
      <c r="H277" s="3">
        <v>1.355</v>
      </c>
      <c r="I277" s="2">
        <f t="shared" si="53"/>
        <v>0</v>
      </c>
      <c r="J277" s="10">
        <f t="shared" si="55"/>
        <v>18</v>
      </c>
      <c r="K277" s="10">
        <f t="shared" si="54"/>
        <v>-36</v>
      </c>
      <c r="L277" s="10">
        <f t="shared" ca="1" si="43"/>
        <v>0</v>
      </c>
      <c r="M277" s="10">
        <f t="shared" ca="1" si="45"/>
        <v>1</v>
      </c>
      <c r="N277" s="30">
        <f t="shared" ca="1" si="46"/>
        <v>0</v>
      </c>
      <c r="O277" s="10">
        <f t="shared" ca="1" si="47"/>
        <v>1887800</v>
      </c>
      <c r="P277" s="29">
        <f t="shared" ca="1" si="48"/>
        <v>-3600</v>
      </c>
      <c r="Q277" s="12">
        <f t="shared" ca="1" si="49"/>
        <v>-32100</v>
      </c>
      <c r="R277" s="10">
        <f t="shared" ca="1" si="50"/>
        <v>-0.19069816717872656</v>
      </c>
      <c r="U277" s="12">
        <f t="shared" ca="1" si="51"/>
        <v>0</v>
      </c>
      <c r="V277" s="14">
        <f t="shared" ca="1" si="52"/>
        <v>0</v>
      </c>
      <c r="X277" s="7">
        <f ca="1">AVERAGE(E277:OFFSET(F277,-$X$5+1,0))</f>
        <v>9466.2000000000007</v>
      </c>
      <c r="Y277" s="7">
        <f ca="1">AVERAGE(E277:OFFSET(F277,-$Y$5+1,0))</f>
        <v>9448.0499999999993</v>
      </c>
      <c r="Z277" s="7">
        <f t="shared" ca="1" si="44"/>
        <v>0</v>
      </c>
    </row>
    <row r="278" spans="1:26">
      <c r="A278" s="3" t="s">
        <v>36</v>
      </c>
      <c r="B278" s="4">
        <v>42046</v>
      </c>
      <c r="C278" s="3">
        <v>9462</v>
      </c>
      <c r="D278" s="3">
        <v>9509</v>
      </c>
      <c r="E278" s="3">
        <v>9457</v>
      </c>
      <c r="F278" s="3">
        <v>9480</v>
      </c>
      <c r="G278" s="3">
        <v>88756</v>
      </c>
      <c r="H278" s="3">
        <v>1.355</v>
      </c>
      <c r="I278" s="2">
        <f t="shared" si="53"/>
        <v>0</v>
      </c>
      <c r="J278" s="10">
        <f t="shared" si="55"/>
        <v>30</v>
      </c>
      <c r="K278" s="10">
        <f t="shared" si="54"/>
        <v>18</v>
      </c>
      <c r="L278" s="10">
        <f t="shared" ca="1" si="43"/>
        <v>0</v>
      </c>
      <c r="M278" s="10">
        <f t="shared" ca="1" si="45"/>
        <v>1</v>
      </c>
      <c r="N278" s="30">
        <f t="shared" ca="1" si="46"/>
        <v>0</v>
      </c>
      <c r="O278" s="10">
        <f t="shared" ca="1" si="47"/>
        <v>1887800</v>
      </c>
      <c r="P278" s="29">
        <f t="shared" ca="1" si="48"/>
        <v>9600</v>
      </c>
      <c r="Q278" s="12">
        <f t="shared" ca="1" si="49"/>
        <v>-22500</v>
      </c>
      <c r="R278" s="10">
        <f t="shared" ca="1" si="50"/>
        <v>0.5085284458099375</v>
      </c>
      <c r="U278" s="12">
        <f t="shared" ca="1" si="51"/>
        <v>0</v>
      </c>
      <c r="V278" s="14">
        <f t="shared" ca="1" si="52"/>
        <v>0</v>
      </c>
      <c r="X278" s="7">
        <f ca="1">AVERAGE(E278:OFFSET(F278,-$X$5+1,0))</f>
        <v>9456.6</v>
      </c>
      <c r="Y278" s="7">
        <f ca="1">AVERAGE(E278:OFFSET(F278,-$Y$5+1,0))</f>
        <v>9444.9</v>
      </c>
      <c r="Z278" s="7">
        <f t="shared" ca="1" si="44"/>
        <v>0</v>
      </c>
    </row>
    <row r="279" spans="1:26">
      <c r="A279" s="3" t="s">
        <v>36</v>
      </c>
      <c r="B279" s="4">
        <v>42047</v>
      </c>
      <c r="C279" s="3">
        <v>9499</v>
      </c>
      <c r="D279" s="3">
        <v>9500</v>
      </c>
      <c r="E279" s="3">
        <v>9461</v>
      </c>
      <c r="F279" s="3">
        <v>9480</v>
      </c>
      <c r="G279" s="3">
        <v>80128</v>
      </c>
      <c r="H279" s="3">
        <v>1.355</v>
      </c>
      <c r="I279" s="2">
        <f t="shared" si="53"/>
        <v>0</v>
      </c>
      <c r="J279" s="10">
        <f t="shared" si="55"/>
        <v>19</v>
      </c>
      <c r="K279" s="10">
        <f t="shared" si="54"/>
        <v>-19</v>
      </c>
      <c r="L279" s="10">
        <f t="shared" ca="1" si="43"/>
        <v>0</v>
      </c>
      <c r="M279" s="10">
        <f t="shared" ca="1" si="45"/>
        <v>1</v>
      </c>
      <c r="N279" s="30">
        <f t="shared" ca="1" si="46"/>
        <v>0</v>
      </c>
      <c r="O279" s="10">
        <f t="shared" ca="1" si="47"/>
        <v>1887800</v>
      </c>
      <c r="P279" s="29">
        <f t="shared" ca="1" si="48"/>
        <v>0</v>
      </c>
      <c r="Q279" s="12">
        <f t="shared" ca="1" si="49"/>
        <v>-22500</v>
      </c>
      <c r="R279" s="10">
        <f t="shared" ca="1" si="50"/>
        <v>0</v>
      </c>
      <c r="U279" s="12">
        <f t="shared" ca="1" si="51"/>
        <v>0</v>
      </c>
      <c r="V279" s="14">
        <f t="shared" ca="1" si="52"/>
        <v>0</v>
      </c>
      <c r="X279" s="7">
        <f ca="1">AVERAGE(E279:OFFSET(F279,-$X$5+1,0))</f>
        <v>9452.2999999999993</v>
      </c>
      <c r="Y279" s="7">
        <f ca="1">AVERAGE(E279:OFFSET(F279,-$Y$5+1,0))</f>
        <v>9449.25</v>
      </c>
      <c r="Z279" s="7">
        <f t="shared" ca="1" si="44"/>
        <v>0</v>
      </c>
    </row>
    <row r="280" spans="1:26">
      <c r="A280" s="3" t="s">
        <v>36</v>
      </c>
      <c r="B280" s="4">
        <v>42048</v>
      </c>
      <c r="C280" s="3">
        <v>9510</v>
      </c>
      <c r="D280" s="3">
        <v>9548</v>
      </c>
      <c r="E280" s="3">
        <v>9505</v>
      </c>
      <c r="F280" s="3">
        <v>9514</v>
      </c>
      <c r="G280" s="3">
        <v>85659</v>
      </c>
      <c r="H280" s="3">
        <v>1.355</v>
      </c>
      <c r="I280" s="2">
        <f t="shared" si="53"/>
        <v>0</v>
      </c>
      <c r="J280" s="10">
        <f t="shared" si="55"/>
        <v>30</v>
      </c>
      <c r="K280" s="10">
        <f t="shared" si="54"/>
        <v>4</v>
      </c>
      <c r="L280" s="10">
        <f t="shared" ca="1" si="43"/>
        <v>0</v>
      </c>
      <c r="M280" s="10">
        <f t="shared" ca="1" si="45"/>
        <v>1</v>
      </c>
      <c r="N280" s="30">
        <f t="shared" ca="1" si="46"/>
        <v>0</v>
      </c>
      <c r="O280" s="10">
        <f t="shared" ca="1" si="47"/>
        <v>1887800</v>
      </c>
      <c r="P280" s="29">
        <f t="shared" ca="1" si="48"/>
        <v>6800</v>
      </c>
      <c r="Q280" s="12">
        <f t="shared" ca="1" si="49"/>
        <v>-15700</v>
      </c>
      <c r="R280" s="10">
        <f t="shared" ca="1" si="50"/>
        <v>0.3602076491153724</v>
      </c>
      <c r="U280" s="12">
        <f t="shared" ca="1" si="51"/>
        <v>0</v>
      </c>
      <c r="V280" s="14">
        <f t="shared" ca="1" si="52"/>
        <v>0</v>
      </c>
      <c r="X280" s="7">
        <f ca="1">AVERAGE(E280:OFFSET(F280,-$X$5+1,0))</f>
        <v>9461.4</v>
      </c>
      <c r="Y280" s="7">
        <f ca="1">AVERAGE(E280:OFFSET(F280,-$Y$5+1,0))</f>
        <v>9460.9500000000007</v>
      </c>
      <c r="Z280" s="7">
        <f t="shared" ca="1" si="44"/>
        <v>0</v>
      </c>
    </row>
    <row r="281" spans="1:26">
      <c r="A281" s="3" t="s">
        <v>36</v>
      </c>
      <c r="B281" s="4">
        <v>42059</v>
      </c>
      <c r="C281" s="3">
        <v>9582</v>
      </c>
      <c r="D281" s="3">
        <v>9640</v>
      </c>
      <c r="E281" s="3">
        <v>9582</v>
      </c>
      <c r="F281" s="3">
        <v>9622</v>
      </c>
      <c r="G281" s="3">
        <v>46780</v>
      </c>
      <c r="H281" s="3">
        <v>1.355</v>
      </c>
      <c r="I281" s="2">
        <f t="shared" si="53"/>
        <v>1</v>
      </c>
      <c r="J281" s="10">
        <f t="shared" si="55"/>
        <v>68</v>
      </c>
      <c r="K281" s="10">
        <f t="shared" si="54"/>
        <v>40</v>
      </c>
      <c r="L281" s="10">
        <f t="shared" ca="1" si="43"/>
        <v>0</v>
      </c>
      <c r="M281" s="10">
        <f t="shared" si="45"/>
        <v>0</v>
      </c>
      <c r="N281" s="30">
        <f t="shared" si="46"/>
        <v>0</v>
      </c>
      <c r="O281" s="10">
        <f t="shared" si="47"/>
        <v>0</v>
      </c>
      <c r="P281" s="29">
        <f t="shared" ca="1" si="48"/>
        <v>13100</v>
      </c>
      <c r="Q281" s="12">
        <f t="shared" ca="1" si="49"/>
        <v>-2600</v>
      </c>
      <c r="R281" s="10">
        <f t="shared" ca="1" si="50"/>
        <v>0.69392944167814385</v>
      </c>
      <c r="U281" s="12">
        <f t="shared" ca="1" si="51"/>
        <v>0</v>
      </c>
      <c r="V281" s="14">
        <f t="shared" ca="1" si="52"/>
        <v>0</v>
      </c>
      <c r="X281" s="7">
        <f ca="1">AVERAGE(E281:OFFSET(F281,-$X$5+1,0))</f>
        <v>9495.2000000000007</v>
      </c>
      <c r="Y281" s="7">
        <f ca="1">AVERAGE(E281:OFFSET(F281,-$Y$5+1,0))</f>
        <v>9481.7000000000007</v>
      </c>
      <c r="Z281" s="7">
        <f t="shared" ca="1" si="44"/>
        <v>0</v>
      </c>
    </row>
    <row r="282" spans="1:26">
      <c r="A282" s="3" t="s">
        <v>37</v>
      </c>
      <c r="B282" s="4">
        <v>42060</v>
      </c>
      <c r="C282" s="3">
        <v>9694</v>
      </c>
      <c r="D282" s="3">
        <v>9696</v>
      </c>
      <c r="E282" s="3">
        <v>9660</v>
      </c>
      <c r="F282" s="3">
        <v>9684</v>
      </c>
      <c r="G282" s="3">
        <v>66977</v>
      </c>
      <c r="H282" s="3">
        <v>1.355</v>
      </c>
      <c r="I282" s="2">
        <f t="shared" si="53"/>
        <v>0</v>
      </c>
      <c r="J282" s="10">
        <f t="shared" si="55"/>
        <v>72</v>
      </c>
      <c r="K282" s="10">
        <f t="shared" si="54"/>
        <v>-10</v>
      </c>
      <c r="L282" s="10">
        <f t="shared" ca="1" si="43"/>
        <v>0</v>
      </c>
      <c r="M282" s="10">
        <f t="shared" ca="1" si="45"/>
        <v>0</v>
      </c>
      <c r="N282" s="30">
        <f t="shared" ca="1" si="46"/>
        <v>0</v>
      </c>
      <c r="O282" s="10">
        <f t="shared" ca="1" si="47"/>
        <v>0</v>
      </c>
      <c r="P282" s="29">
        <f t="shared" ca="1" si="48"/>
        <v>0</v>
      </c>
      <c r="Q282" s="12">
        <f t="shared" ca="1" si="49"/>
        <v>-2600</v>
      </c>
      <c r="R282" s="10">
        <f t="shared" ca="1" si="50"/>
        <v>0</v>
      </c>
      <c r="U282" s="12">
        <f t="shared" ca="1" si="51"/>
        <v>0</v>
      </c>
      <c r="V282" s="14">
        <f t="shared" ca="1" si="52"/>
        <v>0</v>
      </c>
      <c r="X282" s="7">
        <f ca="1">AVERAGE(E282:OFFSET(F282,-$X$5+1,0))</f>
        <v>9544.5</v>
      </c>
      <c r="Y282" s="7">
        <f ca="1">AVERAGE(E282:OFFSET(F282,-$Y$5+1,0))</f>
        <v>9505.35</v>
      </c>
      <c r="Z282" s="7">
        <f t="shared" ca="1" si="44"/>
        <v>0</v>
      </c>
    </row>
    <row r="283" spans="1:26">
      <c r="A283" s="3" t="s">
        <v>37</v>
      </c>
      <c r="B283" s="4">
        <v>42061</v>
      </c>
      <c r="C283" s="3">
        <v>9691</v>
      </c>
      <c r="D283" s="3">
        <v>9692</v>
      </c>
      <c r="E283" s="3">
        <v>9633</v>
      </c>
      <c r="F283" s="3">
        <v>9649</v>
      </c>
      <c r="G283" s="3">
        <v>72451</v>
      </c>
      <c r="H283" s="3">
        <v>1.355</v>
      </c>
      <c r="I283" s="2">
        <f t="shared" si="53"/>
        <v>0</v>
      </c>
      <c r="J283" s="10">
        <f t="shared" si="55"/>
        <v>7</v>
      </c>
      <c r="K283" s="10">
        <f t="shared" si="54"/>
        <v>-42</v>
      </c>
      <c r="L283" s="10">
        <f t="shared" ca="1" si="43"/>
        <v>0</v>
      </c>
      <c r="M283" s="10">
        <f t="shared" ca="1" si="45"/>
        <v>0</v>
      </c>
      <c r="N283" s="30">
        <f t="shared" ca="1" si="46"/>
        <v>0</v>
      </c>
      <c r="O283" s="10">
        <f t="shared" ca="1" si="47"/>
        <v>0</v>
      </c>
      <c r="P283" s="29">
        <f t="shared" ca="1" si="48"/>
        <v>0</v>
      </c>
      <c r="Q283" s="12">
        <f t="shared" ca="1" si="49"/>
        <v>-2600</v>
      </c>
      <c r="R283" s="10">
        <f t="shared" ca="1" si="50"/>
        <v>0</v>
      </c>
      <c r="U283" s="12">
        <f t="shared" ca="1" si="51"/>
        <v>0</v>
      </c>
      <c r="V283" s="14">
        <f t="shared" ca="1" si="52"/>
        <v>0</v>
      </c>
      <c r="X283" s="7">
        <f ca="1">AVERAGE(E283:OFFSET(F283,-$X$5+1,0))</f>
        <v>9579</v>
      </c>
      <c r="Y283" s="7">
        <f ca="1">AVERAGE(E283:OFFSET(F283,-$Y$5+1,0))</f>
        <v>9517.7999999999993</v>
      </c>
      <c r="Z283" s="7">
        <f t="shared" ca="1" si="44"/>
        <v>0</v>
      </c>
    </row>
    <row r="284" spans="1:26">
      <c r="A284" s="3" t="s">
        <v>37</v>
      </c>
      <c r="B284" s="4">
        <v>42065</v>
      </c>
      <c r="C284" s="3">
        <v>9658</v>
      </c>
      <c r="D284" s="3">
        <v>9683</v>
      </c>
      <c r="E284" s="3">
        <v>9615</v>
      </c>
      <c r="F284" s="3">
        <v>9631</v>
      </c>
      <c r="G284" s="3">
        <v>77036</v>
      </c>
      <c r="H284" s="3">
        <v>1.355</v>
      </c>
      <c r="I284" s="2">
        <f t="shared" si="53"/>
        <v>0</v>
      </c>
      <c r="J284" s="10">
        <f t="shared" si="55"/>
        <v>9</v>
      </c>
      <c r="K284" s="10">
        <f t="shared" si="54"/>
        <v>-27</v>
      </c>
      <c r="L284" s="10">
        <f t="shared" ca="1" si="43"/>
        <v>0</v>
      </c>
      <c r="M284" s="10">
        <f t="shared" ca="1" si="45"/>
        <v>0</v>
      </c>
      <c r="N284" s="30">
        <f t="shared" ca="1" si="46"/>
        <v>0</v>
      </c>
      <c r="O284" s="10">
        <f t="shared" ca="1" si="47"/>
        <v>0</v>
      </c>
      <c r="P284" s="29">
        <f t="shared" ca="1" si="48"/>
        <v>0</v>
      </c>
      <c r="Q284" s="12">
        <f t="shared" ca="1" si="49"/>
        <v>-2600</v>
      </c>
      <c r="R284" s="10">
        <f t="shared" ca="1" si="50"/>
        <v>0</v>
      </c>
      <c r="U284" s="12">
        <f t="shared" ca="1" si="51"/>
        <v>0</v>
      </c>
      <c r="V284" s="14">
        <f t="shared" ca="1" si="52"/>
        <v>0</v>
      </c>
      <c r="X284" s="7">
        <f ca="1">AVERAGE(E284:OFFSET(F284,-$X$5+1,0))</f>
        <v>9609.5</v>
      </c>
      <c r="Y284" s="7">
        <f ca="1">AVERAGE(E284:OFFSET(F284,-$Y$5+1,0))</f>
        <v>9530.9</v>
      </c>
      <c r="Z284" s="7">
        <f t="shared" ca="1" si="44"/>
        <v>0</v>
      </c>
    </row>
    <row r="285" spans="1:26">
      <c r="A285" s="3" t="s">
        <v>37</v>
      </c>
      <c r="B285" s="4">
        <v>42066</v>
      </c>
      <c r="C285" s="3">
        <v>9645</v>
      </c>
      <c r="D285" s="3">
        <v>9658</v>
      </c>
      <c r="E285" s="3">
        <v>9580</v>
      </c>
      <c r="F285" s="3">
        <v>9614</v>
      </c>
      <c r="G285" s="3">
        <v>88385</v>
      </c>
      <c r="H285" s="3">
        <v>1.355</v>
      </c>
      <c r="I285" s="2">
        <f t="shared" si="53"/>
        <v>0</v>
      </c>
      <c r="J285" s="10">
        <f t="shared" si="55"/>
        <v>14</v>
      </c>
      <c r="K285" s="10">
        <f t="shared" si="54"/>
        <v>-31</v>
      </c>
      <c r="L285" s="10">
        <f t="shared" ca="1" si="43"/>
        <v>0</v>
      </c>
      <c r="M285" s="10">
        <f t="shared" ca="1" si="45"/>
        <v>0</v>
      </c>
      <c r="N285" s="30">
        <f t="shared" ca="1" si="46"/>
        <v>0</v>
      </c>
      <c r="O285" s="10">
        <f t="shared" ca="1" si="47"/>
        <v>0</v>
      </c>
      <c r="P285" s="29">
        <f t="shared" ca="1" si="48"/>
        <v>0</v>
      </c>
      <c r="Q285" s="12">
        <f t="shared" ca="1" si="49"/>
        <v>-2600</v>
      </c>
      <c r="R285" s="10">
        <f t="shared" ca="1" si="50"/>
        <v>0</v>
      </c>
      <c r="U285" s="12">
        <f t="shared" ca="1" si="51"/>
        <v>0</v>
      </c>
      <c r="V285" s="14">
        <f t="shared" ca="1" si="52"/>
        <v>0</v>
      </c>
      <c r="X285" s="7">
        <f ca="1">AVERAGE(E285:OFFSET(F285,-$X$5+1,0))</f>
        <v>9627</v>
      </c>
      <c r="Y285" s="7">
        <f ca="1">AVERAGE(E285:OFFSET(F285,-$Y$5+1,0))</f>
        <v>9544.2000000000007</v>
      </c>
      <c r="Z285" s="7">
        <f t="shared" ca="1" si="44"/>
        <v>0</v>
      </c>
    </row>
    <row r="286" spans="1:26">
      <c r="A286" s="3" t="s">
        <v>37</v>
      </c>
      <c r="B286" s="4">
        <v>42067</v>
      </c>
      <c r="C286" s="3">
        <v>9580</v>
      </c>
      <c r="D286" s="3">
        <v>9638</v>
      </c>
      <c r="E286" s="3">
        <v>9571</v>
      </c>
      <c r="F286" s="3">
        <v>9622</v>
      </c>
      <c r="G286" s="3">
        <v>73997</v>
      </c>
      <c r="H286" s="3">
        <v>1.355</v>
      </c>
      <c r="I286" s="2">
        <f t="shared" si="53"/>
        <v>0</v>
      </c>
      <c r="J286" s="10">
        <f t="shared" si="55"/>
        <v>-34</v>
      </c>
      <c r="K286" s="10">
        <f t="shared" si="54"/>
        <v>42</v>
      </c>
      <c r="L286" s="10">
        <f t="shared" ca="1" si="43"/>
        <v>0</v>
      </c>
      <c r="M286" s="10">
        <f t="shared" ca="1" si="45"/>
        <v>0</v>
      </c>
      <c r="N286" s="30">
        <f t="shared" ca="1" si="46"/>
        <v>0</v>
      </c>
      <c r="O286" s="10">
        <f t="shared" ca="1" si="47"/>
        <v>0</v>
      </c>
      <c r="P286" s="29">
        <f t="shared" ca="1" si="48"/>
        <v>0</v>
      </c>
      <c r="Q286" s="12">
        <f t="shared" ca="1" si="49"/>
        <v>-2600</v>
      </c>
      <c r="R286" s="10">
        <f t="shared" ca="1" si="50"/>
        <v>0</v>
      </c>
      <c r="U286" s="12">
        <f t="shared" ca="1" si="51"/>
        <v>0</v>
      </c>
      <c r="V286" s="14">
        <f t="shared" ca="1" si="52"/>
        <v>0</v>
      </c>
      <c r="X286" s="7">
        <f ca="1">AVERAGE(E286:OFFSET(F286,-$X$5+1,0))</f>
        <v>9625.9</v>
      </c>
      <c r="Y286" s="7">
        <f ca="1">AVERAGE(E286:OFFSET(F286,-$Y$5+1,0))</f>
        <v>9560.5499999999993</v>
      </c>
      <c r="Z286" s="7">
        <f t="shared" ca="1" si="44"/>
        <v>0</v>
      </c>
    </row>
    <row r="287" spans="1:26">
      <c r="A287" s="3" t="s">
        <v>37</v>
      </c>
      <c r="B287" s="4">
        <v>42068</v>
      </c>
      <c r="C287" s="3">
        <v>9622</v>
      </c>
      <c r="D287" s="3">
        <v>9632</v>
      </c>
      <c r="E287" s="3">
        <v>9551</v>
      </c>
      <c r="F287" s="3">
        <v>9589</v>
      </c>
      <c r="G287" s="3">
        <v>94585</v>
      </c>
      <c r="H287" s="3">
        <v>1.355</v>
      </c>
      <c r="I287" s="2">
        <f t="shared" si="53"/>
        <v>0</v>
      </c>
      <c r="J287" s="10">
        <f t="shared" si="55"/>
        <v>0</v>
      </c>
      <c r="K287" s="10">
        <f t="shared" si="54"/>
        <v>-33</v>
      </c>
      <c r="L287" s="10">
        <f t="shared" ca="1" si="43"/>
        <v>0</v>
      </c>
      <c r="M287" s="10">
        <f t="shared" ca="1" si="45"/>
        <v>0</v>
      </c>
      <c r="N287" s="30">
        <f t="shared" ca="1" si="46"/>
        <v>0</v>
      </c>
      <c r="O287" s="10">
        <f t="shared" ca="1" si="47"/>
        <v>0</v>
      </c>
      <c r="P287" s="29">
        <f t="shared" ca="1" si="48"/>
        <v>0</v>
      </c>
      <c r="Q287" s="12">
        <f t="shared" ca="1" si="49"/>
        <v>-2600</v>
      </c>
      <c r="R287" s="10">
        <f t="shared" ca="1" si="50"/>
        <v>0</v>
      </c>
      <c r="U287" s="12">
        <f t="shared" ca="1" si="51"/>
        <v>0</v>
      </c>
      <c r="V287" s="14">
        <f t="shared" ca="1" si="52"/>
        <v>0</v>
      </c>
      <c r="X287" s="7">
        <f ca="1">AVERAGE(E287:OFFSET(F287,-$X$5+1,0))</f>
        <v>9605.5</v>
      </c>
      <c r="Y287" s="7">
        <f ca="1">AVERAGE(E287:OFFSET(F287,-$Y$5+1,0))</f>
        <v>9575</v>
      </c>
      <c r="Z287" s="7">
        <f t="shared" ca="1" si="44"/>
        <v>0</v>
      </c>
    </row>
    <row r="288" spans="1:26">
      <c r="A288" s="3" t="s">
        <v>37</v>
      </c>
      <c r="B288" s="4">
        <v>42069</v>
      </c>
      <c r="C288" s="3">
        <v>9591</v>
      </c>
      <c r="D288" s="3">
        <v>9644</v>
      </c>
      <c r="E288" s="3">
        <v>9566</v>
      </c>
      <c r="F288" s="3">
        <v>9638</v>
      </c>
      <c r="G288" s="3">
        <v>87662</v>
      </c>
      <c r="H288" s="3">
        <v>1.355</v>
      </c>
      <c r="I288" s="2">
        <f t="shared" si="53"/>
        <v>0</v>
      </c>
      <c r="J288" s="10">
        <f t="shared" si="55"/>
        <v>2</v>
      </c>
      <c r="K288" s="10">
        <f t="shared" si="54"/>
        <v>47</v>
      </c>
      <c r="L288" s="10">
        <f t="shared" ca="1" si="43"/>
        <v>0</v>
      </c>
      <c r="M288" s="10">
        <f t="shared" ca="1" si="45"/>
        <v>0</v>
      </c>
      <c r="N288" s="30">
        <f t="shared" ca="1" si="46"/>
        <v>0</v>
      </c>
      <c r="O288" s="10">
        <f t="shared" ca="1" si="47"/>
        <v>0</v>
      </c>
      <c r="P288" s="29">
        <f t="shared" ca="1" si="48"/>
        <v>0</v>
      </c>
      <c r="Q288" s="12">
        <f t="shared" ca="1" si="49"/>
        <v>-2600</v>
      </c>
      <c r="R288" s="10">
        <f t="shared" ca="1" si="50"/>
        <v>0</v>
      </c>
      <c r="U288" s="12">
        <f t="shared" ca="1" si="51"/>
        <v>0</v>
      </c>
      <c r="V288" s="14">
        <f t="shared" ca="1" si="52"/>
        <v>0</v>
      </c>
      <c r="X288" s="7">
        <f ca="1">AVERAGE(E288:OFFSET(F288,-$X$5+1,0))</f>
        <v>9597.7000000000007</v>
      </c>
      <c r="Y288" s="7">
        <f ca="1">AVERAGE(E288:OFFSET(F288,-$Y$5+1,0))</f>
        <v>9588.35</v>
      </c>
      <c r="Z288" s="7">
        <f t="shared" ca="1" si="44"/>
        <v>0</v>
      </c>
    </row>
    <row r="289" spans="1:26">
      <c r="A289" s="3" t="s">
        <v>37</v>
      </c>
      <c r="B289" s="4">
        <v>42072</v>
      </c>
      <c r="C289" s="3">
        <v>9580</v>
      </c>
      <c r="D289" s="3">
        <v>9595</v>
      </c>
      <c r="E289" s="3">
        <v>9547</v>
      </c>
      <c r="F289" s="3">
        <v>9576</v>
      </c>
      <c r="G289" s="3">
        <v>89409</v>
      </c>
      <c r="H289" s="3">
        <v>1.355</v>
      </c>
      <c r="I289" s="2">
        <f t="shared" si="53"/>
        <v>0</v>
      </c>
      <c r="J289" s="10">
        <f t="shared" si="55"/>
        <v>-58</v>
      </c>
      <c r="K289" s="10">
        <f t="shared" si="54"/>
        <v>-4</v>
      </c>
      <c r="L289" s="10">
        <f t="shared" ca="1" si="43"/>
        <v>-1</v>
      </c>
      <c r="M289" s="10">
        <f t="shared" ca="1" si="45"/>
        <v>0</v>
      </c>
      <c r="N289" s="30">
        <f t="shared" ca="1" si="46"/>
        <v>0</v>
      </c>
      <c r="O289" s="10">
        <f t="shared" ca="1" si="47"/>
        <v>0</v>
      </c>
      <c r="P289" s="29">
        <f t="shared" ca="1" si="48"/>
        <v>0</v>
      </c>
      <c r="Q289" s="12">
        <f t="shared" ca="1" si="49"/>
        <v>-2600</v>
      </c>
      <c r="R289" s="10">
        <f t="shared" ca="1" si="50"/>
        <v>0</v>
      </c>
      <c r="U289" s="12">
        <f t="shared" ca="1" si="51"/>
        <v>0</v>
      </c>
      <c r="V289" s="14">
        <f t="shared" ca="1" si="52"/>
        <v>0</v>
      </c>
      <c r="X289" s="7">
        <f ca="1">AVERAGE(E289:OFFSET(F289,-$X$5+1,0))</f>
        <v>9585.4</v>
      </c>
      <c r="Y289" s="7">
        <f ca="1">AVERAGE(E289:OFFSET(F289,-$Y$5+1,0))</f>
        <v>9597.4500000000007</v>
      </c>
      <c r="Z289" s="7">
        <f t="shared" ca="1" si="44"/>
        <v>-1</v>
      </c>
    </row>
    <row r="290" spans="1:26">
      <c r="A290" s="3" t="s">
        <v>37</v>
      </c>
      <c r="B290" s="4">
        <v>42073</v>
      </c>
      <c r="C290" s="3">
        <v>9574</v>
      </c>
      <c r="D290" s="3">
        <v>9585</v>
      </c>
      <c r="E290" s="3">
        <v>9514</v>
      </c>
      <c r="F290" s="3">
        <v>9528</v>
      </c>
      <c r="G290" s="3">
        <v>103983</v>
      </c>
      <c r="H290" s="3">
        <v>1.355</v>
      </c>
      <c r="I290" s="2">
        <f t="shared" si="53"/>
        <v>0</v>
      </c>
      <c r="J290" s="10">
        <f t="shared" si="55"/>
        <v>-2</v>
      </c>
      <c r="K290" s="10">
        <f t="shared" si="54"/>
        <v>-46</v>
      </c>
      <c r="L290" s="10">
        <f t="shared" ca="1" si="43"/>
        <v>0</v>
      </c>
      <c r="M290" s="10">
        <f t="shared" ca="1" si="45"/>
        <v>-1</v>
      </c>
      <c r="N290" s="30">
        <f t="shared" ca="1" si="46"/>
        <v>0</v>
      </c>
      <c r="O290" s="10">
        <f t="shared" ca="1" si="47"/>
        <v>1914800</v>
      </c>
      <c r="P290" s="29">
        <f t="shared" ca="1" si="48"/>
        <v>8700</v>
      </c>
      <c r="Q290" s="12">
        <f t="shared" ca="1" si="49"/>
        <v>6100</v>
      </c>
      <c r="R290" s="10">
        <f t="shared" ca="1" si="50"/>
        <v>0.45435554627115105</v>
      </c>
      <c r="U290" s="12">
        <f t="shared" ca="1" si="51"/>
        <v>6100</v>
      </c>
      <c r="V290" s="14">
        <f t="shared" ca="1" si="52"/>
        <v>0</v>
      </c>
      <c r="X290" s="7">
        <f ca="1">AVERAGE(E290:OFFSET(F290,-$X$5+1,0))</f>
        <v>9570.2000000000007</v>
      </c>
      <c r="Y290" s="7">
        <f ca="1">AVERAGE(E290:OFFSET(F290,-$Y$5+1,0))</f>
        <v>9598.6</v>
      </c>
      <c r="Z290" s="7">
        <f t="shared" ca="1" si="44"/>
        <v>0</v>
      </c>
    </row>
    <row r="291" spans="1:26">
      <c r="A291" s="3" t="s">
        <v>37</v>
      </c>
      <c r="B291" s="4">
        <v>42074</v>
      </c>
      <c r="C291" s="3">
        <v>9466</v>
      </c>
      <c r="D291" s="3">
        <v>9544</v>
      </c>
      <c r="E291" s="3">
        <v>9450</v>
      </c>
      <c r="F291" s="3">
        <v>9519</v>
      </c>
      <c r="G291" s="3">
        <v>103946</v>
      </c>
      <c r="H291" s="3">
        <v>1.355</v>
      </c>
      <c r="I291" s="2">
        <f t="shared" si="53"/>
        <v>0</v>
      </c>
      <c r="J291" s="10">
        <f t="shared" si="55"/>
        <v>-62</v>
      </c>
      <c r="K291" s="10">
        <f t="shared" si="54"/>
        <v>53</v>
      </c>
      <c r="L291" s="10">
        <f t="shared" ca="1" si="43"/>
        <v>0</v>
      </c>
      <c r="M291" s="10">
        <f t="shared" ca="1" si="45"/>
        <v>-1</v>
      </c>
      <c r="N291" s="30">
        <f t="shared" ca="1" si="46"/>
        <v>0</v>
      </c>
      <c r="O291" s="10">
        <f t="shared" ca="1" si="47"/>
        <v>1914800</v>
      </c>
      <c r="P291" s="29">
        <f t="shared" ca="1" si="48"/>
        <v>1800</v>
      </c>
      <c r="Q291" s="12">
        <f t="shared" ca="1" si="49"/>
        <v>7900</v>
      </c>
      <c r="R291" s="10">
        <f t="shared" ca="1" si="50"/>
        <v>9.4004595780238148E-2</v>
      </c>
      <c r="U291" s="12">
        <f t="shared" ca="1" si="51"/>
        <v>7900</v>
      </c>
      <c r="V291" s="14">
        <f t="shared" ca="1" si="52"/>
        <v>0</v>
      </c>
      <c r="X291" s="7">
        <f ca="1">AVERAGE(E291:OFFSET(F291,-$X$5+1,0))</f>
        <v>9547.7999999999993</v>
      </c>
      <c r="Y291" s="7">
        <f ca="1">AVERAGE(E291:OFFSET(F291,-$Y$5+1,0))</f>
        <v>9586.85</v>
      </c>
      <c r="Z291" s="7">
        <f t="shared" ca="1" si="44"/>
        <v>0</v>
      </c>
    </row>
    <row r="292" spans="1:26">
      <c r="A292" s="3" t="s">
        <v>37</v>
      </c>
      <c r="B292" s="4">
        <v>42075</v>
      </c>
      <c r="C292" s="3">
        <v>9529</v>
      </c>
      <c r="D292" s="3">
        <v>9609</v>
      </c>
      <c r="E292" s="3">
        <v>9508</v>
      </c>
      <c r="F292" s="3">
        <v>9607</v>
      </c>
      <c r="G292" s="3">
        <v>101568</v>
      </c>
      <c r="H292" s="3">
        <v>1.355</v>
      </c>
      <c r="I292" s="2">
        <f t="shared" si="53"/>
        <v>0</v>
      </c>
      <c r="J292" s="10">
        <f t="shared" si="55"/>
        <v>10</v>
      </c>
      <c r="K292" s="10">
        <f t="shared" si="54"/>
        <v>78</v>
      </c>
      <c r="L292" s="10">
        <f t="shared" ca="1" si="43"/>
        <v>0</v>
      </c>
      <c r="M292" s="10">
        <f t="shared" ca="1" si="45"/>
        <v>-1</v>
      </c>
      <c r="N292" s="30">
        <f t="shared" ca="1" si="46"/>
        <v>0</v>
      </c>
      <c r="O292" s="10">
        <f t="shared" ca="1" si="47"/>
        <v>1914800</v>
      </c>
      <c r="P292" s="29">
        <f t="shared" ca="1" si="48"/>
        <v>-17600</v>
      </c>
      <c r="Q292" s="12">
        <f t="shared" ca="1" si="49"/>
        <v>-9700</v>
      </c>
      <c r="R292" s="10">
        <f t="shared" ca="1" si="50"/>
        <v>-0.91915604762899517</v>
      </c>
      <c r="U292" s="12">
        <f t="shared" ca="1" si="51"/>
        <v>7900</v>
      </c>
      <c r="V292" s="14">
        <f t="shared" ca="1" si="52"/>
        <v>-222.78481012658227</v>
      </c>
      <c r="X292" s="7">
        <f ca="1">AVERAGE(E292:OFFSET(F292,-$X$5+1,0))</f>
        <v>9545.2999999999993</v>
      </c>
      <c r="Y292" s="7">
        <f ca="1">AVERAGE(E292:OFFSET(F292,-$Y$5+1,0))</f>
        <v>9575.4</v>
      </c>
      <c r="Z292" s="7">
        <f t="shared" ca="1" si="44"/>
        <v>0</v>
      </c>
    </row>
    <row r="293" spans="1:26">
      <c r="A293" s="3" t="s">
        <v>37</v>
      </c>
      <c r="B293" s="4">
        <v>42076</v>
      </c>
      <c r="C293" s="3">
        <v>9616</v>
      </c>
      <c r="D293" s="3">
        <v>9634</v>
      </c>
      <c r="E293" s="3">
        <v>9584</v>
      </c>
      <c r="F293" s="3">
        <v>9598</v>
      </c>
      <c r="G293" s="3">
        <v>82971</v>
      </c>
      <c r="H293" s="3">
        <v>1.355</v>
      </c>
      <c r="I293" s="2">
        <f t="shared" si="53"/>
        <v>0</v>
      </c>
      <c r="J293" s="10">
        <f t="shared" si="55"/>
        <v>9</v>
      </c>
      <c r="K293" s="10">
        <f t="shared" si="54"/>
        <v>-18</v>
      </c>
      <c r="L293" s="10">
        <f t="shared" ca="1" si="43"/>
        <v>0</v>
      </c>
      <c r="M293" s="10">
        <f t="shared" ca="1" si="45"/>
        <v>-1</v>
      </c>
      <c r="N293" s="30">
        <f t="shared" ca="1" si="46"/>
        <v>0</v>
      </c>
      <c r="O293" s="10">
        <f t="shared" ca="1" si="47"/>
        <v>1914800</v>
      </c>
      <c r="P293" s="29">
        <f t="shared" ca="1" si="48"/>
        <v>1800</v>
      </c>
      <c r="Q293" s="12">
        <f t="shared" ca="1" si="49"/>
        <v>-7900</v>
      </c>
      <c r="R293" s="10">
        <f t="shared" ca="1" si="50"/>
        <v>9.4004595780238148E-2</v>
      </c>
      <c r="U293" s="12">
        <f t="shared" ca="1" si="51"/>
        <v>7900</v>
      </c>
      <c r="V293" s="14">
        <f t="shared" ca="1" si="52"/>
        <v>-200</v>
      </c>
      <c r="X293" s="7">
        <f ca="1">AVERAGE(E293:OFFSET(F293,-$X$5+1,0))</f>
        <v>9543.1</v>
      </c>
      <c r="Y293" s="7">
        <f ca="1">AVERAGE(E293:OFFSET(F293,-$Y$5+1,0))</f>
        <v>9570.4</v>
      </c>
      <c r="Z293" s="7">
        <f t="shared" ca="1" si="44"/>
        <v>0</v>
      </c>
    </row>
    <row r="294" spans="1:26">
      <c r="A294" s="3" t="s">
        <v>37</v>
      </c>
      <c r="B294" s="4">
        <v>42079</v>
      </c>
      <c r="C294" s="3">
        <v>9585</v>
      </c>
      <c r="D294" s="3">
        <v>9594</v>
      </c>
      <c r="E294" s="3">
        <v>9535</v>
      </c>
      <c r="F294" s="3">
        <v>9546</v>
      </c>
      <c r="G294" s="3">
        <v>100282</v>
      </c>
      <c r="H294" s="3">
        <v>1.355</v>
      </c>
      <c r="I294" s="2">
        <f t="shared" si="53"/>
        <v>0</v>
      </c>
      <c r="J294" s="10">
        <f t="shared" si="55"/>
        <v>-13</v>
      </c>
      <c r="K294" s="10">
        <f t="shared" si="54"/>
        <v>-39</v>
      </c>
      <c r="L294" s="10">
        <f t="shared" ca="1" si="43"/>
        <v>0</v>
      </c>
      <c r="M294" s="10">
        <f t="shared" ca="1" si="45"/>
        <v>-1</v>
      </c>
      <c r="N294" s="30">
        <f t="shared" ca="1" si="46"/>
        <v>0</v>
      </c>
      <c r="O294" s="10">
        <f t="shared" ca="1" si="47"/>
        <v>1914800</v>
      </c>
      <c r="P294" s="29">
        <f t="shared" ca="1" si="48"/>
        <v>10400</v>
      </c>
      <c r="Q294" s="12">
        <f t="shared" ca="1" si="49"/>
        <v>2500</v>
      </c>
      <c r="R294" s="10">
        <f t="shared" ca="1" si="50"/>
        <v>0.54313766450804257</v>
      </c>
      <c r="U294" s="12">
        <f t="shared" ca="1" si="51"/>
        <v>7900</v>
      </c>
      <c r="V294" s="14">
        <f t="shared" ca="1" si="52"/>
        <v>-68.35443037974683</v>
      </c>
      <c r="X294" s="7">
        <f ca="1">AVERAGE(E294:OFFSET(F294,-$X$5+1,0))</f>
        <v>9538.9</v>
      </c>
      <c r="Y294" s="7">
        <f ca="1">AVERAGE(E294:OFFSET(F294,-$Y$5+1,0))</f>
        <v>9562.15</v>
      </c>
      <c r="Z294" s="7">
        <f t="shared" ca="1" si="44"/>
        <v>0</v>
      </c>
    </row>
    <row r="295" spans="1:26">
      <c r="A295" s="3" t="s">
        <v>37</v>
      </c>
      <c r="B295" s="4">
        <v>42080</v>
      </c>
      <c r="C295" s="3">
        <v>9580</v>
      </c>
      <c r="D295" s="3">
        <v>9644</v>
      </c>
      <c r="E295" s="3">
        <v>9547</v>
      </c>
      <c r="F295" s="3">
        <v>9554</v>
      </c>
      <c r="G295" s="3">
        <v>123433</v>
      </c>
      <c r="H295" s="3">
        <v>1.355</v>
      </c>
      <c r="I295" s="2">
        <f t="shared" si="53"/>
        <v>0</v>
      </c>
      <c r="J295" s="10">
        <f t="shared" si="55"/>
        <v>34</v>
      </c>
      <c r="K295" s="10">
        <f t="shared" si="54"/>
        <v>-26</v>
      </c>
      <c r="L295" s="10">
        <f t="shared" ca="1" si="43"/>
        <v>0</v>
      </c>
      <c r="M295" s="10">
        <f t="shared" ca="1" si="45"/>
        <v>-1</v>
      </c>
      <c r="N295" s="30">
        <f t="shared" ca="1" si="46"/>
        <v>0</v>
      </c>
      <c r="O295" s="10">
        <f t="shared" ca="1" si="47"/>
        <v>1914800</v>
      </c>
      <c r="P295" s="29">
        <f t="shared" ca="1" si="48"/>
        <v>-1600</v>
      </c>
      <c r="Q295" s="12">
        <f t="shared" ca="1" si="49"/>
        <v>900</v>
      </c>
      <c r="R295" s="10">
        <f t="shared" ca="1" si="50"/>
        <v>-8.3559640693545018E-2</v>
      </c>
      <c r="U295" s="12">
        <f t="shared" ca="1" si="51"/>
        <v>7900</v>
      </c>
      <c r="V295" s="14">
        <f t="shared" ca="1" si="52"/>
        <v>-88.607594936708864</v>
      </c>
      <c r="X295" s="7">
        <f ca="1">AVERAGE(E295:OFFSET(F295,-$X$5+1,0))</f>
        <v>9544.7999999999993</v>
      </c>
      <c r="Y295" s="7">
        <f ca="1">AVERAGE(E295:OFFSET(F295,-$Y$5+1,0))</f>
        <v>9557.5</v>
      </c>
      <c r="Z295" s="7">
        <f t="shared" ca="1" si="44"/>
        <v>0</v>
      </c>
    </row>
    <row r="296" spans="1:26">
      <c r="A296" s="3" t="s">
        <v>37</v>
      </c>
      <c r="B296" s="4">
        <v>42081</v>
      </c>
      <c r="C296" s="3">
        <v>9558</v>
      </c>
      <c r="D296" s="3">
        <v>9649</v>
      </c>
      <c r="E296" s="3">
        <v>9558</v>
      </c>
      <c r="F296" s="3">
        <v>9633</v>
      </c>
      <c r="G296" s="3">
        <v>67737</v>
      </c>
      <c r="H296" s="3">
        <v>1.355</v>
      </c>
      <c r="I296" s="2">
        <f t="shared" si="53"/>
        <v>1</v>
      </c>
      <c r="J296" s="10">
        <f t="shared" si="55"/>
        <v>4</v>
      </c>
      <c r="K296" s="10">
        <f t="shared" si="54"/>
        <v>75</v>
      </c>
      <c r="L296" s="10">
        <f t="shared" ca="1" si="43"/>
        <v>1</v>
      </c>
      <c r="M296" s="10">
        <f t="shared" si="45"/>
        <v>0</v>
      </c>
      <c r="N296" s="30">
        <f t="shared" si="46"/>
        <v>0</v>
      </c>
      <c r="O296" s="10">
        <f t="shared" si="47"/>
        <v>0</v>
      </c>
      <c r="P296" s="29">
        <f t="shared" ca="1" si="48"/>
        <v>-1300</v>
      </c>
      <c r="Q296" s="12">
        <f t="shared" ca="1" si="49"/>
        <v>-400</v>
      </c>
      <c r="R296" s="10">
        <f t="shared" ca="1" si="50"/>
        <v>-6.7892208063505322E-2</v>
      </c>
      <c r="U296" s="12">
        <f t="shared" ca="1" si="51"/>
        <v>7900</v>
      </c>
      <c r="V296" s="14">
        <f t="shared" ca="1" si="52"/>
        <v>-105.0632911392405</v>
      </c>
      <c r="X296" s="7">
        <f ca="1">AVERAGE(E296:OFFSET(F296,-$X$5+1,0))</f>
        <v>9567</v>
      </c>
      <c r="Y296" s="7">
        <f ca="1">AVERAGE(E296:OFFSET(F296,-$Y$5+1,0))</f>
        <v>9557.4</v>
      </c>
      <c r="Z296" s="7">
        <f t="shared" ca="1" si="44"/>
        <v>1</v>
      </c>
    </row>
    <row r="297" spans="1:26">
      <c r="A297" s="3" t="s">
        <v>38</v>
      </c>
      <c r="B297" s="4">
        <v>42082</v>
      </c>
      <c r="C297" s="3">
        <v>9734</v>
      </c>
      <c r="D297" s="3">
        <v>9769</v>
      </c>
      <c r="E297" s="3">
        <v>9708</v>
      </c>
      <c r="F297" s="3">
        <v>9766</v>
      </c>
      <c r="G297" s="3">
        <v>100024</v>
      </c>
      <c r="H297" s="3">
        <v>1.355</v>
      </c>
      <c r="I297" s="2">
        <f t="shared" si="53"/>
        <v>0</v>
      </c>
      <c r="J297" s="10">
        <f t="shared" si="55"/>
        <v>101</v>
      </c>
      <c r="K297" s="10">
        <f t="shared" si="54"/>
        <v>32</v>
      </c>
      <c r="L297" s="10">
        <f t="shared" ca="1" si="43"/>
        <v>0</v>
      </c>
      <c r="M297" s="10">
        <f t="shared" ca="1" si="45"/>
        <v>1</v>
      </c>
      <c r="N297" s="30">
        <f t="shared" ca="1" si="46"/>
        <v>1946800</v>
      </c>
      <c r="O297" s="10">
        <f t="shared" ca="1" si="47"/>
        <v>1946800</v>
      </c>
      <c r="P297" s="29">
        <f t="shared" ca="1" si="48"/>
        <v>5900</v>
      </c>
      <c r="Q297" s="12">
        <f t="shared" ca="1" si="49"/>
        <v>5500</v>
      </c>
      <c r="R297" s="10">
        <f t="shared" ca="1" si="50"/>
        <v>0.30306143414834602</v>
      </c>
      <c r="U297" s="12">
        <f t="shared" ca="1" si="51"/>
        <v>7900</v>
      </c>
      <c r="V297" s="14">
        <f t="shared" ca="1" si="52"/>
        <v>-30.379746835443036</v>
      </c>
      <c r="X297" s="7">
        <f ca="1">AVERAGE(E297:OFFSET(F297,-$X$5+1,0))</f>
        <v>9602.9</v>
      </c>
      <c r="Y297" s="7">
        <f ca="1">AVERAGE(E297:OFFSET(F297,-$Y$5+1,0))</f>
        <v>9574.1</v>
      </c>
      <c r="Z297" s="7">
        <f t="shared" ca="1" si="44"/>
        <v>0</v>
      </c>
    </row>
    <row r="298" spans="1:26">
      <c r="A298" s="3" t="s">
        <v>38</v>
      </c>
      <c r="B298" s="4">
        <v>42083</v>
      </c>
      <c r="C298" s="3">
        <v>9742</v>
      </c>
      <c r="D298" s="3">
        <v>9770</v>
      </c>
      <c r="E298" s="3">
        <v>9733</v>
      </c>
      <c r="F298" s="3">
        <v>9757</v>
      </c>
      <c r="G298" s="3">
        <v>66890</v>
      </c>
      <c r="H298" s="3">
        <v>1.355</v>
      </c>
      <c r="I298" s="2">
        <f t="shared" si="53"/>
        <v>0</v>
      </c>
      <c r="J298" s="10">
        <f t="shared" si="55"/>
        <v>-24</v>
      </c>
      <c r="K298" s="10">
        <f t="shared" si="54"/>
        <v>15</v>
      </c>
      <c r="L298" s="10">
        <f t="shared" ca="1" si="43"/>
        <v>0</v>
      </c>
      <c r="M298" s="10">
        <f t="shared" ca="1" si="45"/>
        <v>1</v>
      </c>
      <c r="N298" s="30">
        <f t="shared" ca="1" si="46"/>
        <v>0</v>
      </c>
      <c r="O298" s="10">
        <f t="shared" ca="1" si="47"/>
        <v>1946800</v>
      </c>
      <c r="P298" s="29">
        <f t="shared" ca="1" si="48"/>
        <v>-1800</v>
      </c>
      <c r="Q298" s="12">
        <f t="shared" ca="1" si="49"/>
        <v>3700</v>
      </c>
      <c r="R298" s="10">
        <f t="shared" ca="1" si="50"/>
        <v>-9.2459420587630986E-2</v>
      </c>
      <c r="U298" s="12">
        <f t="shared" ca="1" si="51"/>
        <v>7900</v>
      </c>
      <c r="V298" s="14">
        <f t="shared" ca="1" si="52"/>
        <v>-53.164556962025316</v>
      </c>
      <c r="X298" s="7">
        <f ca="1">AVERAGE(E298:OFFSET(F298,-$X$5+1,0))</f>
        <v>9633.7000000000007</v>
      </c>
      <c r="Y298" s="7">
        <f ca="1">AVERAGE(E298:OFFSET(F298,-$Y$5+1,0))</f>
        <v>9588.4</v>
      </c>
      <c r="Z298" s="7">
        <f t="shared" ca="1" si="44"/>
        <v>0</v>
      </c>
    </row>
    <row r="299" spans="1:26">
      <c r="A299" s="3" t="s">
        <v>38</v>
      </c>
      <c r="B299" s="4">
        <v>42086</v>
      </c>
      <c r="C299" s="3">
        <v>9761</v>
      </c>
      <c r="D299" s="3">
        <v>9769</v>
      </c>
      <c r="E299" s="3">
        <v>9726</v>
      </c>
      <c r="F299" s="3">
        <v>9749</v>
      </c>
      <c r="G299" s="3">
        <v>75804</v>
      </c>
      <c r="H299" s="3">
        <v>1.355</v>
      </c>
      <c r="I299" s="2">
        <f t="shared" si="53"/>
        <v>0</v>
      </c>
      <c r="J299" s="10">
        <f t="shared" si="55"/>
        <v>4</v>
      </c>
      <c r="K299" s="10">
        <f t="shared" si="54"/>
        <v>-12</v>
      </c>
      <c r="L299" s="10">
        <f t="shared" ca="1" si="43"/>
        <v>0</v>
      </c>
      <c r="M299" s="10">
        <f t="shared" ca="1" si="45"/>
        <v>1</v>
      </c>
      <c r="N299" s="30">
        <f t="shared" ca="1" si="46"/>
        <v>0</v>
      </c>
      <c r="O299" s="10">
        <f t="shared" ca="1" si="47"/>
        <v>1946800</v>
      </c>
      <c r="P299" s="29">
        <f t="shared" ca="1" si="48"/>
        <v>-1600</v>
      </c>
      <c r="Q299" s="12">
        <f t="shared" ca="1" si="49"/>
        <v>2100</v>
      </c>
      <c r="R299" s="10">
        <f t="shared" ca="1" si="50"/>
        <v>-8.2186151633449764E-2</v>
      </c>
      <c r="U299" s="12">
        <f t="shared" ca="1" si="51"/>
        <v>7900</v>
      </c>
      <c r="V299" s="14">
        <f t="shared" ca="1" si="52"/>
        <v>-73.417721518987335</v>
      </c>
      <c r="X299" s="7">
        <f ca="1">AVERAGE(E299:OFFSET(F299,-$X$5+1,0))</f>
        <v>9673.1</v>
      </c>
      <c r="Y299" s="7">
        <f ca="1">AVERAGE(E299:OFFSET(F299,-$Y$5+1,0))</f>
        <v>9606</v>
      </c>
      <c r="Z299" s="7">
        <f t="shared" ca="1" si="44"/>
        <v>0</v>
      </c>
    </row>
    <row r="300" spans="1:26">
      <c r="A300" s="3" t="s">
        <v>38</v>
      </c>
      <c r="B300" s="4">
        <v>42087</v>
      </c>
      <c r="C300" s="3">
        <v>9728</v>
      </c>
      <c r="D300" s="3">
        <v>9755</v>
      </c>
      <c r="E300" s="3">
        <v>9696</v>
      </c>
      <c r="F300" s="3">
        <v>9721</v>
      </c>
      <c r="G300" s="3">
        <v>89879</v>
      </c>
      <c r="H300" s="3">
        <v>1.355</v>
      </c>
      <c r="I300" s="2">
        <f t="shared" si="53"/>
        <v>0</v>
      </c>
      <c r="J300" s="10">
        <f t="shared" si="55"/>
        <v>-21</v>
      </c>
      <c r="K300" s="10">
        <f t="shared" si="54"/>
        <v>-7</v>
      </c>
      <c r="L300" s="10">
        <f t="shared" ca="1" si="43"/>
        <v>0</v>
      </c>
      <c r="M300" s="10">
        <f t="shared" ca="1" si="45"/>
        <v>1</v>
      </c>
      <c r="N300" s="30">
        <f t="shared" ca="1" si="46"/>
        <v>0</v>
      </c>
      <c r="O300" s="10">
        <f t="shared" ca="1" si="47"/>
        <v>1946800</v>
      </c>
      <c r="P300" s="29">
        <f t="shared" ca="1" si="48"/>
        <v>-5600</v>
      </c>
      <c r="Q300" s="12">
        <f t="shared" ca="1" si="49"/>
        <v>-3500</v>
      </c>
      <c r="R300" s="10">
        <f t="shared" ca="1" si="50"/>
        <v>-0.28765153071707417</v>
      </c>
      <c r="S300" s="10">
        <f t="shared" ref="S300:S363" ca="1" si="56">100*SUM(P61:P300)/SUM(N61:N300)</f>
        <v>-2.1108497678065257E-2</v>
      </c>
      <c r="T300" s="10">
        <f ca="1">(S300-AVERAGE(H31:H300))/(_xlfn.STDEV.S(R31:R300)*SQRT(240))</f>
        <v>-0.17705410659668547</v>
      </c>
      <c r="U300" s="12">
        <f t="shared" ca="1" si="51"/>
        <v>7900</v>
      </c>
      <c r="V300" s="14">
        <f t="shared" ca="1" si="52"/>
        <v>-144.30379746835442</v>
      </c>
      <c r="W300" s="12">
        <f ca="1">MAX(V61:V300)</f>
        <v>0</v>
      </c>
      <c r="X300" s="7">
        <f ca="1">AVERAGE(E300:OFFSET(F300,-$X$5+1,0))</f>
        <v>9704.7000000000007</v>
      </c>
      <c r="Y300" s="7">
        <f ca="1">AVERAGE(E300:OFFSET(F300,-$Y$5+1,0))</f>
        <v>9624.75</v>
      </c>
      <c r="Z300" s="7">
        <f t="shared" ca="1" si="44"/>
        <v>0</v>
      </c>
    </row>
    <row r="301" spans="1:26">
      <c r="A301" s="3" t="s">
        <v>38</v>
      </c>
      <c r="B301" s="4">
        <v>42088</v>
      </c>
      <c r="C301" s="3">
        <v>9721</v>
      </c>
      <c r="D301" s="3">
        <v>9731</v>
      </c>
      <c r="E301" s="3">
        <v>9673</v>
      </c>
      <c r="F301" s="3">
        <v>9689</v>
      </c>
      <c r="G301" s="3">
        <v>95109</v>
      </c>
      <c r="H301" s="3">
        <v>1.355</v>
      </c>
      <c r="I301" s="2">
        <f t="shared" si="53"/>
        <v>0</v>
      </c>
      <c r="J301" s="10">
        <f t="shared" si="55"/>
        <v>0</v>
      </c>
      <c r="K301" s="10">
        <f t="shared" si="54"/>
        <v>-32</v>
      </c>
      <c r="L301" s="10">
        <f t="shared" ca="1" si="43"/>
        <v>0</v>
      </c>
      <c r="M301" s="10">
        <f t="shared" ca="1" si="45"/>
        <v>1</v>
      </c>
      <c r="N301" s="30">
        <f t="shared" ca="1" si="46"/>
        <v>0</v>
      </c>
      <c r="O301" s="10">
        <f t="shared" ca="1" si="47"/>
        <v>1946800</v>
      </c>
      <c r="P301" s="29">
        <f t="shared" ca="1" si="48"/>
        <v>-6400</v>
      </c>
      <c r="Q301" s="12">
        <f t="shared" ca="1" si="49"/>
        <v>-9900</v>
      </c>
      <c r="R301" s="10">
        <f t="shared" ca="1" si="50"/>
        <v>-0.32874460653379906</v>
      </c>
      <c r="S301" s="10">
        <f t="shared" ca="1" si="56"/>
        <v>-5.9706893432241726E-2</v>
      </c>
      <c r="T301" s="14">
        <f t="shared" ref="T301:T364" ca="1" si="57">(S301-AVERAGE(H32:H301))/(_xlfn.STDEV.S(R32:R301)*SQRT(240))</f>
        <v>-0.18223902599962988</v>
      </c>
      <c r="U301" s="12">
        <f t="shared" ca="1" si="51"/>
        <v>7900</v>
      </c>
      <c r="V301" s="14">
        <f t="shared" ca="1" si="52"/>
        <v>-225.31645569620252</v>
      </c>
      <c r="W301" s="12">
        <f t="shared" ref="W301:W364" ca="1" si="58">MAX(V62:V301)</f>
        <v>0</v>
      </c>
      <c r="X301" s="7">
        <f ca="1">AVERAGE(E301:OFFSET(F301,-$X$5+1,0))</f>
        <v>9721.7999999999993</v>
      </c>
      <c r="Y301" s="7">
        <f ca="1">AVERAGE(E301:OFFSET(F301,-$Y$5+1,0))</f>
        <v>9644.4</v>
      </c>
      <c r="Z301" s="7">
        <f t="shared" ca="1" si="44"/>
        <v>0</v>
      </c>
    </row>
    <row r="302" spans="1:26">
      <c r="A302" s="3" t="s">
        <v>38</v>
      </c>
      <c r="B302" s="4">
        <v>42089</v>
      </c>
      <c r="C302" s="3">
        <v>9580</v>
      </c>
      <c r="D302" s="3">
        <v>9635</v>
      </c>
      <c r="E302" s="3">
        <v>9567</v>
      </c>
      <c r="F302" s="3">
        <v>9609</v>
      </c>
      <c r="G302" s="3">
        <v>110206</v>
      </c>
      <c r="H302" s="3">
        <v>1.355</v>
      </c>
      <c r="I302" s="2">
        <f t="shared" si="53"/>
        <v>0</v>
      </c>
      <c r="J302" s="10">
        <f t="shared" si="55"/>
        <v>-109</v>
      </c>
      <c r="K302" s="10">
        <f t="shared" si="54"/>
        <v>29</v>
      </c>
      <c r="L302" s="10">
        <f t="shared" ca="1" si="43"/>
        <v>0</v>
      </c>
      <c r="M302" s="10">
        <f t="shared" ca="1" si="45"/>
        <v>1</v>
      </c>
      <c r="N302" s="30">
        <f t="shared" ca="1" si="46"/>
        <v>0</v>
      </c>
      <c r="O302" s="10">
        <f t="shared" ca="1" si="47"/>
        <v>1946800</v>
      </c>
      <c r="P302" s="29">
        <f t="shared" ca="1" si="48"/>
        <v>-16000</v>
      </c>
      <c r="Q302" s="12">
        <f t="shared" ca="1" si="49"/>
        <v>-25900</v>
      </c>
      <c r="R302" s="10">
        <f t="shared" ca="1" si="50"/>
        <v>-0.82186151633449767</v>
      </c>
      <c r="S302" s="10">
        <f t="shared" ca="1" si="56"/>
        <v>-0.15620288281768288</v>
      </c>
      <c r="T302" s="14">
        <f t="shared" ca="1" si="57"/>
        <v>-0.19400176413109615</v>
      </c>
      <c r="U302" s="12">
        <f t="shared" ca="1" si="51"/>
        <v>7900</v>
      </c>
      <c r="V302" s="14">
        <f t="shared" ca="1" si="52"/>
        <v>-427.84810126582278</v>
      </c>
      <c r="W302" s="12">
        <f t="shared" ca="1" si="58"/>
        <v>0</v>
      </c>
      <c r="X302" s="7">
        <f ca="1">AVERAGE(E302:OFFSET(F302,-$X$5+1,0))</f>
        <v>9692</v>
      </c>
      <c r="Y302" s="7">
        <f ca="1">AVERAGE(E302:OFFSET(F302,-$Y$5+1,0))</f>
        <v>9647.4500000000007</v>
      </c>
      <c r="Z302" s="7">
        <f t="shared" ca="1" si="44"/>
        <v>0</v>
      </c>
    </row>
    <row r="303" spans="1:26">
      <c r="A303" s="3" t="s">
        <v>38</v>
      </c>
      <c r="B303" s="4">
        <v>42090</v>
      </c>
      <c r="C303" s="3">
        <v>9609</v>
      </c>
      <c r="D303" s="3">
        <v>9628</v>
      </c>
      <c r="E303" s="3">
        <v>9525</v>
      </c>
      <c r="F303" s="3">
        <v>9541</v>
      </c>
      <c r="G303" s="3">
        <v>126327</v>
      </c>
      <c r="H303" s="3">
        <v>1.355</v>
      </c>
      <c r="I303" s="2">
        <f t="shared" si="53"/>
        <v>0</v>
      </c>
      <c r="J303" s="10">
        <f t="shared" si="55"/>
        <v>0</v>
      </c>
      <c r="K303" s="10">
        <f t="shared" si="54"/>
        <v>-68</v>
      </c>
      <c r="L303" s="10">
        <f t="shared" ca="1" si="43"/>
        <v>0</v>
      </c>
      <c r="M303" s="10">
        <f t="shared" ca="1" si="45"/>
        <v>1</v>
      </c>
      <c r="N303" s="30">
        <f t="shared" ca="1" si="46"/>
        <v>0</v>
      </c>
      <c r="O303" s="10">
        <f t="shared" ca="1" si="47"/>
        <v>1946800</v>
      </c>
      <c r="P303" s="29">
        <f t="shared" ca="1" si="48"/>
        <v>-13600</v>
      </c>
      <c r="Q303" s="12">
        <f t="shared" ca="1" si="49"/>
        <v>-39500</v>
      </c>
      <c r="R303" s="10">
        <f t="shared" ca="1" si="50"/>
        <v>-0.69858228888432294</v>
      </c>
      <c r="S303" s="10">
        <f t="shared" ca="1" si="56"/>
        <v>-0.2382244737953079</v>
      </c>
      <c r="T303" s="14">
        <f t="shared" ca="1" si="57"/>
        <v>-0.20415662690866296</v>
      </c>
      <c r="U303" s="12">
        <f t="shared" ca="1" si="51"/>
        <v>7900</v>
      </c>
      <c r="V303" s="14">
        <f t="shared" ca="1" si="52"/>
        <v>-600</v>
      </c>
      <c r="W303" s="12">
        <f t="shared" ca="1" si="58"/>
        <v>0</v>
      </c>
      <c r="X303" s="7">
        <f ca="1">AVERAGE(E303:OFFSET(F303,-$X$5+1,0))</f>
        <v>9649.6</v>
      </c>
      <c r="Y303" s="7">
        <f ca="1">AVERAGE(E303:OFFSET(F303,-$Y$5+1,0))</f>
        <v>9641.65</v>
      </c>
      <c r="Z303" s="7">
        <f t="shared" ca="1" si="44"/>
        <v>0</v>
      </c>
    </row>
    <row r="304" spans="1:26">
      <c r="A304" s="3" t="s">
        <v>38</v>
      </c>
      <c r="B304" s="4">
        <v>42093</v>
      </c>
      <c r="C304" s="3">
        <v>9511</v>
      </c>
      <c r="D304" s="3">
        <v>9562</v>
      </c>
      <c r="E304" s="3">
        <v>9511</v>
      </c>
      <c r="F304" s="3">
        <v>9552</v>
      </c>
      <c r="G304" s="3">
        <v>83437</v>
      </c>
      <c r="H304" s="3">
        <v>1.355</v>
      </c>
      <c r="I304" s="2">
        <f t="shared" si="53"/>
        <v>0</v>
      </c>
      <c r="J304" s="10">
        <f t="shared" si="55"/>
        <v>-30</v>
      </c>
      <c r="K304" s="10">
        <f t="shared" si="54"/>
        <v>41</v>
      </c>
      <c r="L304" s="10">
        <f t="shared" ca="1" si="43"/>
        <v>-1</v>
      </c>
      <c r="M304" s="10">
        <f t="shared" ca="1" si="45"/>
        <v>1</v>
      </c>
      <c r="N304" s="30">
        <f t="shared" ca="1" si="46"/>
        <v>0</v>
      </c>
      <c r="O304" s="10">
        <f t="shared" ca="1" si="47"/>
        <v>1946800</v>
      </c>
      <c r="P304" s="29">
        <f t="shared" ca="1" si="48"/>
        <v>2200</v>
      </c>
      <c r="Q304" s="12">
        <f t="shared" ca="1" si="49"/>
        <v>-37300</v>
      </c>
      <c r="R304" s="10">
        <f t="shared" ca="1" si="50"/>
        <v>0.11300595849599343</v>
      </c>
      <c r="S304" s="10">
        <f t="shared" ca="1" si="56"/>
        <v>-0.22495627525480971</v>
      </c>
      <c r="T304" s="14">
        <f t="shared" ca="1" si="57"/>
        <v>-0.20284985878200551</v>
      </c>
      <c r="U304" s="12">
        <f t="shared" ca="1" si="51"/>
        <v>7900</v>
      </c>
      <c r="V304" s="14">
        <f t="shared" ca="1" si="52"/>
        <v>-572.15189873417717</v>
      </c>
      <c r="W304" s="12">
        <f t="shared" ca="1" si="58"/>
        <v>0</v>
      </c>
      <c r="X304" s="7">
        <f ca="1">AVERAGE(E304:OFFSET(F304,-$X$5+1,0))</f>
        <v>9608.4</v>
      </c>
      <c r="Y304" s="7">
        <f ca="1">AVERAGE(E304:OFFSET(F304,-$Y$5+1,0))</f>
        <v>9640.75</v>
      </c>
      <c r="Z304" s="7">
        <f t="shared" ca="1" si="44"/>
        <v>-1</v>
      </c>
    </row>
    <row r="305" spans="1:26">
      <c r="A305" s="3" t="s">
        <v>38</v>
      </c>
      <c r="B305" s="4">
        <v>42094</v>
      </c>
      <c r="C305" s="3">
        <v>9600</v>
      </c>
      <c r="D305" s="3">
        <v>9610</v>
      </c>
      <c r="E305" s="3">
        <v>9545</v>
      </c>
      <c r="F305" s="3">
        <v>9582</v>
      </c>
      <c r="G305" s="3">
        <v>98624</v>
      </c>
      <c r="H305" s="3">
        <v>1.355</v>
      </c>
      <c r="I305" s="2">
        <f t="shared" si="53"/>
        <v>0</v>
      </c>
      <c r="J305" s="10">
        <f t="shared" si="55"/>
        <v>48</v>
      </c>
      <c r="K305" s="10">
        <f t="shared" si="54"/>
        <v>-18</v>
      </c>
      <c r="L305" s="10">
        <f t="shared" ca="1" si="43"/>
        <v>0</v>
      </c>
      <c r="M305" s="10">
        <f t="shared" ca="1" si="45"/>
        <v>0</v>
      </c>
      <c r="N305" s="30">
        <f t="shared" ca="1" si="46"/>
        <v>0</v>
      </c>
      <c r="O305" s="10">
        <f t="shared" ca="1" si="47"/>
        <v>0</v>
      </c>
      <c r="P305" s="29">
        <f t="shared" ca="1" si="48"/>
        <v>9100</v>
      </c>
      <c r="Q305" s="12">
        <f t="shared" ca="1" si="49"/>
        <v>-28200</v>
      </c>
      <c r="R305" s="10">
        <f t="shared" ca="1" si="50"/>
        <v>0.46743373741524552</v>
      </c>
      <c r="S305" s="10">
        <f t="shared" ca="1" si="56"/>
        <v>-0.17007418129184007</v>
      </c>
      <c r="T305" s="14">
        <f t="shared" ca="1" si="57"/>
        <v>-0.19584689261252508</v>
      </c>
      <c r="U305" s="12">
        <f t="shared" ca="1" si="51"/>
        <v>7900</v>
      </c>
      <c r="V305" s="14">
        <f t="shared" ca="1" si="52"/>
        <v>-456.96202531645571</v>
      </c>
      <c r="W305" s="12">
        <f t="shared" ca="1" si="58"/>
        <v>0</v>
      </c>
      <c r="X305" s="7">
        <f ca="1">AVERAGE(E305:OFFSET(F305,-$X$5+1,0))</f>
        <v>9579.4</v>
      </c>
      <c r="Y305" s="7">
        <f ca="1">AVERAGE(E305:OFFSET(F305,-$Y$5+1,0))</f>
        <v>9642.0499999999993</v>
      </c>
      <c r="Z305" s="7">
        <f t="shared" ca="1" si="44"/>
        <v>0</v>
      </c>
    </row>
    <row r="306" spans="1:26">
      <c r="A306" s="3" t="s">
        <v>38</v>
      </c>
      <c r="B306" s="4">
        <v>42095</v>
      </c>
      <c r="C306" s="3">
        <v>9540</v>
      </c>
      <c r="D306" s="3">
        <v>9552</v>
      </c>
      <c r="E306" s="3">
        <v>9487</v>
      </c>
      <c r="F306" s="3">
        <v>9507</v>
      </c>
      <c r="G306" s="3">
        <v>111444</v>
      </c>
      <c r="H306" s="3">
        <v>1.355</v>
      </c>
      <c r="I306" s="2">
        <f t="shared" si="53"/>
        <v>0</v>
      </c>
      <c r="J306" s="10">
        <f t="shared" si="55"/>
        <v>-42</v>
      </c>
      <c r="K306" s="10">
        <f t="shared" si="54"/>
        <v>-33</v>
      </c>
      <c r="L306" s="10">
        <f t="shared" ca="1" si="43"/>
        <v>0</v>
      </c>
      <c r="M306" s="10">
        <f t="shared" ca="1" si="45"/>
        <v>0</v>
      </c>
      <c r="N306" s="30">
        <f t="shared" ca="1" si="46"/>
        <v>0</v>
      </c>
      <c r="O306" s="10">
        <f t="shared" ca="1" si="47"/>
        <v>0</v>
      </c>
      <c r="P306" s="29">
        <f t="shared" ca="1" si="48"/>
        <v>0</v>
      </c>
      <c r="Q306" s="12">
        <f t="shared" ca="1" si="49"/>
        <v>-28200</v>
      </c>
      <c r="R306" s="10">
        <f t="shared" ca="1" si="50"/>
        <v>0</v>
      </c>
      <c r="S306" s="10">
        <f t="shared" ca="1" si="56"/>
        <v>-0.17007418129184007</v>
      </c>
      <c r="T306" s="14">
        <f t="shared" ca="1" si="57"/>
        <v>-0.19624774182565821</v>
      </c>
      <c r="U306" s="12">
        <f t="shared" ca="1" si="51"/>
        <v>7900</v>
      </c>
      <c r="V306" s="14">
        <f t="shared" ca="1" si="52"/>
        <v>-456.96202531645571</v>
      </c>
      <c r="W306" s="12">
        <f t="shared" ca="1" si="58"/>
        <v>0</v>
      </c>
      <c r="X306" s="7">
        <f ca="1">AVERAGE(E306:OFFSET(F306,-$X$5+1,0))</f>
        <v>9542.6</v>
      </c>
      <c r="Y306" s="7">
        <f ca="1">AVERAGE(E306:OFFSET(F306,-$Y$5+1,0))</f>
        <v>9632.2000000000007</v>
      </c>
      <c r="Z306" s="7">
        <f t="shared" ca="1" si="44"/>
        <v>0</v>
      </c>
    </row>
    <row r="307" spans="1:26">
      <c r="A307" s="3" t="s">
        <v>38</v>
      </c>
      <c r="B307" s="4">
        <v>42096</v>
      </c>
      <c r="C307" s="3">
        <v>9538</v>
      </c>
      <c r="D307" s="3">
        <v>9630</v>
      </c>
      <c r="E307" s="3">
        <v>9535</v>
      </c>
      <c r="F307" s="3">
        <v>9613</v>
      </c>
      <c r="G307" s="3">
        <v>114119</v>
      </c>
      <c r="H307" s="3">
        <v>1.355</v>
      </c>
      <c r="I307" s="2">
        <f t="shared" si="53"/>
        <v>0</v>
      </c>
      <c r="J307" s="10">
        <f t="shared" si="55"/>
        <v>31</v>
      </c>
      <c r="K307" s="10">
        <f t="shared" si="54"/>
        <v>75</v>
      </c>
      <c r="L307" s="10">
        <f t="shared" ca="1" si="43"/>
        <v>0</v>
      </c>
      <c r="M307" s="10">
        <f t="shared" ca="1" si="45"/>
        <v>0</v>
      </c>
      <c r="N307" s="30">
        <f t="shared" ca="1" si="46"/>
        <v>0</v>
      </c>
      <c r="O307" s="10">
        <f t="shared" ca="1" si="47"/>
        <v>0</v>
      </c>
      <c r="P307" s="29">
        <f t="shared" ca="1" si="48"/>
        <v>0</v>
      </c>
      <c r="Q307" s="12">
        <f t="shared" ca="1" si="49"/>
        <v>-28200</v>
      </c>
      <c r="R307" s="10">
        <f t="shared" ca="1" si="50"/>
        <v>0</v>
      </c>
      <c r="S307" s="10">
        <f t="shared" ca="1" si="56"/>
        <v>-0.17007418129184007</v>
      </c>
      <c r="T307" s="14">
        <f t="shared" ca="1" si="57"/>
        <v>-0.19664777394248958</v>
      </c>
      <c r="U307" s="12">
        <f t="shared" ca="1" si="51"/>
        <v>7900</v>
      </c>
      <c r="V307" s="14">
        <f t="shared" ca="1" si="52"/>
        <v>-456.96202531645571</v>
      </c>
      <c r="W307" s="12">
        <f t="shared" ca="1" si="58"/>
        <v>0</v>
      </c>
      <c r="X307" s="7">
        <f ca="1">AVERAGE(E307:OFFSET(F307,-$X$5+1,0))</f>
        <v>9539.7999999999993</v>
      </c>
      <c r="Y307" s="7">
        <f ca="1">AVERAGE(E307:OFFSET(F307,-$Y$5+1,0))</f>
        <v>9615.9</v>
      </c>
      <c r="Z307" s="7">
        <f t="shared" ca="1" si="44"/>
        <v>0</v>
      </c>
    </row>
    <row r="308" spans="1:26">
      <c r="A308" s="3" t="s">
        <v>38</v>
      </c>
      <c r="B308" s="4">
        <v>42101</v>
      </c>
      <c r="C308" s="3">
        <v>9653</v>
      </c>
      <c r="D308" s="3">
        <v>9660</v>
      </c>
      <c r="E308" s="3">
        <v>9612</v>
      </c>
      <c r="F308" s="3">
        <v>9629</v>
      </c>
      <c r="G308" s="3">
        <v>72558</v>
      </c>
      <c r="H308" s="3">
        <v>1.355</v>
      </c>
      <c r="I308" s="2">
        <f t="shared" si="53"/>
        <v>0</v>
      </c>
      <c r="J308" s="10">
        <f t="shared" si="55"/>
        <v>40</v>
      </c>
      <c r="K308" s="10">
        <f t="shared" si="54"/>
        <v>-24</v>
      </c>
      <c r="L308" s="10">
        <f t="shared" ca="1" si="43"/>
        <v>0</v>
      </c>
      <c r="M308" s="10">
        <f t="shared" ca="1" si="45"/>
        <v>0</v>
      </c>
      <c r="N308" s="30">
        <f t="shared" ca="1" si="46"/>
        <v>0</v>
      </c>
      <c r="O308" s="10">
        <f t="shared" ca="1" si="47"/>
        <v>0</v>
      </c>
      <c r="P308" s="29">
        <f t="shared" ca="1" si="48"/>
        <v>0</v>
      </c>
      <c r="Q308" s="12">
        <f t="shared" ca="1" si="49"/>
        <v>-28200</v>
      </c>
      <c r="R308" s="10">
        <f t="shared" ca="1" si="50"/>
        <v>0</v>
      </c>
      <c r="S308" s="10">
        <f t="shared" ca="1" si="56"/>
        <v>-0.17007418129184007</v>
      </c>
      <c r="T308" s="14">
        <f t="shared" ca="1" si="57"/>
        <v>-0.1970469939394934</v>
      </c>
      <c r="U308" s="12">
        <f t="shared" ca="1" si="51"/>
        <v>7900</v>
      </c>
      <c r="V308" s="14">
        <f t="shared" ca="1" si="52"/>
        <v>-456.96202531645571</v>
      </c>
      <c r="W308" s="12">
        <f t="shared" ca="1" si="58"/>
        <v>0</v>
      </c>
      <c r="X308" s="7">
        <f ca="1">AVERAGE(E308:OFFSET(F308,-$X$5+1,0))</f>
        <v>9557.2999999999993</v>
      </c>
      <c r="Y308" s="7">
        <f ca="1">AVERAGE(E308:OFFSET(F308,-$Y$5+1,0))</f>
        <v>9603.4500000000007</v>
      </c>
      <c r="Z308" s="7">
        <f t="shared" ca="1" si="44"/>
        <v>0</v>
      </c>
    </row>
    <row r="309" spans="1:26">
      <c r="A309" s="3" t="s">
        <v>38</v>
      </c>
      <c r="B309" s="4">
        <v>42102</v>
      </c>
      <c r="C309" s="3">
        <v>9633</v>
      </c>
      <c r="D309" s="3">
        <v>9635</v>
      </c>
      <c r="E309" s="3">
        <v>9558</v>
      </c>
      <c r="F309" s="3">
        <v>9570</v>
      </c>
      <c r="G309" s="3">
        <v>93175</v>
      </c>
      <c r="H309" s="3">
        <v>1.355</v>
      </c>
      <c r="I309" s="2">
        <f t="shared" si="53"/>
        <v>0</v>
      </c>
      <c r="J309" s="10">
        <f t="shared" si="55"/>
        <v>4</v>
      </c>
      <c r="K309" s="10">
        <f t="shared" si="54"/>
        <v>-63</v>
      </c>
      <c r="L309" s="10">
        <f t="shared" ca="1" si="43"/>
        <v>0</v>
      </c>
      <c r="M309" s="10">
        <f t="shared" ca="1" si="45"/>
        <v>0</v>
      </c>
      <c r="N309" s="30">
        <f t="shared" ca="1" si="46"/>
        <v>0</v>
      </c>
      <c r="O309" s="10">
        <f t="shared" ca="1" si="47"/>
        <v>0</v>
      </c>
      <c r="P309" s="29">
        <f t="shared" ca="1" si="48"/>
        <v>0</v>
      </c>
      <c r="Q309" s="12">
        <f t="shared" ca="1" si="49"/>
        <v>-28200</v>
      </c>
      <c r="R309" s="10">
        <f t="shared" ca="1" si="50"/>
        <v>0</v>
      </c>
      <c r="S309" s="10">
        <f t="shared" ca="1" si="56"/>
        <v>-0.17007418129184007</v>
      </c>
      <c r="T309" s="14">
        <f t="shared" ca="1" si="57"/>
        <v>-0.19744540674283306</v>
      </c>
      <c r="U309" s="12">
        <f t="shared" ca="1" si="51"/>
        <v>7900</v>
      </c>
      <c r="V309" s="14">
        <f t="shared" ca="1" si="52"/>
        <v>-456.96202531645571</v>
      </c>
      <c r="W309" s="12">
        <f t="shared" ca="1" si="58"/>
        <v>0</v>
      </c>
      <c r="X309" s="7">
        <f ca="1">AVERAGE(E309:OFFSET(F309,-$X$5+1,0))</f>
        <v>9563.7999999999993</v>
      </c>
      <c r="Y309" s="7">
        <f ca="1">AVERAGE(E309:OFFSET(F309,-$Y$5+1,0))</f>
        <v>9586.1</v>
      </c>
      <c r="Z309" s="7">
        <f t="shared" ca="1" si="44"/>
        <v>0</v>
      </c>
    </row>
    <row r="310" spans="1:26">
      <c r="A310" s="3" t="s">
        <v>38</v>
      </c>
      <c r="B310" s="4">
        <v>42103</v>
      </c>
      <c r="C310" s="3">
        <v>9579</v>
      </c>
      <c r="D310" s="3">
        <v>9676</v>
      </c>
      <c r="E310" s="3">
        <v>9564</v>
      </c>
      <c r="F310" s="3">
        <v>9572</v>
      </c>
      <c r="G310" s="3">
        <v>149624</v>
      </c>
      <c r="H310" s="3">
        <v>1.355</v>
      </c>
      <c r="I310" s="2">
        <f t="shared" si="53"/>
        <v>0</v>
      </c>
      <c r="J310" s="10">
        <f t="shared" si="55"/>
        <v>9</v>
      </c>
      <c r="K310" s="10">
        <f t="shared" si="54"/>
        <v>-7</v>
      </c>
      <c r="L310" s="10">
        <f t="shared" ca="1" si="43"/>
        <v>0</v>
      </c>
      <c r="M310" s="10">
        <f t="shared" ca="1" si="45"/>
        <v>0</v>
      </c>
      <c r="N310" s="30">
        <f t="shared" ca="1" si="46"/>
        <v>0</v>
      </c>
      <c r="O310" s="10">
        <f t="shared" ca="1" si="47"/>
        <v>0</v>
      </c>
      <c r="P310" s="29">
        <f t="shared" ca="1" si="48"/>
        <v>0</v>
      </c>
      <c r="Q310" s="12">
        <f t="shared" ca="1" si="49"/>
        <v>-28200</v>
      </c>
      <c r="R310" s="10">
        <f t="shared" ca="1" si="50"/>
        <v>0</v>
      </c>
      <c r="S310" s="10">
        <f t="shared" ca="1" si="56"/>
        <v>-0.17007418129184007</v>
      </c>
      <c r="T310" s="14">
        <f t="shared" ca="1" si="57"/>
        <v>-0.19784301722907033</v>
      </c>
      <c r="U310" s="12">
        <f t="shared" ca="1" si="51"/>
        <v>7900</v>
      </c>
      <c r="V310" s="14">
        <f t="shared" ca="1" si="52"/>
        <v>-456.96202531645571</v>
      </c>
      <c r="W310" s="12">
        <f t="shared" ca="1" si="58"/>
        <v>0</v>
      </c>
      <c r="X310" s="7">
        <f ca="1">AVERAGE(E310:OFFSET(F310,-$X$5+1,0))</f>
        <v>9564.7000000000007</v>
      </c>
      <c r="Y310" s="7">
        <f ca="1">AVERAGE(E310:OFFSET(F310,-$Y$5+1,0))</f>
        <v>9572.0499999999993</v>
      </c>
      <c r="Z310" s="7">
        <f t="shared" ca="1" si="44"/>
        <v>0</v>
      </c>
    </row>
    <row r="311" spans="1:26">
      <c r="A311" s="3" t="s">
        <v>38</v>
      </c>
      <c r="B311" s="4">
        <v>42104</v>
      </c>
      <c r="C311" s="3">
        <v>9628</v>
      </c>
      <c r="D311" s="3">
        <v>9665</v>
      </c>
      <c r="E311" s="3">
        <v>9592</v>
      </c>
      <c r="F311" s="3">
        <v>9631</v>
      </c>
      <c r="G311" s="3">
        <v>120457</v>
      </c>
      <c r="H311" s="3">
        <v>1.355</v>
      </c>
      <c r="I311" s="2">
        <f t="shared" si="53"/>
        <v>0</v>
      </c>
      <c r="J311" s="10">
        <f t="shared" si="55"/>
        <v>56</v>
      </c>
      <c r="K311" s="10">
        <f t="shared" si="54"/>
        <v>3</v>
      </c>
      <c r="L311" s="10">
        <f t="shared" ca="1" si="43"/>
        <v>1</v>
      </c>
      <c r="M311" s="10">
        <f t="shared" ca="1" si="45"/>
        <v>0</v>
      </c>
      <c r="N311" s="30">
        <f t="shared" ca="1" si="46"/>
        <v>0</v>
      </c>
      <c r="O311" s="10">
        <f t="shared" ca="1" si="47"/>
        <v>0</v>
      </c>
      <c r="P311" s="29">
        <f t="shared" ca="1" si="48"/>
        <v>0</v>
      </c>
      <c r="Q311" s="12">
        <f t="shared" ca="1" si="49"/>
        <v>-28200</v>
      </c>
      <c r="R311" s="10">
        <f t="shared" ca="1" si="50"/>
        <v>0</v>
      </c>
      <c r="S311" s="10">
        <f t="shared" ca="1" si="56"/>
        <v>-0.17007418129184007</v>
      </c>
      <c r="T311" s="14">
        <f t="shared" ca="1" si="57"/>
        <v>-0.19823983022586181</v>
      </c>
      <c r="U311" s="12">
        <f t="shared" ca="1" si="51"/>
        <v>7900</v>
      </c>
      <c r="V311" s="14">
        <f t="shared" ca="1" si="52"/>
        <v>-456.96202531645571</v>
      </c>
      <c r="W311" s="12">
        <f t="shared" ca="1" si="58"/>
        <v>0</v>
      </c>
      <c r="X311" s="7">
        <f ca="1">AVERAGE(E311:OFFSET(F311,-$X$5+1,0))</f>
        <v>9587.6</v>
      </c>
      <c r="Y311" s="7">
        <f ca="1">AVERAGE(E311:OFFSET(F311,-$Y$5+1,0))</f>
        <v>9565.1</v>
      </c>
      <c r="Z311" s="7">
        <f t="shared" ca="1" si="44"/>
        <v>1</v>
      </c>
    </row>
    <row r="312" spans="1:26">
      <c r="A312" s="3" t="s">
        <v>38</v>
      </c>
      <c r="B312" s="4">
        <v>42107</v>
      </c>
      <c r="C312" s="3">
        <v>9673</v>
      </c>
      <c r="D312" s="3">
        <v>9683</v>
      </c>
      <c r="E312" s="3">
        <v>9633</v>
      </c>
      <c r="F312" s="3">
        <v>9658</v>
      </c>
      <c r="G312" s="3">
        <v>93462</v>
      </c>
      <c r="H312" s="3">
        <v>1.355</v>
      </c>
      <c r="I312" s="2">
        <f t="shared" si="53"/>
        <v>0</v>
      </c>
      <c r="J312" s="10">
        <f t="shared" si="55"/>
        <v>42</v>
      </c>
      <c r="K312" s="10">
        <f t="shared" si="54"/>
        <v>-15</v>
      </c>
      <c r="L312" s="10">
        <f t="shared" ca="1" si="43"/>
        <v>0</v>
      </c>
      <c r="M312" s="10">
        <f t="shared" ca="1" si="45"/>
        <v>1</v>
      </c>
      <c r="N312" s="30">
        <f t="shared" ca="1" si="46"/>
        <v>1934600</v>
      </c>
      <c r="O312" s="10">
        <f t="shared" ca="1" si="47"/>
        <v>1934600</v>
      </c>
      <c r="P312" s="29">
        <f t="shared" ca="1" si="48"/>
        <v>-3500</v>
      </c>
      <c r="Q312" s="12">
        <f t="shared" ca="1" si="49"/>
        <v>-31700</v>
      </c>
      <c r="R312" s="10">
        <f t="shared" ca="1" si="50"/>
        <v>-0.18091595161790552</v>
      </c>
      <c r="S312" s="10">
        <f t="shared" ca="1" si="56"/>
        <v>-0.17120698222039793</v>
      </c>
      <c r="T312" s="14">
        <f t="shared" ca="1" si="57"/>
        <v>-0.19873451345929499</v>
      </c>
      <c r="U312" s="12">
        <f t="shared" ca="1" si="51"/>
        <v>7900</v>
      </c>
      <c r="V312" s="14">
        <f t="shared" ca="1" si="52"/>
        <v>-501.26582278481015</v>
      </c>
      <c r="W312" s="12">
        <f t="shared" ca="1" si="58"/>
        <v>0</v>
      </c>
      <c r="X312" s="7">
        <f ca="1">AVERAGE(E312:OFFSET(F312,-$X$5+1,0))</f>
        <v>9601.9</v>
      </c>
      <c r="Y312" s="7">
        <f ca="1">AVERAGE(E312:OFFSET(F312,-$Y$5+1,0))</f>
        <v>9570.85</v>
      </c>
      <c r="Z312" s="7">
        <f t="shared" ca="1" si="44"/>
        <v>0</v>
      </c>
    </row>
    <row r="313" spans="1:26">
      <c r="A313" s="3" t="s">
        <v>38</v>
      </c>
      <c r="B313" s="4">
        <v>42108</v>
      </c>
      <c r="C313" s="3">
        <v>9641</v>
      </c>
      <c r="D313" s="3">
        <v>9672</v>
      </c>
      <c r="E313" s="3">
        <v>9626</v>
      </c>
      <c r="F313" s="3">
        <v>9645</v>
      </c>
      <c r="G313" s="3">
        <v>84520</v>
      </c>
      <c r="H313" s="3">
        <v>1.355</v>
      </c>
      <c r="I313" s="2">
        <f t="shared" si="53"/>
        <v>0</v>
      </c>
      <c r="J313" s="10">
        <f t="shared" si="55"/>
        <v>-17</v>
      </c>
      <c r="K313" s="10">
        <f t="shared" si="54"/>
        <v>4</v>
      </c>
      <c r="L313" s="10">
        <f t="shared" ca="1" si="43"/>
        <v>0</v>
      </c>
      <c r="M313" s="10">
        <f t="shared" ca="1" si="45"/>
        <v>1</v>
      </c>
      <c r="N313" s="30">
        <f t="shared" ca="1" si="46"/>
        <v>0</v>
      </c>
      <c r="O313" s="10">
        <f t="shared" ca="1" si="47"/>
        <v>1934600</v>
      </c>
      <c r="P313" s="29">
        <f t="shared" ca="1" si="48"/>
        <v>-2600</v>
      </c>
      <c r="Q313" s="12">
        <f t="shared" ca="1" si="49"/>
        <v>-34300</v>
      </c>
      <c r="R313" s="10">
        <f t="shared" ca="1" si="50"/>
        <v>-0.13439470691615837</v>
      </c>
      <c r="S313" s="10">
        <f t="shared" ca="1" si="56"/>
        <v>-0.18524919527317504</v>
      </c>
      <c r="T313" s="14">
        <f t="shared" ca="1" si="57"/>
        <v>-0.20093581389048726</v>
      </c>
      <c r="U313" s="12">
        <f t="shared" ca="1" si="51"/>
        <v>7900</v>
      </c>
      <c r="V313" s="14">
        <f t="shared" ca="1" si="52"/>
        <v>-534.17721518987344</v>
      </c>
      <c r="W313" s="12">
        <f t="shared" ca="1" si="58"/>
        <v>0</v>
      </c>
      <c r="X313" s="7">
        <f ca="1">AVERAGE(E313:OFFSET(F313,-$X$5+1,0))</f>
        <v>9604.9</v>
      </c>
      <c r="Y313" s="7">
        <f ca="1">AVERAGE(E313:OFFSET(F313,-$Y$5+1,0))</f>
        <v>9581.1</v>
      </c>
      <c r="Z313" s="7">
        <f t="shared" ca="1" si="44"/>
        <v>0</v>
      </c>
    </row>
    <row r="314" spans="1:26">
      <c r="A314" s="3" t="s">
        <v>38</v>
      </c>
      <c r="B314" s="4">
        <v>42109</v>
      </c>
      <c r="C314" s="3">
        <v>9626</v>
      </c>
      <c r="D314" s="3">
        <v>9654</v>
      </c>
      <c r="E314" s="3">
        <v>9507</v>
      </c>
      <c r="F314" s="3">
        <v>9519</v>
      </c>
      <c r="G314" s="3">
        <v>83539</v>
      </c>
      <c r="H314" s="3">
        <v>1.355</v>
      </c>
      <c r="I314" s="2">
        <f t="shared" si="53"/>
        <v>1</v>
      </c>
      <c r="J314" s="10">
        <f t="shared" si="55"/>
        <v>-19</v>
      </c>
      <c r="K314" s="10">
        <f t="shared" si="54"/>
        <v>-107</v>
      </c>
      <c r="L314" s="10">
        <f t="shared" ca="1" si="43"/>
        <v>0</v>
      </c>
      <c r="M314" s="10">
        <f t="shared" si="45"/>
        <v>0</v>
      </c>
      <c r="N314" s="30">
        <f t="shared" si="46"/>
        <v>0</v>
      </c>
      <c r="O314" s="10">
        <f t="shared" si="47"/>
        <v>0</v>
      </c>
      <c r="P314" s="29">
        <f t="shared" ca="1" si="48"/>
        <v>-4300</v>
      </c>
      <c r="Q314" s="12">
        <f t="shared" ca="1" si="49"/>
        <v>-38600</v>
      </c>
      <c r="R314" s="10">
        <f t="shared" ca="1" si="50"/>
        <v>-0.22226816913056963</v>
      </c>
      <c r="S314" s="10">
        <f t="shared" ca="1" si="56"/>
        <v>-0.20847285532199875</v>
      </c>
      <c r="T314" s="14">
        <f t="shared" ca="1" si="57"/>
        <v>-0.20429373329233455</v>
      </c>
      <c r="U314" s="12">
        <f t="shared" ca="1" si="51"/>
        <v>7900</v>
      </c>
      <c r="V314" s="14">
        <f t="shared" ca="1" si="52"/>
        <v>-588.60759493670889</v>
      </c>
      <c r="W314" s="12">
        <f t="shared" ca="1" si="58"/>
        <v>0</v>
      </c>
      <c r="X314" s="7">
        <f ca="1">AVERAGE(E314:OFFSET(F314,-$X$5+1,0))</f>
        <v>9594.7000000000007</v>
      </c>
      <c r="Y314" s="7">
        <f ca="1">AVERAGE(E314:OFFSET(F314,-$Y$5+1,0))</f>
        <v>9579.25</v>
      </c>
      <c r="Z314" s="7">
        <f t="shared" ca="1" si="44"/>
        <v>0</v>
      </c>
    </row>
    <row r="315" spans="1:26">
      <c r="A315" s="3" t="s">
        <v>39</v>
      </c>
      <c r="B315" s="4">
        <v>42110</v>
      </c>
      <c r="C315" s="3">
        <v>9561</v>
      </c>
      <c r="D315" s="3">
        <v>9649</v>
      </c>
      <c r="E315" s="3">
        <v>9548</v>
      </c>
      <c r="F315" s="3">
        <v>9647</v>
      </c>
      <c r="G315" s="3">
        <v>125788</v>
      </c>
      <c r="H315" s="3">
        <v>1.355</v>
      </c>
      <c r="I315" s="2">
        <f t="shared" si="53"/>
        <v>0</v>
      </c>
      <c r="J315" s="10">
        <f t="shared" si="55"/>
        <v>42</v>
      </c>
      <c r="K315" s="10">
        <f t="shared" si="54"/>
        <v>86</v>
      </c>
      <c r="L315" s="10">
        <f t="shared" ca="1" si="43"/>
        <v>0</v>
      </c>
      <c r="M315" s="10">
        <f t="shared" ca="1" si="45"/>
        <v>0</v>
      </c>
      <c r="N315" s="30">
        <f t="shared" ca="1" si="46"/>
        <v>0</v>
      </c>
      <c r="O315" s="10">
        <f t="shared" ca="1" si="47"/>
        <v>0</v>
      </c>
      <c r="P315" s="29">
        <f t="shared" ca="1" si="48"/>
        <v>0</v>
      </c>
      <c r="Q315" s="12">
        <f t="shared" ca="1" si="49"/>
        <v>-38600</v>
      </c>
      <c r="R315" s="10">
        <f t="shared" ca="1" si="50"/>
        <v>0</v>
      </c>
      <c r="S315" s="10">
        <f t="shared" ca="1" si="56"/>
        <v>-0.20847285532199875</v>
      </c>
      <c r="T315" s="14">
        <f t="shared" ca="1" si="57"/>
        <v>-0.20469696277757771</v>
      </c>
      <c r="U315" s="12">
        <f t="shared" ca="1" si="51"/>
        <v>7900</v>
      </c>
      <c r="V315" s="14">
        <f t="shared" ca="1" si="52"/>
        <v>-588.60759493670889</v>
      </c>
      <c r="W315" s="12">
        <f t="shared" ca="1" si="58"/>
        <v>0</v>
      </c>
      <c r="X315" s="7">
        <f ca="1">AVERAGE(E315:OFFSET(F315,-$X$5+1,0))</f>
        <v>9600.6</v>
      </c>
      <c r="Y315" s="7">
        <f ca="1">AVERAGE(E315:OFFSET(F315,-$Y$5+1,0))</f>
        <v>9582.65</v>
      </c>
      <c r="Z315" s="7">
        <f t="shared" ca="1" si="44"/>
        <v>0</v>
      </c>
    </row>
    <row r="316" spans="1:26">
      <c r="A316" s="3" t="s">
        <v>39</v>
      </c>
      <c r="B316" s="4">
        <v>42111</v>
      </c>
      <c r="C316" s="3">
        <v>9619</v>
      </c>
      <c r="D316" s="3">
        <v>9629</v>
      </c>
      <c r="E316" s="3">
        <v>9569</v>
      </c>
      <c r="F316" s="3">
        <v>9584</v>
      </c>
      <c r="G316" s="3">
        <v>105924</v>
      </c>
      <c r="H316" s="3">
        <v>1.355</v>
      </c>
      <c r="I316" s="2">
        <f t="shared" si="53"/>
        <v>0</v>
      </c>
      <c r="J316" s="10">
        <f t="shared" si="55"/>
        <v>-28</v>
      </c>
      <c r="K316" s="10">
        <f t="shared" si="54"/>
        <v>-35</v>
      </c>
      <c r="L316" s="10">
        <f t="shared" ca="1" si="43"/>
        <v>0</v>
      </c>
      <c r="M316" s="10">
        <f t="shared" ca="1" si="45"/>
        <v>0</v>
      </c>
      <c r="N316" s="30">
        <f t="shared" ca="1" si="46"/>
        <v>0</v>
      </c>
      <c r="O316" s="10">
        <f t="shared" ca="1" si="47"/>
        <v>0</v>
      </c>
      <c r="P316" s="29">
        <f t="shared" ca="1" si="48"/>
        <v>0</v>
      </c>
      <c r="Q316" s="12">
        <f t="shared" ca="1" si="49"/>
        <v>-38600</v>
      </c>
      <c r="R316" s="10">
        <f t="shared" ca="1" si="50"/>
        <v>0</v>
      </c>
      <c r="S316" s="10">
        <f t="shared" ca="1" si="56"/>
        <v>-0.20847285532199875</v>
      </c>
      <c r="T316" s="14">
        <f t="shared" ca="1" si="57"/>
        <v>-0.20509939950391978</v>
      </c>
      <c r="U316" s="12">
        <f t="shared" ca="1" si="51"/>
        <v>7900</v>
      </c>
      <c r="V316" s="14">
        <f t="shared" ca="1" si="52"/>
        <v>-588.60759493670889</v>
      </c>
      <c r="W316" s="12">
        <f t="shared" ca="1" si="58"/>
        <v>0</v>
      </c>
      <c r="X316" s="7">
        <f ca="1">AVERAGE(E316:OFFSET(F316,-$X$5+1,0))</f>
        <v>9593.6</v>
      </c>
      <c r="Y316" s="7">
        <f ca="1">AVERAGE(E316:OFFSET(F316,-$Y$5+1,0))</f>
        <v>9590.6</v>
      </c>
      <c r="Z316" s="7">
        <f t="shared" ca="1" si="44"/>
        <v>0</v>
      </c>
    </row>
    <row r="317" spans="1:26">
      <c r="A317" s="3" t="s">
        <v>39</v>
      </c>
      <c r="B317" s="4">
        <v>42114</v>
      </c>
      <c r="C317" s="3">
        <v>9530</v>
      </c>
      <c r="D317" s="3">
        <v>9583</v>
      </c>
      <c r="E317" s="3">
        <v>9506</v>
      </c>
      <c r="F317" s="3">
        <v>9561</v>
      </c>
      <c r="G317" s="3">
        <v>124844</v>
      </c>
      <c r="H317" s="3">
        <v>1.355</v>
      </c>
      <c r="I317" s="2">
        <f t="shared" si="53"/>
        <v>0</v>
      </c>
      <c r="J317" s="10">
        <f t="shared" si="55"/>
        <v>-54</v>
      </c>
      <c r="K317" s="10">
        <f t="shared" si="54"/>
        <v>31</v>
      </c>
      <c r="L317" s="10">
        <f t="shared" ref="L317:L380" ca="1" si="59">Z317</f>
        <v>-1</v>
      </c>
      <c r="M317" s="10">
        <f t="shared" ca="1" si="45"/>
        <v>0</v>
      </c>
      <c r="N317" s="30">
        <f t="shared" ca="1" si="46"/>
        <v>0</v>
      </c>
      <c r="O317" s="10">
        <f t="shared" ca="1" si="47"/>
        <v>0</v>
      </c>
      <c r="P317" s="29">
        <f t="shared" ca="1" si="48"/>
        <v>0</v>
      </c>
      <c r="Q317" s="12">
        <f t="shared" ca="1" si="49"/>
        <v>-38600</v>
      </c>
      <c r="R317" s="10">
        <f t="shared" ca="1" si="50"/>
        <v>0</v>
      </c>
      <c r="S317" s="10">
        <f t="shared" ca="1" si="56"/>
        <v>-7.5071831320616123E-2</v>
      </c>
      <c r="T317" s="14">
        <f t="shared" ca="1" si="57"/>
        <v>-0.18796697316204403</v>
      </c>
      <c r="U317" s="12">
        <f t="shared" ca="1" si="51"/>
        <v>7900</v>
      </c>
      <c r="V317" s="14">
        <f t="shared" ca="1" si="52"/>
        <v>-588.60759493670889</v>
      </c>
      <c r="W317" s="12">
        <f t="shared" ca="1" si="58"/>
        <v>0</v>
      </c>
      <c r="X317" s="7">
        <f ca="1">AVERAGE(E317:OFFSET(F317,-$X$5+1,0))</f>
        <v>9571.2000000000007</v>
      </c>
      <c r="Y317" s="7">
        <f ca="1">AVERAGE(E317:OFFSET(F317,-$Y$5+1,0))</f>
        <v>9586.5499999999993</v>
      </c>
      <c r="Z317" s="7">
        <f t="shared" ref="Z317:Z380" ca="1" si="60">IF(AND(X316&lt;=Y316,X317&gt;Y317),1,IF(AND(X316&gt;Y316,X317&lt;=Y317),-1,0))</f>
        <v>-1</v>
      </c>
    </row>
    <row r="318" spans="1:26">
      <c r="A318" s="3" t="s">
        <v>39</v>
      </c>
      <c r="B318" s="4">
        <v>42115</v>
      </c>
      <c r="C318" s="3">
        <v>9585</v>
      </c>
      <c r="D318" s="3">
        <v>9613</v>
      </c>
      <c r="E318" s="3">
        <v>9535</v>
      </c>
      <c r="F318" s="3">
        <v>9556</v>
      </c>
      <c r="G318" s="3">
        <v>109112</v>
      </c>
      <c r="H318" s="3">
        <v>1.355</v>
      </c>
      <c r="I318" s="2">
        <f t="shared" si="53"/>
        <v>0</v>
      </c>
      <c r="J318" s="10">
        <f t="shared" si="55"/>
        <v>24</v>
      </c>
      <c r="K318" s="10">
        <f t="shared" si="54"/>
        <v>-29</v>
      </c>
      <c r="L318" s="10">
        <f t="shared" ca="1" si="59"/>
        <v>0</v>
      </c>
      <c r="M318" s="10">
        <f t="shared" ref="M318:M381" ca="1" si="61">IF(I318=1,0,IF(M317+L317&gt;=$M$5,$M$5,IF(M317+L317&lt;=$M$7,$M$7,M317+L317)))</f>
        <v>-1</v>
      </c>
      <c r="N318" s="30">
        <f t="shared" ref="N318:N381" ca="1" si="62">IF(M318=0,0,IF(M318&gt;M317,(C318+N317*M317)*$S$5,0))</f>
        <v>0</v>
      </c>
      <c r="O318" s="10">
        <f t="shared" ref="O318:O381" ca="1" si="63">IF(M318=0,0,IF(M318=M317,O317,((M318-M317)*C318+N317*M317)*$S$5/M318))</f>
        <v>1917000</v>
      </c>
      <c r="P318" s="29">
        <f t="shared" ref="P318:P381" ca="1" si="64">IF(M317=M318,(M317*J318+M318*K318)*$S$5,(M317*J318+M318*K318)*$S$5-$S$6)</f>
        <v>5300</v>
      </c>
      <c r="Q318" s="12">
        <f t="shared" ref="Q318:Q381" ca="1" si="65">P318+Q317</f>
        <v>-33300</v>
      </c>
      <c r="R318" s="10">
        <f t="shared" ref="R318:R381" ca="1" si="66">IF(P318=0,0,IF(O318=0,100*P318/O317,100*P318/O318))</f>
        <v>0.27647365675534691</v>
      </c>
      <c r="S318" s="10">
        <f t="shared" ca="1" si="56"/>
        <v>-2.37637451662382E-2</v>
      </c>
      <c r="T318" s="14">
        <f t="shared" ca="1" si="57"/>
        <v>-0.18145808208645048</v>
      </c>
      <c r="U318" s="12">
        <f t="shared" ref="U318:U381" ca="1" si="67">IF(Q318&gt;U317,Q318,U317)</f>
        <v>7900</v>
      </c>
      <c r="V318" s="14">
        <f t="shared" ref="V318:V381" ca="1" si="68">IF(U318=0,0,100*(Q318-U318)/U318)</f>
        <v>-521.51898734177212</v>
      </c>
      <c r="W318" s="12">
        <f t="shared" ca="1" si="58"/>
        <v>0</v>
      </c>
      <c r="X318" s="7">
        <f ca="1">AVERAGE(E318:OFFSET(F318,-$X$5+1,0))</f>
        <v>9553.2000000000007</v>
      </c>
      <c r="Y318" s="7">
        <f ca="1">AVERAGE(E318:OFFSET(F318,-$Y$5+1,0))</f>
        <v>9579.0499999999993</v>
      </c>
      <c r="Z318" s="7">
        <f t="shared" ca="1" si="60"/>
        <v>0</v>
      </c>
    </row>
    <row r="319" spans="1:26">
      <c r="A319" s="3" t="s">
        <v>39</v>
      </c>
      <c r="B319" s="4">
        <v>42116</v>
      </c>
      <c r="C319" s="3">
        <v>9561</v>
      </c>
      <c r="D319" s="3">
        <v>9636</v>
      </c>
      <c r="E319" s="3">
        <v>9561</v>
      </c>
      <c r="F319" s="3">
        <v>9613</v>
      </c>
      <c r="G319" s="3">
        <v>140112</v>
      </c>
      <c r="H319" s="3">
        <v>1.355</v>
      </c>
      <c r="I319" s="2">
        <f t="shared" si="53"/>
        <v>0</v>
      </c>
      <c r="J319" s="10">
        <f t="shared" si="55"/>
        <v>5</v>
      </c>
      <c r="K319" s="10">
        <f t="shared" si="54"/>
        <v>52</v>
      </c>
      <c r="L319" s="10">
        <f t="shared" ca="1" si="59"/>
        <v>0</v>
      </c>
      <c r="M319" s="10">
        <f t="shared" ca="1" si="61"/>
        <v>-1</v>
      </c>
      <c r="N319" s="30">
        <f t="shared" ca="1" si="62"/>
        <v>0</v>
      </c>
      <c r="O319" s="10">
        <f t="shared" ca="1" si="63"/>
        <v>1917000</v>
      </c>
      <c r="P319" s="29">
        <f t="shared" ca="1" si="64"/>
        <v>-11400</v>
      </c>
      <c r="Q319" s="12">
        <f t="shared" ca="1" si="65"/>
        <v>-44700</v>
      </c>
      <c r="R319" s="10">
        <f t="shared" ca="1" si="66"/>
        <v>-0.59467918622848204</v>
      </c>
      <c r="S319" s="10">
        <f t="shared" ca="1" si="56"/>
        <v>-0.17390740780747047</v>
      </c>
      <c r="T319" s="14">
        <f t="shared" ca="1" si="57"/>
        <v>-0.20105111092893235</v>
      </c>
      <c r="U319" s="12">
        <f t="shared" ca="1" si="67"/>
        <v>7900</v>
      </c>
      <c r="V319" s="14">
        <f t="shared" ca="1" si="68"/>
        <v>-665.82278481012656</v>
      </c>
      <c r="W319" s="12">
        <f t="shared" ca="1" si="58"/>
        <v>0</v>
      </c>
      <c r="X319" s="7">
        <f ca="1">AVERAGE(E319:OFFSET(F319,-$X$5+1,0))</f>
        <v>9568</v>
      </c>
      <c r="Y319" s="7">
        <f ca="1">AVERAGE(E319:OFFSET(F319,-$Y$5+1,0))</f>
        <v>9581.35</v>
      </c>
      <c r="Z319" s="7">
        <f t="shared" ca="1" si="60"/>
        <v>0</v>
      </c>
    </row>
    <row r="320" spans="1:26">
      <c r="A320" s="3" t="s">
        <v>39</v>
      </c>
      <c r="B320" s="4">
        <v>42117</v>
      </c>
      <c r="C320" s="3">
        <v>9656</v>
      </c>
      <c r="D320" s="3">
        <v>9854</v>
      </c>
      <c r="E320" s="3">
        <v>9652</v>
      </c>
      <c r="F320" s="3">
        <v>9838</v>
      </c>
      <c r="G320" s="3">
        <v>186347</v>
      </c>
      <c r="H320" s="3">
        <v>1.355</v>
      </c>
      <c r="I320" s="2">
        <f t="shared" si="53"/>
        <v>0</v>
      </c>
      <c r="J320" s="10">
        <f t="shared" si="55"/>
        <v>43</v>
      </c>
      <c r="K320" s="10">
        <f t="shared" si="54"/>
        <v>182</v>
      </c>
      <c r="L320" s="10">
        <f t="shared" ca="1" si="59"/>
        <v>0</v>
      </c>
      <c r="M320" s="10">
        <f t="shared" ca="1" si="61"/>
        <v>-1</v>
      </c>
      <c r="N320" s="30">
        <f t="shared" ca="1" si="62"/>
        <v>0</v>
      </c>
      <c r="O320" s="10">
        <f t="shared" ca="1" si="63"/>
        <v>1917000</v>
      </c>
      <c r="P320" s="29">
        <f t="shared" ca="1" si="64"/>
        <v>-45000</v>
      </c>
      <c r="Q320" s="12">
        <f t="shared" ca="1" si="65"/>
        <v>-89700</v>
      </c>
      <c r="R320" s="10">
        <f t="shared" ca="1" si="66"/>
        <v>-2.347417840375587</v>
      </c>
      <c r="S320" s="10">
        <f t="shared" ca="1" si="56"/>
        <v>-0.32729158115318974</v>
      </c>
      <c r="T320" s="14">
        <f t="shared" ca="1" si="57"/>
        <v>-0.21253660705718241</v>
      </c>
      <c r="U320" s="12">
        <f t="shared" ca="1" si="67"/>
        <v>7900</v>
      </c>
      <c r="V320" s="14">
        <f t="shared" ca="1" si="68"/>
        <v>-1235.4430379746836</v>
      </c>
      <c r="W320" s="12">
        <f t="shared" ca="1" si="58"/>
        <v>0</v>
      </c>
      <c r="X320" s="7">
        <f ca="1">AVERAGE(E320:OFFSET(F320,-$X$5+1,0))</f>
        <v>9597.5</v>
      </c>
      <c r="Y320" s="7">
        <f ca="1">AVERAGE(E320:OFFSET(F320,-$Y$5+1,0))</f>
        <v>9599.0499999999993</v>
      </c>
      <c r="Z320" s="7">
        <f t="shared" ca="1" si="60"/>
        <v>0</v>
      </c>
    </row>
    <row r="321" spans="1:26">
      <c r="A321" s="3" t="s">
        <v>39</v>
      </c>
      <c r="B321" s="4">
        <v>42118</v>
      </c>
      <c r="C321" s="3">
        <v>9880</v>
      </c>
      <c r="D321" s="3">
        <v>10000</v>
      </c>
      <c r="E321" s="3">
        <v>9860</v>
      </c>
      <c r="F321" s="3">
        <v>9920</v>
      </c>
      <c r="G321" s="3">
        <v>206172</v>
      </c>
      <c r="H321" s="3">
        <v>1.355</v>
      </c>
      <c r="I321" s="2">
        <f t="shared" si="53"/>
        <v>0</v>
      </c>
      <c r="J321" s="10">
        <f t="shared" si="55"/>
        <v>42</v>
      </c>
      <c r="K321" s="10">
        <f t="shared" si="54"/>
        <v>40</v>
      </c>
      <c r="L321" s="10">
        <f t="shared" ca="1" si="59"/>
        <v>1</v>
      </c>
      <c r="M321" s="10">
        <f t="shared" ca="1" si="61"/>
        <v>-1</v>
      </c>
      <c r="N321" s="30">
        <f t="shared" ca="1" si="62"/>
        <v>0</v>
      </c>
      <c r="O321" s="10">
        <f t="shared" ca="1" si="63"/>
        <v>1917000</v>
      </c>
      <c r="P321" s="29">
        <f t="shared" ca="1" si="64"/>
        <v>-16400</v>
      </c>
      <c r="Q321" s="12">
        <f t="shared" ca="1" si="65"/>
        <v>-106100</v>
      </c>
      <c r="R321" s="10">
        <f t="shared" ca="1" si="66"/>
        <v>-0.85550339071465831</v>
      </c>
      <c r="S321" s="10">
        <f t="shared" ca="1" si="56"/>
        <v>-0.43098792369677463</v>
      </c>
      <c r="T321" s="14">
        <f t="shared" ca="1" si="57"/>
        <v>-0.22491444929706164</v>
      </c>
      <c r="U321" s="12">
        <f t="shared" ca="1" si="67"/>
        <v>7900</v>
      </c>
      <c r="V321" s="14">
        <f t="shared" ca="1" si="68"/>
        <v>-1443.0379746835442</v>
      </c>
      <c r="W321" s="12">
        <f t="shared" ca="1" si="58"/>
        <v>0</v>
      </c>
      <c r="X321" s="7">
        <f ca="1">AVERAGE(E321:OFFSET(F321,-$X$5+1,0))</f>
        <v>9660.2000000000007</v>
      </c>
      <c r="Y321" s="7">
        <f ca="1">AVERAGE(E321:OFFSET(F321,-$Y$5+1,0))</f>
        <v>9626.9</v>
      </c>
      <c r="Z321" s="7">
        <f t="shared" ca="1" si="60"/>
        <v>1</v>
      </c>
    </row>
    <row r="322" spans="1:26">
      <c r="A322" s="3" t="s">
        <v>39</v>
      </c>
      <c r="B322" s="4">
        <v>42121</v>
      </c>
      <c r="C322" s="3">
        <v>9958</v>
      </c>
      <c r="D322" s="3">
        <v>10031</v>
      </c>
      <c r="E322" s="3">
        <v>9945</v>
      </c>
      <c r="F322" s="3">
        <v>10019</v>
      </c>
      <c r="G322" s="3">
        <v>147811</v>
      </c>
      <c r="H322" s="3">
        <v>1.355</v>
      </c>
      <c r="I322" s="2">
        <f t="shared" si="53"/>
        <v>0</v>
      </c>
      <c r="J322" s="10">
        <f t="shared" si="55"/>
        <v>38</v>
      </c>
      <c r="K322" s="10">
        <f t="shared" si="54"/>
        <v>61</v>
      </c>
      <c r="L322" s="10">
        <f t="shared" ca="1" si="59"/>
        <v>0</v>
      </c>
      <c r="M322" s="10">
        <f t="shared" ca="1" si="61"/>
        <v>0</v>
      </c>
      <c r="N322" s="30">
        <f t="shared" ca="1" si="62"/>
        <v>0</v>
      </c>
      <c r="O322" s="10">
        <f t="shared" ca="1" si="63"/>
        <v>0</v>
      </c>
      <c r="P322" s="29">
        <f t="shared" ca="1" si="64"/>
        <v>-8100</v>
      </c>
      <c r="Q322" s="12">
        <f t="shared" ca="1" si="65"/>
        <v>-114200</v>
      </c>
      <c r="R322" s="10">
        <f t="shared" ca="1" si="66"/>
        <v>-0.42253521126760563</v>
      </c>
      <c r="S322" s="10">
        <f t="shared" ca="1" si="56"/>
        <v>-0.41208494458726697</v>
      </c>
      <c r="T322" s="14">
        <f t="shared" ca="1" si="57"/>
        <v>-0.2227006156452366</v>
      </c>
      <c r="U322" s="12">
        <f t="shared" ca="1" si="67"/>
        <v>7900</v>
      </c>
      <c r="V322" s="14">
        <f t="shared" ca="1" si="68"/>
        <v>-1545.5696202531647</v>
      </c>
      <c r="W322" s="12">
        <f t="shared" ca="1" si="58"/>
        <v>0</v>
      </c>
      <c r="X322" s="7">
        <f ca="1">AVERAGE(E322:OFFSET(F322,-$X$5+1,0))</f>
        <v>9749.9</v>
      </c>
      <c r="Y322" s="7">
        <f ca="1">AVERAGE(E322:OFFSET(F322,-$Y$5+1,0))</f>
        <v>9660.5499999999993</v>
      </c>
      <c r="Z322" s="7">
        <f t="shared" ca="1" si="60"/>
        <v>0</v>
      </c>
    </row>
    <row r="323" spans="1:26">
      <c r="A323" s="3" t="s">
        <v>39</v>
      </c>
      <c r="B323" s="4">
        <v>42122</v>
      </c>
      <c r="C323" s="3">
        <v>10022</v>
      </c>
      <c r="D323" s="3">
        <v>10033</v>
      </c>
      <c r="E323" s="3">
        <v>9963</v>
      </c>
      <c r="F323" s="3">
        <v>9990</v>
      </c>
      <c r="G323" s="3">
        <v>105272</v>
      </c>
      <c r="H323" s="3">
        <v>1.355</v>
      </c>
      <c r="I323" s="2">
        <f t="shared" si="53"/>
        <v>0</v>
      </c>
      <c r="J323" s="10">
        <f t="shared" si="55"/>
        <v>3</v>
      </c>
      <c r="K323" s="10">
        <f t="shared" si="54"/>
        <v>-32</v>
      </c>
      <c r="L323" s="10">
        <f t="shared" ca="1" si="59"/>
        <v>0</v>
      </c>
      <c r="M323" s="10">
        <f t="shared" ca="1" si="61"/>
        <v>0</v>
      </c>
      <c r="N323" s="30">
        <f t="shared" ca="1" si="62"/>
        <v>0</v>
      </c>
      <c r="O323" s="10">
        <f t="shared" ca="1" si="63"/>
        <v>0</v>
      </c>
      <c r="P323" s="29">
        <f t="shared" ca="1" si="64"/>
        <v>0</v>
      </c>
      <c r="Q323" s="12">
        <f t="shared" ca="1" si="65"/>
        <v>-114200</v>
      </c>
      <c r="R323" s="10">
        <f t="shared" ca="1" si="66"/>
        <v>0</v>
      </c>
      <c r="S323" s="10">
        <f t="shared" ca="1" si="56"/>
        <v>-0.46069260515457239</v>
      </c>
      <c r="T323" s="14">
        <f t="shared" ca="1" si="57"/>
        <v>-0.22926355167546131</v>
      </c>
      <c r="U323" s="12">
        <f t="shared" ca="1" si="67"/>
        <v>7900</v>
      </c>
      <c r="V323" s="14">
        <f t="shared" ca="1" si="68"/>
        <v>-1545.5696202531647</v>
      </c>
      <c r="W323" s="12">
        <f t="shared" ca="1" si="58"/>
        <v>0</v>
      </c>
      <c r="X323" s="7">
        <f ca="1">AVERAGE(E323:OFFSET(F323,-$X$5+1,0))</f>
        <v>9836.1</v>
      </c>
      <c r="Y323" s="7">
        <f ca="1">AVERAGE(E323:OFFSET(F323,-$Y$5+1,0))</f>
        <v>9694.65</v>
      </c>
      <c r="Z323" s="7">
        <f t="shared" ca="1" si="60"/>
        <v>0</v>
      </c>
    </row>
    <row r="324" spans="1:26">
      <c r="A324" s="3" t="s">
        <v>39</v>
      </c>
      <c r="B324" s="4">
        <v>42123</v>
      </c>
      <c r="C324" s="3">
        <v>9978</v>
      </c>
      <c r="D324" s="3">
        <v>10022</v>
      </c>
      <c r="E324" s="3">
        <v>9882</v>
      </c>
      <c r="F324" s="3">
        <v>9909</v>
      </c>
      <c r="G324" s="3">
        <v>173931</v>
      </c>
      <c r="H324" s="3">
        <v>1.355</v>
      </c>
      <c r="I324" s="2">
        <f t="shared" ref="I324:I387" si="69">IF(A324=A325,0,1)</f>
        <v>0</v>
      </c>
      <c r="J324" s="10">
        <f t="shared" si="55"/>
        <v>-12</v>
      </c>
      <c r="K324" s="10">
        <f t="shared" ref="K324:K387" si="70">F324-C324</f>
        <v>-69</v>
      </c>
      <c r="L324" s="10">
        <f t="shared" ca="1" si="59"/>
        <v>0</v>
      </c>
      <c r="M324" s="10">
        <f t="shared" ca="1" si="61"/>
        <v>0</v>
      </c>
      <c r="N324" s="30">
        <f t="shared" ca="1" si="62"/>
        <v>0</v>
      </c>
      <c r="O324" s="10">
        <f t="shared" ca="1" si="63"/>
        <v>0</v>
      </c>
      <c r="P324" s="29">
        <f t="shared" ca="1" si="64"/>
        <v>0</v>
      </c>
      <c r="Q324" s="12">
        <f t="shared" ca="1" si="65"/>
        <v>-114200</v>
      </c>
      <c r="R324" s="10">
        <f t="shared" ca="1" si="66"/>
        <v>0</v>
      </c>
      <c r="S324" s="10">
        <f t="shared" ca="1" si="56"/>
        <v>-0.416405625526583</v>
      </c>
      <c r="T324" s="14">
        <f t="shared" ca="1" si="57"/>
        <v>-0.22409711247349401</v>
      </c>
      <c r="U324" s="12">
        <f t="shared" ca="1" si="67"/>
        <v>7900</v>
      </c>
      <c r="V324" s="14">
        <f t="shared" ca="1" si="68"/>
        <v>-1545.5696202531647</v>
      </c>
      <c r="W324" s="12">
        <f t="shared" ca="1" si="58"/>
        <v>0</v>
      </c>
      <c r="X324" s="7">
        <f ca="1">AVERAGE(E324:OFFSET(F324,-$X$5+1,0))</f>
        <v>9897.7999999999993</v>
      </c>
      <c r="Y324" s="7">
        <f ca="1">AVERAGE(E324:OFFSET(F324,-$Y$5+1,0))</f>
        <v>9732.9</v>
      </c>
      <c r="Z324" s="7">
        <f t="shared" ca="1" si="60"/>
        <v>0</v>
      </c>
    </row>
    <row r="325" spans="1:26">
      <c r="A325" s="3" t="s">
        <v>39</v>
      </c>
      <c r="B325" s="4">
        <v>42124</v>
      </c>
      <c r="C325" s="3">
        <v>9902</v>
      </c>
      <c r="D325" s="3">
        <v>9930</v>
      </c>
      <c r="E325" s="3">
        <v>9858</v>
      </c>
      <c r="F325" s="3">
        <v>9874</v>
      </c>
      <c r="G325" s="3">
        <v>130960</v>
      </c>
      <c r="H325" s="3">
        <v>1.355</v>
      </c>
      <c r="I325" s="2">
        <f t="shared" si="69"/>
        <v>0</v>
      </c>
      <c r="J325" s="10">
        <f t="shared" ref="J325:J388" si="71">C325-F324</f>
        <v>-7</v>
      </c>
      <c r="K325" s="10">
        <f t="shared" si="70"/>
        <v>-28</v>
      </c>
      <c r="L325" s="10">
        <f t="shared" ca="1" si="59"/>
        <v>0</v>
      </c>
      <c r="M325" s="10">
        <f t="shared" ca="1" si="61"/>
        <v>0</v>
      </c>
      <c r="N325" s="30">
        <f t="shared" ca="1" si="62"/>
        <v>0</v>
      </c>
      <c r="O325" s="10">
        <f t="shared" ca="1" si="63"/>
        <v>0</v>
      </c>
      <c r="P325" s="29">
        <f t="shared" ca="1" si="64"/>
        <v>0</v>
      </c>
      <c r="Q325" s="12">
        <f t="shared" ca="1" si="65"/>
        <v>-114200</v>
      </c>
      <c r="R325" s="10">
        <f t="shared" ca="1" si="66"/>
        <v>0</v>
      </c>
      <c r="S325" s="10">
        <f t="shared" ca="1" si="56"/>
        <v>-0.4061440082957074</v>
      </c>
      <c r="T325" s="14">
        <f t="shared" ca="1" si="57"/>
        <v>-0.22322124894696624</v>
      </c>
      <c r="U325" s="12">
        <f t="shared" ca="1" si="67"/>
        <v>7900</v>
      </c>
      <c r="V325" s="14">
        <f t="shared" ca="1" si="68"/>
        <v>-1545.5696202531647</v>
      </c>
      <c r="W325" s="12">
        <f t="shared" ca="1" si="58"/>
        <v>0</v>
      </c>
      <c r="X325" s="7">
        <f ca="1">AVERAGE(E325:OFFSET(F325,-$X$5+1,0))</f>
        <v>9922</v>
      </c>
      <c r="Y325" s="7">
        <f ca="1">AVERAGE(E325:OFFSET(F325,-$Y$5+1,0))</f>
        <v>9759.75</v>
      </c>
      <c r="Z325" s="7">
        <f t="shared" ca="1" si="60"/>
        <v>0</v>
      </c>
    </row>
    <row r="326" spans="1:26">
      <c r="A326" s="3" t="s">
        <v>39</v>
      </c>
      <c r="B326" s="4">
        <v>42128</v>
      </c>
      <c r="C326" s="3">
        <v>9897</v>
      </c>
      <c r="D326" s="3">
        <v>9911</v>
      </c>
      <c r="E326" s="3">
        <v>9824</v>
      </c>
      <c r="F326" s="3">
        <v>9886</v>
      </c>
      <c r="G326" s="3">
        <v>112699</v>
      </c>
      <c r="H326" s="3">
        <v>1.355</v>
      </c>
      <c r="I326" s="2">
        <f t="shared" si="69"/>
        <v>0</v>
      </c>
      <c r="J326" s="10">
        <f t="shared" si="71"/>
        <v>23</v>
      </c>
      <c r="K326" s="10">
        <f t="shared" si="70"/>
        <v>-11</v>
      </c>
      <c r="L326" s="10">
        <f t="shared" ca="1" si="59"/>
        <v>0</v>
      </c>
      <c r="M326" s="10">
        <f t="shared" ca="1" si="61"/>
        <v>0</v>
      </c>
      <c r="N326" s="30">
        <f t="shared" ca="1" si="62"/>
        <v>0</v>
      </c>
      <c r="O326" s="10">
        <f t="shared" ca="1" si="63"/>
        <v>0</v>
      </c>
      <c r="P326" s="29">
        <f t="shared" ca="1" si="64"/>
        <v>0</v>
      </c>
      <c r="Q326" s="12">
        <f t="shared" ca="1" si="65"/>
        <v>-114200</v>
      </c>
      <c r="R326" s="10">
        <f t="shared" ca="1" si="66"/>
        <v>0</v>
      </c>
      <c r="S326" s="10">
        <f t="shared" ca="1" si="56"/>
        <v>-0.4061440082957074</v>
      </c>
      <c r="T326" s="14">
        <f t="shared" ca="1" si="57"/>
        <v>-0.22364276536111441</v>
      </c>
      <c r="U326" s="12">
        <f t="shared" ca="1" si="67"/>
        <v>7900</v>
      </c>
      <c r="V326" s="14">
        <f t="shared" ca="1" si="68"/>
        <v>-1545.5696202531647</v>
      </c>
      <c r="W326" s="12">
        <f t="shared" ca="1" si="58"/>
        <v>0</v>
      </c>
      <c r="X326" s="7">
        <f ca="1">AVERAGE(E326:OFFSET(F326,-$X$5+1,0))</f>
        <v>9915</v>
      </c>
      <c r="Y326" s="7">
        <f ca="1">AVERAGE(E326:OFFSET(F326,-$Y$5+1,0))</f>
        <v>9787.6</v>
      </c>
      <c r="Z326" s="7">
        <f t="shared" ca="1" si="60"/>
        <v>0</v>
      </c>
    </row>
    <row r="327" spans="1:26">
      <c r="A327" s="3" t="s">
        <v>39</v>
      </c>
      <c r="B327" s="4">
        <v>42129</v>
      </c>
      <c r="C327" s="3">
        <v>9866</v>
      </c>
      <c r="D327" s="3">
        <v>9878</v>
      </c>
      <c r="E327" s="3">
        <v>9814</v>
      </c>
      <c r="F327" s="3">
        <v>9849</v>
      </c>
      <c r="G327" s="3">
        <v>102568</v>
      </c>
      <c r="H327" s="3">
        <v>1.355</v>
      </c>
      <c r="I327" s="2">
        <f t="shared" si="69"/>
        <v>0</v>
      </c>
      <c r="J327" s="10">
        <f t="shared" si="71"/>
        <v>-20</v>
      </c>
      <c r="K327" s="10">
        <f t="shared" si="70"/>
        <v>-17</v>
      </c>
      <c r="L327" s="10">
        <f t="shared" ca="1" si="59"/>
        <v>0</v>
      </c>
      <c r="M327" s="10">
        <f t="shared" ca="1" si="61"/>
        <v>0</v>
      </c>
      <c r="N327" s="30">
        <f t="shared" ca="1" si="62"/>
        <v>0</v>
      </c>
      <c r="O327" s="10">
        <f t="shared" ca="1" si="63"/>
        <v>0</v>
      </c>
      <c r="P327" s="29">
        <f t="shared" ca="1" si="64"/>
        <v>0</v>
      </c>
      <c r="Q327" s="12">
        <f t="shared" ca="1" si="65"/>
        <v>-114200</v>
      </c>
      <c r="R327" s="10">
        <f t="shared" ca="1" si="66"/>
        <v>0</v>
      </c>
      <c r="S327" s="10">
        <f t="shared" ca="1" si="56"/>
        <v>-0.4061440082957074</v>
      </c>
      <c r="T327" s="14">
        <f t="shared" ca="1" si="57"/>
        <v>-0.22406348879342375</v>
      </c>
      <c r="U327" s="12">
        <f t="shared" ca="1" si="67"/>
        <v>7900</v>
      </c>
      <c r="V327" s="14">
        <f t="shared" ca="1" si="68"/>
        <v>-1545.5696202531647</v>
      </c>
      <c r="W327" s="12">
        <f t="shared" ca="1" si="58"/>
        <v>0</v>
      </c>
      <c r="X327" s="7">
        <f ca="1">AVERAGE(E327:OFFSET(F327,-$X$5+1,0))</f>
        <v>9884.9</v>
      </c>
      <c r="Y327" s="7">
        <f ca="1">AVERAGE(E327:OFFSET(F327,-$Y$5+1,0))</f>
        <v>9817.4</v>
      </c>
      <c r="Z327" s="7">
        <f t="shared" ca="1" si="60"/>
        <v>0</v>
      </c>
    </row>
    <row r="328" spans="1:26">
      <c r="A328" s="3" t="s">
        <v>39</v>
      </c>
      <c r="B328" s="4">
        <v>42130</v>
      </c>
      <c r="C328" s="3">
        <v>9802</v>
      </c>
      <c r="D328" s="3">
        <v>9865</v>
      </c>
      <c r="E328" s="3">
        <v>9763</v>
      </c>
      <c r="F328" s="3">
        <v>9847</v>
      </c>
      <c r="G328" s="3">
        <v>117999</v>
      </c>
      <c r="H328" s="3">
        <v>1.355</v>
      </c>
      <c r="I328" s="2">
        <f t="shared" si="69"/>
        <v>0</v>
      </c>
      <c r="J328" s="10">
        <f t="shared" si="71"/>
        <v>-47</v>
      </c>
      <c r="K328" s="10">
        <f t="shared" si="70"/>
        <v>45</v>
      </c>
      <c r="L328" s="10">
        <f t="shared" ca="1" si="59"/>
        <v>0</v>
      </c>
      <c r="M328" s="10">
        <f t="shared" ca="1" si="61"/>
        <v>0</v>
      </c>
      <c r="N328" s="30">
        <f t="shared" ca="1" si="62"/>
        <v>0</v>
      </c>
      <c r="O328" s="10">
        <f t="shared" ca="1" si="63"/>
        <v>0</v>
      </c>
      <c r="P328" s="29">
        <f t="shared" ca="1" si="64"/>
        <v>0</v>
      </c>
      <c r="Q328" s="12">
        <f t="shared" ca="1" si="65"/>
        <v>-114200</v>
      </c>
      <c r="R328" s="10">
        <f t="shared" ca="1" si="66"/>
        <v>0</v>
      </c>
      <c r="S328" s="10">
        <f t="shared" ca="1" si="56"/>
        <v>-0.4061440082957074</v>
      </c>
      <c r="T328" s="14">
        <f t="shared" ca="1" si="57"/>
        <v>-0.22448342370260313</v>
      </c>
      <c r="U328" s="12">
        <f t="shared" ca="1" si="67"/>
        <v>7900</v>
      </c>
      <c r="V328" s="14">
        <f t="shared" ca="1" si="68"/>
        <v>-1545.5696202531647</v>
      </c>
      <c r="W328" s="12">
        <f t="shared" ca="1" si="58"/>
        <v>0</v>
      </c>
      <c r="X328" s="7">
        <f ca="1">AVERAGE(E328:OFFSET(F328,-$X$5+1,0))</f>
        <v>9850.6</v>
      </c>
      <c r="Y328" s="7">
        <f ca="1">AVERAGE(E328:OFFSET(F328,-$Y$5+1,0))</f>
        <v>9843.35</v>
      </c>
      <c r="Z328" s="7">
        <f t="shared" ca="1" si="60"/>
        <v>0</v>
      </c>
    </row>
    <row r="329" spans="1:26">
      <c r="A329" s="3" t="s">
        <v>39</v>
      </c>
      <c r="B329" s="4">
        <v>42131</v>
      </c>
      <c r="C329" s="3">
        <v>9786</v>
      </c>
      <c r="D329" s="3">
        <v>9808</v>
      </c>
      <c r="E329" s="3">
        <v>9745</v>
      </c>
      <c r="F329" s="3">
        <v>9753</v>
      </c>
      <c r="G329" s="3">
        <v>130534</v>
      </c>
      <c r="H329" s="3">
        <v>1.355</v>
      </c>
      <c r="I329" s="2">
        <f t="shared" si="69"/>
        <v>0</v>
      </c>
      <c r="J329" s="10">
        <f t="shared" si="71"/>
        <v>-61</v>
      </c>
      <c r="K329" s="10">
        <f t="shared" si="70"/>
        <v>-33</v>
      </c>
      <c r="L329" s="10">
        <f t="shared" ca="1" si="59"/>
        <v>-1</v>
      </c>
      <c r="M329" s="10">
        <f t="shared" ca="1" si="61"/>
        <v>0</v>
      </c>
      <c r="N329" s="30">
        <f t="shared" ca="1" si="62"/>
        <v>0</v>
      </c>
      <c r="O329" s="10">
        <f t="shared" ca="1" si="63"/>
        <v>0</v>
      </c>
      <c r="P329" s="29">
        <f t="shared" ca="1" si="64"/>
        <v>0</v>
      </c>
      <c r="Q329" s="12">
        <f t="shared" ca="1" si="65"/>
        <v>-114200</v>
      </c>
      <c r="R329" s="10">
        <f t="shared" ca="1" si="66"/>
        <v>0</v>
      </c>
      <c r="S329" s="10">
        <f t="shared" ca="1" si="56"/>
        <v>-0.4061440082957074</v>
      </c>
      <c r="T329" s="14">
        <f t="shared" ca="1" si="57"/>
        <v>-0.22490257450573334</v>
      </c>
      <c r="U329" s="12">
        <f t="shared" ca="1" si="67"/>
        <v>7900</v>
      </c>
      <c r="V329" s="14">
        <f t="shared" ca="1" si="68"/>
        <v>-1545.5696202531647</v>
      </c>
      <c r="W329" s="12">
        <f t="shared" ca="1" si="58"/>
        <v>0</v>
      </c>
      <c r="X329" s="7">
        <f ca="1">AVERAGE(E329:OFFSET(F329,-$X$5+1,0))</f>
        <v>9821.2999999999993</v>
      </c>
      <c r="Y329" s="7">
        <f ca="1">AVERAGE(E329:OFFSET(F329,-$Y$5+1,0))</f>
        <v>9859.5499999999993</v>
      </c>
      <c r="Z329" s="7">
        <f t="shared" ca="1" si="60"/>
        <v>-1</v>
      </c>
    </row>
    <row r="330" spans="1:26">
      <c r="A330" s="3" t="s">
        <v>39</v>
      </c>
      <c r="B330" s="4">
        <v>42132</v>
      </c>
      <c r="C330" s="3">
        <v>9769</v>
      </c>
      <c r="D330" s="3">
        <v>9783</v>
      </c>
      <c r="E330" s="3">
        <v>9713</v>
      </c>
      <c r="F330" s="3">
        <v>9721</v>
      </c>
      <c r="G330" s="3">
        <v>92550</v>
      </c>
      <c r="H330" s="3">
        <v>1.355</v>
      </c>
      <c r="I330" s="2">
        <f t="shared" si="69"/>
        <v>0</v>
      </c>
      <c r="J330" s="10">
        <f t="shared" si="71"/>
        <v>16</v>
      </c>
      <c r="K330" s="10">
        <f t="shared" si="70"/>
        <v>-48</v>
      </c>
      <c r="L330" s="10">
        <f t="shared" ca="1" si="59"/>
        <v>0</v>
      </c>
      <c r="M330" s="10">
        <f t="shared" ca="1" si="61"/>
        <v>-1</v>
      </c>
      <c r="N330" s="30">
        <f t="shared" ca="1" si="62"/>
        <v>0</v>
      </c>
      <c r="O330" s="10">
        <f t="shared" ca="1" si="63"/>
        <v>1953800</v>
      </c>
      <c r="P330" s="29">
        <f t="shared" ca="1" si="64"/>
        <v>9100</v>
      </c>
      <c r="Q330" s="12">
        <f t="shared" ca="1" si="65"/>
        <v>-105100</v>
      </c>
      <c r="R330" s="10">
        <f t="shared" ca="1" si="66"/>
        <v>0.4657590336779609</v>
      </c>
      <c r="S330" s="10">
        <f t="shared" ca="1" si="56"/>
        <v>-0.35699626261098749</v>
      </c>
      <c r="T330" s="14">
        <f t="shared" ca="1" si="57"/>
        <v>-0.21865483567666391</v>
      </c>
      <c r="U330" s="12">
        <f t="shared" ca="1" si="67"/>
        <v>7900</v>
      </c>
      <c r="V330" s="14">
        <f t="shared" ca="1" si="68"/>
        <v>-1430.379746835443</v>
      </c>
      <c r="W330" s="12">
        <f t="shared" ca="1" si="58"/>
        <v>0</v>
      </c>
      <c r="X330" s="7">
        <f ca="1">AVERAGE(E330:OFFSET(F330,-$X$5+1,0))</f>
        <v>9791.5</v>
      </c>
      <c r="Y330" s="7">
        <f ca="1">AVERAGE(E330:OFFSET(F330,-$Y$5+1,0))</f>
        <v>9856.75</v>
      </c>
      <c r="Z330" s="7">
        <f t="shared" ca="1" si="60"/>
        <v>0</v>
      </c>
    </row>
    <row r="331" spans="1:26">
      <c r="A331" s="3" t="s">
        <v>39</v>
      </c>
      <c r="B331" s="4">
        <v>42135</v>
      </c>
      <c r="C331" s="3">
        <v>9800</v>
      </c>
      <c r="D331" s="3">
        <v>9814</v>
      </c>
      <c r="E331" s="3">
        <v>9657</v>
      </c>
      <c r="F331" s="3">
        <v>9723</v>
      </c>
      <c r="G331" s="3">
        <v>155184</v>
      </c>
      <c r="H331" s="3">
        <v>1.355</v>
      </c>
      <c r="I331" s="2">
        <f t="shared" si="69"/>
        <v>0</v>
      </c>
      <c r="J331" s="10">
        <f t="shared" si="71"/>
        <v>79</v>
      </c>
      <c r="K331" s="10">
        <f t="shared" si="70"/>
        <v>-77</v>
      </c>
      <c r="L331" s="10">
        <f t="shared" ca="1" si="59"/>
        <v>0</v>
      </c>
      <c r="M331" s="10">
        <f t="shared" ca="1" si="61"/>
        <v>-1</v>
      </c>
      <c r="N331" s="30">
        <f t="shared" ca="1" si="62"/>
        <v>0</v>
      </c>
      <c r="O331" s="10">
        <f t="shared" ca="1" si="63"/>
        <v>1953800</v>
      </c>
      <c r="P331" s="29">
        <f t="shared" ca="1" si="64"/>
        <v>-400</v>
      </c>
      <c r="Q331" s="12">
        <f t="shared" ca="1" si="65"/>
        <v>-105500</v>
      </c>
      <c r="R331" s="10">
        <f t="shared" ca="1" si="66"/>
        <v>-2.0472924557273006E-2</v>
      </c>
      <c r="S331" s="10">
        <f t="shared" ca="1" si="56"/>
        <v>-0.35915660308064551</v>
      </c>
      <c r="T331" s="14">
        <f t="shared" ca="1" si="57"/>
        <v>-0.21893143958989769</v>
      </c>
      <c r="U331" s="12">
        <f t="shared" ca="1" si="67"/>
        <v>7900</v>
      </c>
      <c r="V331" s="14">
        <f t="shared" ca="1" si="68"/>
        <v>-1435.4430379746836</v>
      </c>
      <c r="W331" s="12">
        <f t="shared" ca="1" si="58"/>
        <v>0</v>
      </c>
      <c r="X331" s="7">
        <f ca="1">AVERAGE(E331:OFFSET(F331,-$X$5+1,0))</f>
        <v>9758.5</v>
      </c>
      <c r="Y331" s="7">
        <f ca="1">AVERAGE(E331:OFFSET(F331,-$Y$5+1,0))</f>
        <v>9836.75</v>
      </c>
      <c r="Z331" s="7">
        <f t="shared" ca="1" si="60"/>
        <v>0</v>
      </c>
    </row>
    <row r="332" spans="1:26">
      <c r="A332" s="3" t="s">
        <v>39</v>
      </c>
      <c r="B332" s="4">
        <v>42136</v>
      </c>
      <c r="C332" s="3">
        <v>9707</v>
      </c>
      <c r="D332" s="3">
        <v>9748</v>
      </c>
      <c r="E332" s="3">
        <v>9673</v>
      </c>
      <c r="F332" s="3">
        <v>9706</v>
      </c>
      <c r="G332" s="3">
        <v>115207</v>
      </c>
      <c r="H332" s="3">
        <v>1.355</v>
      </c>
      <c r="I332" s="2">
        <f t="shared" si="69"/>
        <v>0</v>
      </c>
      <c r="J332" s="10">
        <f t="shared" si="71"/>
        <v>-16</v>
      </c>
      <c r="K332" s="10">
        <f t="shared" si="70"/>
        <v>-1</v>
      </c>
      <c r="L332" s="10">
        <f t="shared" ca="1" si="59"/>
        <v>0</v>
      </c>
      <c r="M332" s="10">
        <f t="shared" ca="1" si="61"/>
        <v>-1</v>
      </c>
      <c r="N332" s="30">
        <f t="shared" ca="1" si="62"/>
        <v>0</v>
      </c>
      <c r="O332" s="10">
        <f t="shared" ca="1" si="63"/>
        <v>1953800</v>
      </c>
      <c r="P332" s="29">
        <f t="shared" ca="1" si="64"/>
        <v>3400</v>
      </c>
      <c r="Q332" s="12">
        <f t="shared" ca="1" si="65"/>
        <v>-102100</v>
      </c>
      <c r="R332" s="10">
        <f t="shared" ca="1" si="66"/>
        <v>0.17401985873682055</v>
      </c>
      <c r="S332" s="10">
        <f t="shared" ca="1" si="56"/>
        <v>-0.34079370908855233</v>
      </c>
      <c r="T332" s="14">
        <f t="shared" ca="1" si="57"/>
        <v>-0.21652719855846439</v>
      </c>
      <c r="U332" s="12">
        <f t="shared" ca="1" si="67"/>
        <v>7900</v>
      </c>
      <c r="V332" s="14">
        <f t="shared" ca="1" si="68"/>
        <v>-1392.4050632911392</v>
      </c>
      <c r="W332" s="12">
        <f t="shared" ca="1" si="58"/>
        <v>0</v>
      </c>
      <c r="X332" s="7">
        <f ca="1">AVERAGE(E332:OFFSET(F332,-$X$5+1,0))</f>
        <v>9730.1</v>
      </c>
      <c r="Y332" s="7">
        <f ca="1">AVERAGE(E332:OFFSET(F332,-$Y$5+1,0))</f>
        <v>9807.5</v>
      </c>
      <c r="Z332" s="7">
        <f t="shared" ca="1" si="60"/>
        <v>0</v>
      </c>
    </row>
    <row r="333" spans="1:26">
      <c r="A333" s="3" t="s">
        <v>39</v>
      </c>
      <c r="B333" s="4">
        <v>42137</v>
      </c>
      <c r="C333" s="3">
        <v>9712</v>
      </c>
      <c r="D333" s="3">
        <v>9776</v>
      </c>
      <c r="E333" s="3">
        <v>9697</v>
      </c>
      <c r="F333" s="3">
        <v>9739</v>
      </c>
      <c r="G333" s="3">
        <v>114681</v>
      </c>
      <c r="H333" s="3">
        <v>1.355</v>
      </c>
      <c r="I333" s="2">
        <f t="shared" si="69"/>
        <v>0</v>
      </c>
      <c r="J333" s="10">
        <f t="shared" si="71"/>
        <v>6</v>
      </c>
      <c r="K333" s="10">
        <f t="shared" si="70"/>
        <v>27</v>
      </c>
      <c r="L333" s="10">
        <f t="shared" ca="1" si="59"/>
        <v>0</v>
      </c>
      <c r="M333" s="10">
        <f t="shared" ca="1" si="61"/>
        <v>-1</v>
      </c>
      <c r="N333" s="30">
        <f t="shared" ca="1" si="62"/>
        <v>0</v>
      </c>
      <c r="O333" s="10">
        <f t="shared" ca="1" si="63"/>
        <v>1953800</v>
      </c>
      <c r="P333" s="29">
        <f t="shared" ca="1" si="64"/>
        <v>-6600</v>
      </c>
      <c r="Q333" s="12">
        <f t="shared" ca="1" si="65"/>
        <v>-108700</v>
      </c>
      <c r="R333" s="10">
        <f t="shared" ca="1" si="66"/>
        <v>-0.33780325519500459</v>
      </c>
      <c r="S333" s="10">
        <f t="shared" ca="1" si="56"/>
        <v>-0.37643932683790965</v>
      </c>
      <c r="T333" s="14">
        <f t="shared" ca="1" si="57"/>
        <v>-0.2209178821070325</v>
      </c>
      <c r="U333" s="12">
        <f t="shared" ca="1" si="67"/>
        <v>7900</v>
      </c>
      <c r="V333" s="14">
        <f t="shared" ca="1" si="68"/>
        <v>-1475.9493670886077</v>
      </c>
      <c r="W333" s="12">
        <f t="shared" ca="1" si="58"/>
        <v>0</v>
      </c>
      <c r="X333" s="7">
        <f ca="1">AVERAGE(E333:OFFSET(F333,-$X$5+1,0))</f>
        <v>9712.7000000000007</v>
      </c>
      <c r="Y333" s="7">
        <f ca="1">AVERAGE(E333:OFFSET(F333,-$Y$5+1,0))</f>
        <v>9781.65</v>
      </c>
      <c r="Z333" s="7">
        <f t="shared" ca="1" si="60"/>
        <v>0</v>
      </c>
    </row>
    <row r="334" spans="1:26">
      <c r="A334" s="3" t="s">
        <v>39</v>
      </c>
      <c r="B334" s="4">
        <v>42138</v>
      </c>
      <c r="C334" s="3">
        <v>9737</v>
      </c>
      <c r="D334" s="3">
        <v>9741</v>
      </c>
      <c r="E334" s="3">
        <v>9599</v>
      </c>
      <c r="F334" s="3">
        <v>9604</v>
      </c>
      <c r="G334" s="3">
        <v>138661</v>
      </c>
      <c r="H334" s="3">
        <v>1.355</v>
      </c>
      <c r="I334" s="2">
        <f t="shared" si="69"/>
        <v>0</v>
      </c>
      <c r="J334" s="10">
        <f t="shared" si="71"/>
        <v>-2</v>
      </c>
      <c r="K334" s="10">
        <f t="shared" si="70"/>
        <v>-133</v>
      </c>
      <c r="L334" s="10">
        <f t="shared" ca="1" si="59"/>
        <v>0</v>
      </c>
      <c r="M334" s="10">
        <f t="shared" ca="1" si="61"/>
        <v>-1</v>
      </c>
      <c r="N334" s="30">
        <f t="shared" ca="1" si="62"/>
        <v>0</v>
      </c>
      <c r="O334" s="10">
        <f t="shared" ca="1" si="63"/>
        <v>1953800</v>
      </c>
      <c r="P334" s="29">
        <f t="shared" ca="1" si="64"/>
        <v>27000</v>
      </c>
      <c r="Q334" s="12">
        <f t="shared" ca="1" si="65"/>
        <v>-81700</v>
      </c>
      <c r="R334" s="10">
        <f t="shared" ca="1" si="66"/>
        <v>1.381922407615928</v>
      </c>
      <c r="S334" s="10">
        <f t="shared" ca="1" si="56"/>
        <v>-0.23061634513599344</v>
      </c>
      <c r="T334" s="14">
        <f t="shared" ca="1" si="57"/>
        <v>-0.1994897936922316</v>
      </c>
      <c r="U334" s="12">
        <f t="shared" ca="1" si="67"/>
        <v>7900</v>
      </c>
      <c r="V334" s="14">
        <f t="shared" ca="1" si="68"/>
        <v>-1134.1772151898733</v>
      </c>
      <c r="W334" s="12">
        <f t="shared" ca="1" si="58"/>
        <v>0</v>
      </c>
      <c r="X334" s="7">
        <f ca="1">AVERAGE(E334:OFFSET(F334,-$X$5+1,0))</f>
        <v>9683.2000000000007</v>
      </c>
      <c r="Y334" s="7">
        <f ca="1">AVERAGE(E334:OFFSET(F334,-$Y$5+1,0))</f>
        <v>9752.25</v>
      </c>
      <c r="Z334" s="7">
        <f t="shared" ca="1" si="60"/>
        <v>0</v>
      </c>
    </row>
    <row r="335" spans="1:26">
      <c r="A335" s="3" t="s">
        <v>39</v>
      </c>
      <c r="B335" s="4">
        <v>42139</v>
      </c>
      <c r="C335" s="3">
        <v>9635</v>
      </c>
      <c r="D335" s="3">
        <v>9642</v>
      </c>
      <c r="E335" s="3">
        <v>9541</v>
      </c>
      <c r="F335" s="3">
        <v>9575</v>
      </c>
      <c r="G335" s="3">
        <v>129471</v>
      </c>
      <c r="H335" s="3">
        <v>1.355</v>
      </c>
      <c r="I335" s="2">
        <f t="shared" si="69"/>
        <v>0</v>
      </c>
      <c r="J335" s="10">
        <f t="shared" si="71"/>
        <v>31</v>
      </c>
      <c r="K335" s="10">
        <f t="shared" si="70"/>
        <v>-60</v>
      </c>
      <c r="L335" s="10">
        <f t="shared" ca="1" si="59"/>
        <v>0</v>
      </c>
      <c r="M335" s="10">
        <f t="shared" ca="1" si="61"/>
        <v>-1</v>
      </c>
      <c r="N335" s="30">
        <f t="shared" ca="1" si="62"/>
        <v>0</v>
      </c>
      <c r="O335" s="10">
        <f t="shared" ca="1" si="63"/>
        <v>1953800</v>
      </c>
      <c r="P335" s="29">
        <f t="shared" ca="1" si="64"/>
        <v>5800</v>
      </c>
      <c r="Q335" s="12">
        <f t="shared" ca="1" si="65"/>
        <v>-75900</v>
      </c>
      <c r="R335" s="10">
        <f t="shared" ca="1" si="66"/>
        <v>0.29685740608045857</v>
      </c>
      <c r="S335" s="10">
        <f t="shared" ca="1" si="56"/>
        <v>-0.19929140832595216</v>
      </c>
      <c r="T335" s="14">
        <f t="shared" ca="1" si="57"/>
        <v>-0.19541428716009404</v>
      </c>
      <c r="U335" s="12">
        <f t="shared" ca="1" si="67"/>
        <v>7900</v>
      </c>
      <c r="V335" s="14">
        <f t="shared" ca="1" si="68"/>
        <v>-1060.7594936708861</v>
      </c>
      <c r="W335" s="12">
        <f t="shared" ca="1" si="58"/>
        <v>0</v>
      </c>
      <c r="X335" s="7">
        <f ca="1">AVERAGE(E335:OFFSET(F335,-$X$5+1,0))</f>
        <v>9651.4</v>
      </c>
      <c r="Y335" s="7">
        <f ca="1">AVERAGE(E335:OFFSET(F335,-$Y$5+1,0))</f>
        <v>9721.4500000000007</v>
      </c>
      <c r="Z335" s="7">
        <f t="shared" ca="1" si="60"/>
        <v>0</v>
      </c>
    </row>
    <row r="336" spans="1:26">
      <c r="A336" s="3" t="s">
        <v>39</v>
      </c>
      <c r="B336" s="4">
        <v>42142</v>
      </c>
      <c r="C336" s="3">
        <v>9612</v>
      </c>
      <c r="D336" s="3">
        <v>9614</v>
      </c>
      <c r="E336" s="3">
        <v>9552</v>
      </c>
      <c r="F336" s="3">
        <v>9598</v>
      </c>
      <c r="G336" s="3">
        <v>102650</v>
      </c>
      <c r="H336" s="3">
        <v>1.355</v>
      </c>
      <c r="I336" s="2">
        <f t="shared" si="69"/>
        <v>0</v>
      </c>
      <c r="J336" s="10">
        <f t="shared" si="71"/>
        <v>37</v>
      </c>
      <c r="K336" s="10">
        <f t="shared" si="70"/>
        <v>-14</v>
      </c>
      <c r="L336" s="10">
        <f t="shared" ca="1" si="59"/>
        <v>0</v>
      </c>
      <c r="M336" s="10">
        <f t="shared" ca="1" si="61"/>
        <v>-1</v>
      </c>
      <c r="N336" s="30">
        <f t="shared" ca="1" si="62"/>
        <v>0</v>
      </c>
      <c r="O336" s="10">
        <f t="shared" ca="1" si="63"/>
        <v>1953800</v>
      </c>
      <c r="P336" s="29">
        <f t="shared" ca="1" si="64"/>
        <v>-4600</v>
      </c>
      <c r="Q336" s="12">
        <f t="shared" ca="1" si="65"/>
        <v>-80500</v>
      </c>
      <c r="R336" s="10">
        <f t="shared" ca="1" si="66"/>
        <v>-0.23543863240863958</v>
      </c>
      <c r="S336" s="10">
        <f t="shared" ca="1" si="56"/>
        <v>-0.22413532372701939</v>
      </c>
      <c r="T336" s="14">
        <f t="shared" ca="1" si="57"/>
        <v>-0.19847053934134459</v>
      </c>
      <c r="U336" s="12">
        <f t="shared" ca="1" si="67"/>
        <v>7900</v>
      </c>
      <c r="V336" s="14">
        <f t="shared" ca="1" si="68"/>
        <v>-1118.9873417721519</v>
      </c>
      <c r="W336" s="12">
        <f t="shared" ca="1" si="58"/>
        <v>0</v>
      </c>
      <c r="X336" s="7">
        <f ca="1">AVERAGE(E336:OFFSET(F336,-$X$5+1,0))</f>
        <v>9628.4</v>
      </c>
      <c r="Y336" s="7">
        <f ca="1">AVERAGE(E336:OFFSET(F336,-$Y$5+1,0))</f>
        <v>9693.4500000000007</v>
      </c>
      <c r="Z336" s="7">
        <f t="shared" ca="1" si="60"/>
        <v>0</v>
      </c>
    </row>
    <row r="337" spans="1:26">
      <c r="A337" s="3" t="s">
        <v>39</v>
      </c>
      <c r="B337" s="4">
        <v>42143</v>
      </c>
      <c r="C337" s="3">
        <v>9616</v>
      </c>
      <c r="D337" s="3">
        <v>9723</v>
      </c>
      <c r="E337" s="3">
        <v>9602</v>
      </c>
      <c r="F337" s="3">
        <v>9702</v>
      </c>
      <c r="G337" s="3">
        <v>131463</v>
      </c>
      <c r="H337" s="3">
        <v>1.355</v>
      </c>
      <c r="I337" s="2">
        <f t="shared" si="69"/>
        <v>0</v>
      </c>
      <c r="J337" s="10">
        <f t="shared" si="71"/>
        <v>18</v>
      </c>
      <c r="K337" s="10">
        <f t="shared" si="70"/>
        <v>86</v>
      </c>
      <c r="L337" s="10">
        <f t="shared" ca="1" si="59"/>
        <v>0</v>
      </c>
      <c r="M337" s="10">
        <f t="shared" ca="1" si="61"/>
        <v>-1</v>
      </c>
      <c r="N337" s="30">
        <f t="shared" ca="1" si="62"/>
        <v>0</v>
      </c>
      <c r="O337" s="10">
        <f t="shared" ca="1" si="63"/>
        <v>1953800</v>
      </c>
      <c r="P337" s="29">
        <f t="shared" ca="1" si="64"/>
        <v>-20800</v>
      </c>
      <c r="Q337" s="12">
        <f t="shared" ca="1" si="65"/>
        <v>-101300</v>
      </c>
      <c r="R337" s="10">
        <f t="shared" ca="1" si="66"/>
        <v>-1.0645920769781962</v>
      </c>
      <c r="S337" s="10">
        <f t="shared" ca="1" si="56"/>
        <v>-0.3364730281492363</v>
      </c>
      <c r="T337" s="14">
        <f t="shared" ca="1" si="57"/>
        <v>-0.21096794221038237</v>
      </c>
      <c r="U337" s="12">
        <f t="shared" ca="1" si="67"/>
        <v>7900</v>
      </c>
      <c r="V337" s="14">
        <f t="shared" ca="1" si="68"/>
        <v>-1382.2784810126582</v>
      </c>
      <c r="W337" s="12">
        <f t="shared" ca="1" si="58"/>
        <v>0</v>
      </c>
      <c r="X337" s="7">
        <f ca="1">AVERAGE(E337:OFFSET(F337,-$X$5+1,0))</f>
        <v>9620.9</v>
      </c>
      <c r="Y337" s="7">
        <f ca="1">AVERAGE(E337:OFFSET(F337,-$Y$5+1,0))</f>
        <v>9675.5</v>
      </c>
      <c r="Z337" s="7">
        <f t="shared" ca="1" si="60"/>
        <v>0</v>
      </c>
    </row>
    <row r="338" spans="1:26">
      <c r="A338" s="3" t="s">
        <v>39</v>
      </c>
      <c r="B338" s="4">
        <v>42144</v>
      </c>
      <c r="C338" s="3">
        <v>9704</v>
      </c>
      <c r="D338" s="3">
        <v>9725</v>
      </c>
      <c r="E338" s="3">
        <v>9657</v>
      </c>
      <c r="F338" s="3">
        <v>9668</v>
      </c>
      <c r="G338" s="3">
        <v>73133</v>
      </c>
      <c r="H338" s="3">
        <v>1.355</v>
      </c>
      <c r="I338" s="2">
        <f t="shared" si="69"/>
        <v>1</v>
      </c>
      <c r="J338" s="10">
        <f t="shared" si="71"/>
        <v>2</v>
      </c>
      <c r="K338" s="10">
        <f t="shared" si="70"/>
        <v>-36</v>
      </c>
      <c r="L338" s="10">
        <f t="shared" ca="1" si="59"/>
        <v>0</v>
      </c>
      <c r="M338" s="10">
        <f t="shared" si="61"/>
        <v>0</v>
      </c>
      <c r="N338" s="30">
        <f t="shared" si="62"/>
        <v>0</v>
      </c>
      <c r="O338" s="10">
        <f t="shared" si="63"/>
        <v>0</v>
      </c>
      <c r="P338" s="29">
        <f t="shared" ca="1" si="64"/>
        <v>-900</v>
      </c>
      <c r="Q338" s="12">
        <f t="shared" ca="1" si="65"/>
        <v>-102200</v>
      </c>
      <c r="R338" s="10">
        <f t="shared" ca="1" si="66"/>
        <v>-4.6064080253864263E-2</v>
      </c>
      <c r="S338" s="10">
        <f t="shared" ca="1" si="56"/>
        <v>-0.34133379420596688</v>
      </c>
      <c r="T338" s="14">
        <f t="shared" ca="1" si="57"/>
        <v>-0.21157380083519159</v>
      </c>
      <c r="U338" s="12">
        <f t="shared" ca="1" si="67"/>
        <v>7900</v>
      </c>
      <c r="V338" s="14">
        <f t="shared" ca="1" si="68"/>
        <v>-1393.6708860759493</v>
      </c>
      <c r="W338" s="12">
        <f t="shared" ca="1" si="58"/>
        <v>0</v>
      </c>
      <c r="X338" s="7">
        <f ca="1">AVERAGE(E338:OFFSET(F338,-$X$5+1,0))</f>
        <v>9609.7999999999993</v>
      </c>
      <c r="Y338" s="7">
        <f ca="1">AVERAGE(E338:OFFSET(F338,-$Y$5+1,0))</f>
        <v>9661.25</v>
      </c>
      <c r="Z338" s="7">
        <f t="shared" ca="1" si="60"/>
        <v>0</v>
      </c>
    </row>
    <row r="339" spans="1:26">
      <c r="A339" s="3" t="s">
        <v>40</v>
      </c>
      <c r="B339" s="4">
        <v>42145</v>
      </c>
      <c r="C339" s="3">
        <v>9645</v>
      </c>
      <c r="D339" s="3">
        <v>9648</v>
      </c>
      <c r="E339" s="3">
        <v>9512</v>
      </c>
      <c r="F339" s="3">
        <v>9541</v>
      </c>
      <c r="G339" s="3">
        <v>128659</v>
      </c>
      <c r="H339" s="3">
        <v>1.355</v>
      </c>
      <c r="I339" s="2">
        <f t="shared" si="69"/>
        <v>0</v>
      </c>
      <c r="J339" s="10">
        <f t="shared" si="71"/>
        <v>-23</v>
      </c>
      <c r="K339" s="10">
        <f t="shared" si="70"/>
        <v>-104</v>
      </c>
      <c r="L339" s="10">
        <f t="shared" ca="1" si="59"/>
        <v>0</v>
      </c>
      <c r="M339" s="10">
        <f t="shared" ca="1" si="61"/>
        <v>0</v>
      </c>
      <c r="N339" s="30">
        <f t="shared" ca="1" si="62"/>
        <v>0</v>
      </c>
      <c r="O339" s="10">
        <f t="shared" ca="1" si="63"/>
        <v>0</v>
      </c>
      <c r="P339" s="29">
        <f t="shared" ca="1" si="64"/>
        <v>0</v>
      </c>
      <c r="Q339" s="12">
        <f t="shared" ca="1" si="65"/>
        <v>-102200</v>
      </c>
      <c r="R339" s="10">
        <f t="shared" ca="1" si="66"/>
        <v>0</v>
      </c>
      <c r="S339" s="10">
        <f t="shared" ca="1" si="56"/>
        <v>-0.34133379420596688</v>
      </c>
      <c r="T339" s="14">
        <f t="shared" ca="1" si="57"/>
        <v>-0.21157380083519159</v>
      </c>
      <c r="U339" s="12">
        <f t="shared" ca="1" si="67"/>
        <v>7900</v>
      </c>
      <c r="V339" s="14">
        <f t="shared" ca="1" si="68"/>
        <v>-1393.6708860759493</v>
      </c>
      <c r="W339" s="12">
        <f t="shared" ca="1" si="58"/>
        <v>0</v>
      </c>
      <c r="X339" s="7">
        <f ca="1">AVERAGE(E339:OFFSET(F339,-$X$5+1,0))</f>
        <v>9594.7999999999993</v>
      </c>
      <c r="Y339" s="7">
        <f ca="1">AVERAGE(E339:OFFSET(F339,-$Y$5+1,0))</f>
        <v>9639</v>
      </c>
      <c r="Z339" s="7">
        <f t="shared" ca="1" si="60"/>
        <v>0</v>
      </c>
    </row>
    <row r="340" spans="1:26">
      <c r="A340" s="3" t="s">
        <v>40</v>
      </c>
      <c r="B340" s="4">
        <v>42146</v>
      </c>
      <c r="C340" s="3">
        <v>9562</v>
      </c>
      <c r="D340" s="3">
        <v>9649</v>
      </c>
      <c r="E340" s="3">
        <v>9546</v>
      </c>
      <c r="F340" s="3">
        <v>9625</v>
      </c>
      <c r="G340" s="3">
        <v>110540</v>
      </c>
      <c r="H340" s="3">
        <v>1.355</v>
      </c>
      <c r="I340" s="2">
        <f t="shared" si="69"/>
        <v>0</v>
      </c>
      <c r="J340" s="10">
        <f t="shared" si="71"/>
        <v>21</v>
      </c>
      <c r="K340" s="10">
        <f t="shared" si="70"/>
        <v>63</v>
      </c>
      <c r="L340" s="10">
        <f t="shared" ca="1" si="59"/>
        <v>0</v>
      </c>
      <c r="M340" s="10">
        <f t="shared" ca="1" si="61"/>
        <v>0</v>
      </c>
      <c r="N340" s="30">
        <f t="shared" ca="1" si="62"/>
        <v>0</v>
      </c>
      <c r="O340" s="10">
        <f t="shared" ca="1" si="63"/>
        <v>0</v>
      </c>
      <c r="P340" s="29">
        <f t="shared" ca="1" si="64"/>
        <v>0</v>
      </c>
      <c r="Q340" s="12">
        <f t="shared" ca="1" si="65"/>
        <v>-102200</v>
      </c>
      <c r="R340" s="10">
        <f t="shared" ca="1" si="66"/>
        <v>0</v>
      </c>
      <c r="S340" s="10">
        <f t="shared" ca="1" si="56"/>
        <v>-0.34133379420596688</v>
      </c>
      <c r="T340" s="14">
        <f t="shared" ca="1" si="57"/>
        <v>-0.21157380083519159</v>
      </c>
      <c r="U340" s="12">
        <f t="shared" ca="1" si="67"/>
        <v>7900</v>
      </c>
      <c r="V340" s="14">
        <f t="shared" ca="1" si="68"/>
        <v>-1393.6708860759493</v>
      </c>
      <c r="W340" s="12">
        <f t="shared" ca="1" si="58"/>
        <v>0</v>
      </c>
      <c r="X340" s="7">
        <f ca="1">AVERAGE(E340:OFFSET(F340,-$X$5+1,0))</f>
        <v>9600.2999999999993</v>
      </c>
      <c r="Y340" s="7">
        <f ca="1">AVERAGE(E340:OFFSET(F340,-$Y$5+1,0))</f>
        <v>9625.85</v>
      </c>
      <c r="Z340" s="7">
        <f t="shared" ca="1" si="60"/>
        <v>0</v>
      </c>
    </row>
    <row r="341" spans="1:26">
      <c r="A341" s="3" t="s">
        <v>40</v>
      </c>
      <c r="B341" s="4">
        <v>42149</v>
      </c>
      <c r="C341" s="3">
        <v>9603</v>
      </c>
      <c r="D341" s="3">
        <v>9640</v>
      </c>
      <c r="E341" s="3">
        <v>9550</v>
      </c>
      <c r="F341" s="3">
        <v>9630</v>
      </c>
      <c r="G341" s="3">
        <v>94010</v>
      </c>
      <c r="H341" s="3">
        <v>1.355</v>
      </c>
      <c r="I341" s="2">
        <f t="shared" si="69"/>
        <v>0</v>
      </c>
      <c r="J341" s="10">
        <f t="shared" si="71"/>
        <v>-22</v>
      </c>
      <c r="K341" s="10">
        <f t="shared" si="70"/>
        <v>27</v>
      </c>
      <c r="L341" s="10">
        <f t="shared" ca="1" si="59"/>
        <v>0</v>
      </c>
      <c r="M341" s="10">
        <f t="shared" ca="1" si="61"/>
        <v>0</v>
      </c>
      <c r="N341" s="30">
        <f t="shared" ca="1" si="62"/>
        <v>0</v>
      </c>
      <c r="O341" s="10">
        <f t="shared" ca="1" si="63"/>
        <v>0</v>
      </c>
      <c r="P341" s="29">
        <f t="shared" ca="1" si="64"/>
        <v>0</v>
      </c>
      <c r="Q341" s="12">
        <f t="shared" ca="1" si="65"/>
        <v>-102200</v>
      </c>
      <c r="R341" s="10">
        <f t="shared" ca="1" si="66"/>
        <v>0</v>
      </c>
      <c r="S341" s="10">
        <f t="shared" ca="1" si="56"/>
        <v>-0.34133379420596688</v>
      </c>
      <c r="T341" s="14">
        <f t="shared" ca="1" si="57"/>
        <v>-0.21157380083519159</v>
      </c>
      <c r="U341" s="12">
        <f t="shared" ca="1" si="67"/>
        <v>7900</v>
      </c>
      <c r="V341" s="14">
        <f t="shared" ca="1" si="68"/>
        <v>-1393.6708860759493</v>
      </c>
      <c r="W341" s="12">
        <f t="shared" ca="1" si="58"/>
        <v>0</v>
      </c>
      <c r="X341" s="7">
        <f ca="1">AVERAGE(E341:OFFSET(F341,-$X$5+1,0))</f>
        <v>9603.2999999999993</v>
      </c>
      <c r="Y341" s="7">
        <f ca="1">AVERAGE(E341:OFFSET(F341,-$Y$5+1,0))</f>
        <v>9615.85</v>
      </c>
      <c r="Z341" s="7">
        <f t="shared" ca="1" si="60"/>
        <v>0</v>
      </c>
    </row>
    <row r="342" spans="1:26">
      <c r="A342" s="3" t="s">
        <v>40</v>
      </c>
      <c r="B342" s="4">
        <v>42150</v>
      </c>
      <c r="C342" s="3">
        <v>9613</v>
      </c>
      <c r="D342" s="3">
        <v>9725</v>
      </c>
      <c r="E342" s="3">
        <v>9606</v>
      </c>
      <c r="F342" s="3">
        <v>9659</v>
      </c>
      <c r="G342" s="3">
        <v>113898</v>
      </c>
      <c r="H342" s="3">
        <v>1.355</v>
      </c>
      <c r="I342" s="2">
        <f t="shared" si="69"/>
        <v>0</v>
      </c>
      <c r="J342" s="10">
        <f t="shared" si="71"/>
        <v>-17</v>
      </c>
      <c r="K342" s="10">
        <f t="shared" si="70"/>
        <v>46</v>
      </c>
      <c r="L342" s="10">
        <f t="shared" ca="1" si="59"/>
        <v>0</v>
      </c>
      <c r="M342" s="10">
        <f t="shared" ca="1" si="61"/>
        <v>0</v>
      </c>
      <c r="N342" s="30">
        <f t="shared" ca="1" si="62"/>
        <v>0</v>
      </c>
      <c r="O342" s="10">
        <f t="shared" ca="1" si="63"/>
        <v>0</v>
      </c>
      <c r="P342" s="29">
        <f t="shared" ca="1" si="64"/>
        <v>0</v>
      </c>
      <c r="Q342" s="12">
        <f t="shared" ca="1" si="65"/>
        <v>-102200</v>
      </c>
      <c r="R342" s="10">
        <f t="shared" ca="1" si="66"/>
        <v>0</v>
      </c>
      <c r="S342" s="10">
        <f t="shared" ca="1" si="56"/>
        <v>-0.34133379420596688</v>
      </c>
      <c r="T342" s="14">
        <f t="shared" ca="1" si="57"/>
        <v>-0.21157380083519159</v>
      </c>
      <c r="U342" s="12">
        <f t="shared" ca="1" si="67"/>
        <v>7900</v>
      </c>
      <c r="V342" s="14">
        <f t="shared" ca="1" si="68"/>
        <v>-1393.6708860759493</v>
      </c>
      <c r="W342" s="12">
        <f t="shared" ca="1" si="58"/>
        <v>0</v>
      </c>
      <c r="X342" s="7">
        <f ca="1">AVERAGE(E342:OFFSET(F342,-$X$5+1,0))</f>
        <v>9599.4</v>
      </c>
      <c r="Y342" s="7">
        <f ca="1">AVERAGE(E342:OFFSET(F342,-$Y$5+1,0))</f>
        <v>9610.15</v>
      </c>
      <c r="Z342" s="7">
        <f t="shared" ca="1" si="60"/>
        <v>0</v>
      </c>
    </row>
    <row r="343" spans="1:26">
      <c r="A343" s="3" t="s">
        <v>40</v>
      </c>
      <c r="B343" s="4">
        <v>42151</v>
      </c>
      <c r="C343" s="3">
        <v>9607</v>
      </c>
      <c r="D343" s="3">
        <v>9698</v>
      </c>
      <c r="E343" s="3">
        <v>9601</v>
      </c>
      <c r="F343" s="3">
        <v>9661</v>
      </c>
      <c r="G343" s="3">
        <v>109490</v>
      </c>
      <c r="H343" s="3">
        <v>1.355</v>
      </c>
      <c r="I343" s="2">
        <f t="shared" si="69"/>
        <v>0</v>
      </c>
      <c r="J343" s="10">
        <f t="shared" si="71"/>
        <v>-52</v>
      </c>
      <c r="K343" s="10">
        <f t="shared" si="70"/>
        <v>54</v>
      </c>
      <c r="L343" s="10">
        <f t="shared" ca="1" si="59"/>
        <v>0</v>
      </c>
      <c r="M343" s="10">
        <f t="shared" ca="1" si="61"/>
        <v>0</v>
      </c>
      <c r="N343" s="30">
        <f t="shared" ca="1" si="62"/>
        <v>0</v>
      </c>
      <c r="O343" s="10">
        <f t="shared" ca="1" si="63"/>
        <v>0</v>
      </c>
      <c r="P343" s="29">
        <f t="shared" ca="1" si="64"/>
        <v>0</v>
      </c>
      <c r="Q343" s="12">
        <f t="shared" ca="1" si="65"/>
        <v>-102200</v>
      </c>
      <c r="R343" s="10">
        <f t="shared" ca="1" si="66"/>
        <v>0</v>
      </c>
      <c r="S343" s="10">
        <f t="shared" ca="1" si="56"/>
        <v>-0.34133379420596688</v>
      </c>
      <c r="T343" s="14">
        <f t="shared" ca="1" si="57"/>
        <v>-0.21157380083519159</v>
      </c>
      <c r="U343" s="12">
        <f t="shared" ca="1" si="67"/>
        <v>7900</v>
      </c>
      <c r="V343" s="14">
        <f t="shared" ca="1" si="68"/>
        <v>-1393.6708860759493</v>
      </c>
      <c r="W343" s="12">
        <f t="shared" ca="1" si="58"/>
        <v>0</v>
      </c>
      <c r="X343" s="7">
        <f ca="1">AVERAGE(E343:OFFSET(F343,-$X$5+1,0))</f>
        <v>9593.1</v>
      </c>
      <c r="Y343" s="7">
        <f ca="1">AVERAGE(E343:OFFSET(F343,-$Y$5+1,0))</f>
        <v>9601.4500000000007</v>
      </c>
      <c r="Z343" s="7">
        <f t="shared" ca="1" si="60"/>
        <v>0</v>
      </c>
    </row>
    <row r="344" spans="1:26">
      <c r="A344" s="3" t="s">
        <v>40</v>
      </c>
      <c r="B344" s="4">
        <v>42152</v>
      </c>
      <c r="C344" s="3">
        <v>9711</v>
      </c>
      <c r="D344" s="3">
        <v>9750</v>
      </c>
      <c r="E344" s="3">
        <v>9683</v>
      </c>
      <c r="F344" s="3">
        <v>9731</v>
      </c>
      <c r="G344" s="3">
        <v>113114</v>
      </c>
      <c r="H344" s="3">
        <v>1.355</v>
      </c>
      <c r="I344" s="2">
        <f t="shared" si="69"/>
        <v>0</v>
      </c>
      <c r="J344" s="10">
        <f t="shared" si="71"/>
        <v>50</v>
      </c>
      <c r="K344" s="10">
        <f t="shared" si="70"/>
        <v>20</v>
      </c>
      <c r="L344" s="10">
        <f t="shared" ca="1" si="59"/>
        <v>1</v>
      </c>
      <c r="M344" s="10">
        <f t="shared" ca="1" si="61"/>
        <v>0</v>
      </c>
      <c r="N344" s="30">
        <f t="shared" ca="1" si="62"/>
        <v>0</v>
      </c>
      <c r="O344" s="10">
        <f t="shared" ca="1" si="63"/>
        <v>0</v>
      </c>
      <c r="P344" s="29">
        <f t="shared" ca="1" si="64"/>
        <v>0</v>
      </c>
      <c r="Q344" s="12">
        <f t="shared" ca="1" si="65"/>
        <v>-102200</v>
      </c>
      <c r="R344" s="10">
        <f t="shared" ca="1" si="66"/>
        <v>0</v>
      </c>
      <c r="S344" s="10">
        <f t="shared" ca="1" si="56"/>
        <v>-0.34133379420596688</v>
      </c>
      <c r="T344" s="14">
        <f t="shared" ca="1" si="57"/>
        <v>-0.21157380083519159</v>
      </c>
      <c r="U344" s="12">
        <f t="shared" ca="1" si="67"/>
        <v>7900</v>
      </c>
      <c r="V344" s="14">
        <f t="shared" ca="1" si="68"/>
        <v>-1393.6708860759493</v>
      </c>
      <c r="W344" s="12">
        <f t="shared" ca="1" si="58"/>
        <v>0</v>
      </c>
      <c r="X344" s="7">
        <f ca="1">AVERAGE(E344:OFFSET(F344,-$X$5+1,0))</f>
        <v>9629.2000000000007</v>
      </c>
      <c r="Y344" s="7">
        <f ca="1">AVERAGE(E344:OFFSET(F344,-$Y$5+1,0))</f>
        <v>9612</v>
      </c>
      <c r="Z344" s="7">
        <f t="shared" ca="1" si="60"/>
        <v>1</v>
      </c>
    </row>
    <row r="345" spans="1:26">
      <c r="A345" s="3" t="s">
        <v>40</v>
      </c>
      <c r="B345" s="4">
        <v>42153</v>
      </c>
      <c r="C345" s="3">
        <v>9741</v>
      </c>
      <c r="D345" s="3">
        <v>9765</v>
      </c>
      <c r="E345" s="3">
        <v>9688</v>
      </c>
      <c r="F345" s="3">
        <v>9703</v>
      </c>
      <c r="G345" s="3">
        <v>105530</v>
      </c>
      <c r="H345" s="3">
        <v>1.355</v>
      </c>
      <c r="I345" s="2">
        <f t="shared" si="69"/>
        <v>0</v>
      </c>
      <c r="J345" s="10">
        <f t="shared" si="71"/>
        <v>10</v>
      </c>
      <c r="K345" s="10">
        <f t="shared" si="70"/>
        <v>-38</v>
      </c>
      <c r="L345" s="10">
        <f t="shared" ca="1" si="59"/>
        <v>0</v>
      </c>
      <c r="M345" s="10">
        <f t="shared" ca="1" si="61"/>
        <v>1</v>
      </c>
      <c r="N345" s="30">
        <f t="shared" ca="1" si="62"/>
        <v>1948200</v>
      </c>
      <c r="O345" s="10">
        <f t="shared" ca="1" si="63"/>
        <v>1948200</v>
      </c>
      <c r="P345" s="29">
        <f t="shared" ca="1" si="64"/>
        <v>-8100</v>
      </c>
      <c r="Q345" s="12">
        <f t="shared" ca="1" si="65"/>
        <v>-110300</v>
      </c>
      <c r="R345" s="10">
        <f t="shared" ca="1" si="66"/>
        <v>-0.41576840160147827</v>
      </c>
      <c r="S345" s="10">
        <f t="shared" ca="1" si="56"/>
        <v>-0.34842013702244939</v>
      </c>
      <c r="T345" s="14">
        <f t="shared" ca="1" si="57"/>
        <v>-0.21222882991367917</v>
      </c>
      <c r="U345" s="12">
        <f t="shared" ca="1" si="67"/>
        <v>7900</v>
      </c>
      <c r="V345" s="14">
        <f t="shared" ca="1" si="68"/>
        <v>-1496.2025316455697</v>
      </c>
      <c r="W345" s="12">
        <f t="shared" ca="1" si="58"/>
        <v>0</v>
      </c>
      <c r="X345" s="7">
        <f ca="1">AVERAGE(E345:OFFSET(F345,-$X$5+1,0))</f>
        <v>9651.2000000000007</v>
      </c>
      <c r="Y345" s="7">
        <f ca="1">AVERAGE(E345:OFFSET(F345,-$Y$5+1,0))</f>
        <v>9625.75</v>
      </c>
      <c r="Z345" s="7">
        <f t="shared" ca="1" si="60"/>
        <v>0</v>
      </c>
    </row>
    <row r="346" spans="1:26">
      <c r="A346" s="3" t="s">
        <v>40</v>
      </c>
      <c r="B346" s="4">
        <v>42156</v>
      </c>
      <c r="C346" s="3">
        <v>9668</v>
      </c>
      <c r="D346" s="3">
        <v>9713</v>
      </c>
      <c r="E346" s="3">
        <v>9601</v>
      </c>
      <c r="F346" s="3">
        <v>9630</v>
      </c>
      <c r="G346" s="3">
        <v>117845</v>
      </c>
      <c r="H346" s="3">
        <v>1.355</v>
      </c>
      <c r="I346" s="2">
        <f t="shared" si="69"/>
        <v>0</v>
      </c>
      <c r="J346" s="10">
        <f t="shared" si="71"/>
        <v>-35</v>
      </c>
      <c r="K346" s="10">
        <f t="shared" si="70"/>
        <v>-38</v>
      </c>
      <c r="L346" s="10">
        <f t="shared" ca="1" si="59"/>
        <v>0</v>
      </c>
      <c r="M346" s="10">
        <f t="shared" ca="1" si="61"/>
        <v>1</v>
      </c>
      <c r="N346" s="30">
        <f t="shared" ca="1" si="62"/>
        <v>0</v>
      </c>
      <c r="O346" s="10">
        <f t="shared" ca="1" si="63"/>
        <v>1948200</v>
      </c>
      <c r="P346" s="29">
        <f t="shared" ca="1" si="64"/>
        <v>-14600</v>
      </c>
      <c r="Q346" s="12">
        <f t="shared" ca="1" si="65"/>
        <v>-124900</v>
      </c>
      <c r="R346" s="10">
        <f t="shared" ca="1" si="66"/>
        <v>-0.74940971152859048</v>
      </c>
      <c r="S346" s="10">
        <f t="shared" ca="1" si="56"/>
        <v>-0.41976563492606456</v>
      </c>
      <c r="T346" s="14">
        <f t="shared" ca="1" si="57"/>
        <v>-0.22031525464714627</v>
      </c>
      <c r="U346" s="12">
        <f t="shared" ca="1" si="67"/>
        <v>7900</v>
      </c>
      <c r="V346" s="14">
        <f t="shared" ca="1" si="68"/>
        <v>-1681.0126582278481</v>
      </c>
      <c r="W346" s="12">
        <f t="shared" ca="1" si="58"/>
        <v>0</v>
      </c>
      <c r="X346" s="7">
        <f ca="1">AVERAGE(E346:OFFSET(F346,-$X$5+1,0))</f>
        <v>9656.2999999999993</v>
      </c>
      <c r="Y346" s="7">
        <f ca="1">AVERAGE(E346:OFFSET(F346,-$Y$5+1,0))</f>
        <v>9629.7999999999993</v>
      </c>
      <c r="Z346" s="7">
        <f t="shared" ca="1" si="60"/>
        <v>0</v>
      </c>
    </row>
    <row r="347" spans="1:26">
      <c r="A347" s="3" t="s">
        <v>40</v>
      </c>
      <c r="B347" s="4">
        <v>42157</v>
      </c>
      <c r="C347" s="3">
        <v>9586</v>
      </c>
      <c r="D347" s="3">
        <v>9639</v>
      </c>
      <c r="E347" s="3">
        <v>9565</v>
      </c>
      <c r="F347" s="3">
        <v>9607</v>
      </c>
      <c r="G347" s="3">
        <v>103681</v>
      </c>
      <c r="H347" s="3">
        <v>1.355</v>
      </c>
      <c r="I347" s="2">
        <f t="shared" si="69"/>
        <v>0</v>
      </c>
      <c r="J347" s="10">
        <f t="shared" si="71"/>
        <v>-44</v>
      </c>
      <c r="K347" s="10">
        <f t="shared" si="70"/>
        <v>21</v>
      </c>
      <c r="L347" s="10">
        <f t="shared" ca="1" si="59"/>
        <v>0</v>
      </c>
      <c r="M347" s="10">
        <f t="shared" ca="1" si="61"/>
        <v>1</v>
      </c>
      <c r="N347" s="30">
        <f t="shared" ca="1" si="62"/>
        <v>0</v>
      </c>
      <c r="O347" s="10">
        <f t="shared" ca="1" si="63"/>
        <v>1948200</v>
      </c>
      <c r="P347" s="29">
        <f t="shared" ca="1" si="64"/>
        <v>-4600</v>
      </c>
      <c r="Q347" s="12">
        <f t="shared" ca="1" si="65"/>
        <v>-129500</v>
      </c>
      <c r="R347" s="10">
        <f t="shared" ca="1" si="66"/>
        <v>-0.23611538856380249</v>
      </c>
      <c r="S347" s="10">
        <f t="shared" ca="1" si="56"/>
        <v>-0.44224435344364194</v>
      </c>
      <c r="T347" s="14">
        <f t="shared" ca="1" si="57"/>
        <v>-0.22609006941296592</v>
      </c>
      <c r="U347" s="12">
        <f t="shared" ca="1" si="67"/>
        <v>7900</v>
      </c>
      <c r="V347" s="14">
        <f t="shared" ca="1" si="68"/>
        <v>-1739.2405063291139</v>
      </c>
      <c r="W347" s="12">
        <f t="shared" ca="1" si="58"/>
        <v>0</v>
      </c>
      <c r="X347" s="7">
        <f ca="1">AVERAGE(E347:OFFSET(F347,-$X$5+1,0))</f>
        <v>9647</v>
      </c>
      <c r="Y347" s="7">
        <f ca="1">AVERAGE(E347:OFFSET(F347,-$Y$5+1,0))</f>
        <v>9623.2000000000007</v>
      </c>
      <c r="Z347" s="7">
        <f t="shared" ca="1" si="60"/>
        <v>0</v>
      </c>
    </row>
    <row r="348" spans="1:26">
      <c r="A348" s="3" t="s">
        <v>40</v>
      </c>
      <c r="B348" s="4">
        <v>42158</v>
      </c>
      <c r="C348" s="3">
        <v>9640</v>
      </c>
      <c r="D348" s="3">
        <v>9648</v>
      </c>
      <c r="E348" s="3">
        <v>9535</v>
      </c>
      <c r="F348" s="3">
        <v>9547</v>
      </c>
      <c r="G348" s="3">
        <v>124180</v>
      </c>
      <c r="H348" s="3">
        <v>1.355</v>
      </c>
      <c r="I348" s="2">
        <f t="shared" si="69"/>
        <v>0</v>
      </c>
      <c r="J348" s="10">
        <f t="shared" si="71"/>
        <v>33</v>
      </c>
      <c r="K348" s="10">
        <f t="shared" si="70"/>
        <v>-93</v>
      </c>
      <c r="L348" s="10">
        <f t="shared" ca="1" si="59"/>
        <v>0</v>
      </c>
      <c r="M348" s="10">
        <f t="shared" ca="1" si="61"/>
        <v>1</v>
      </c>
      <c r="N348" s="30">
        <f t="shared" ca="1" si="62"/>
        <v>0</v>
      </c>
      <c r="O348" s="10">
        <f t="shared" ca="1" si="63"/>
        <v>1948200</v>
      </c>
      <c r="P348" s="29">
        <f t="shared" ca="1" si="64"/>
        <v>-12000</v>
      </c>
      <c r="Q348" s="12">
        <f t="shared" ca="1" si="65"/>
        <v>-141500</v>
      </c>
      <c r="R348" s="10">
        <f t="shared" ca="1" si="66"/>
        <v>-0.61595318755774564</v>
      </c>
      <c r="S348" s="10">
        <f t="shared" ca="1" si="56"/>
        <v>-0.50088448870688729</v>
      </c>
      <c r="T348" s="14">
        <f t="shared" ca="1" si="57"/>
        <v>-0.23296495712089083</v>
      </c>
      <c r="U348" s="12">
        <f t="shared" ca="1" si="67"/>
        <v>7900</v>
      </c>
      <c r="V348" s="14">
        <f t="shared" ca="1" si="68"/>
        <v>-1891.1392405063291</v>
      </c>
      <c r="W348" s="12">
        <f t="shared" ca="1" si="58"/>
        <v>0</v>
      </c>
      <c r="X348" s="7">
        <f ca="1">AVERAGE(E348:OFFSET(F348,-$X$5+1,0))</f>
        <v>9629</v>
      </c>
      <c r="Y348" s="7">
        <f ca="1">AVERAGE(E348:OFFSET(F348,-$Y$5+1,0))</f>
        <v>9611.0499999999993</v>
      </c>
      <c r="Z348" s="7">
        <f t="shared" ca="1" si="60"/>
        <v>0</v>
      </c>
    </row>
    <row r="349" spans="1:26">
      <c r="A349" s="3" t="s">
        <v>40</v>
      </c>
      <c r="B349" s="4">
        <v>42159</v>
      </c>
      <c r="C349" s="3">
        <v>9531</v>
      </c>
      <c r="D349" s="3">
        <v>9553</v>
      </c>
      <c r="E349" s="3">
        <v>9301</v>
      </c>
      <c r="F349" s="3">
        <v>9310</v>
      </c>
      <c r="G349" s="3">
        <v>202135</v>
      </c>
      <c r="H349" s="3">
        <v>1.355</v>
      </c>
      <c r="I349" s="2">
        <f t="shared" si="69"/>
        <v>0</v>
      </c>
      <c r="J349" s="10">
        <f t="shared" si="71"/>
        <v>-16</v>
      </c>
      <c r="K349" s="10">
        <f t="shared" si="70"/>
        <v>-221</v>
      </c>
      <c r="L349" s="10">
        <f t="shared" ca="1" si="59"/>
        <v>-1</v>
      </c>
      <c r="M349" s="10">
        <f t="shared" ca="1" si="61"/>
        <v>1</v>
      </c>
      <c r="N349" s="30">
        <f t="shared" ca="1" si="62"/>
        <v>0</v>
      </c>
      <c r="O349" s="10">
        <f t="shared" ca="1" si="63"/>
        <v>1948200</v>
      </c>
      <c r="P349" s="29">
        <f t="shared" ca="1" si="64"/>
        <v>-47400</v>
      </c>
      <c r="Q349" s="12">
        <f t="shared" ca="1" si="65"/>
        <v>-188900</v>
      </c>
      <c r="R349" s="10">
        <f t="shared" ca="1" si="66"/>
        <v>-2.433015090853095</v>
      </c>
      <c r="S349" s="10">
        <f t="shared" ca="1" si="56"/>
        <v>-0.7325130229967064</v>
      </c>
      <c r="T349" s="14">
        <f t="shared" ca="1" si="57"/>
        <v>-0.25355058790821039</v>
      </c>
      <c r="U349" s="12">
        <f t="shared" ca="1" si="67"/>
        <v>7900</v>
      </c>
      <c r="V349" s="14">
        <f t="shared" ca="1" si="68"/>
        <v>-2491.1392405063293</v>
      </c>
      <c r="W349" s="12">
        <f t="shared" ca="1" si="58"/>
        <v>0</v>
      </c>
      <c r="X349" s="7">
        <f ca="1">AVERAGE(E349:OFFSET(F349,-$X$5+1,0))</f>
        <v>9548.7000000000007</v>
      </c>
      <c r="Y349" s="7">
        <f ca="1">AVERAGE(E349:OFFSET(F349,-$Y$5+1,0))</f>
        <v>9588.9500000000007</v>
      </c>
      <c r="Z349" s="7">
        <f t="shared" ca="1" si="60"/>
        <v>-1</v>
      </c>
    </row>
    <row r="350" spans="1:26">
      <c r="A350" s="3" t="s">
        <v>40</v>
      </c>
      <c r="B350" s="4">
        <v>42160</v>
      </c>
      <c r="C350" s="3">
        <v>9324</v>
      </c>
      <c r="D350" s="3">
        <v>9347</v>
      </c>
      <c r="E350" s="3">
        <v>9269</v>
      </c>
      <c r="F350" s="3">
        <v>9308</v>
      </c>
      <c r="G350" s="3">
        <v>125037</v>
      </c>
      <c r="H350" s="3">
        <v>1.355</v>
      </c>
      <c r="I350" s="2">
        <f t="shared" si="69"/>
        <v>0</v>
      </c>
      <c r="J350" s="10">
        <f t="shared" si="71"/>
        <v>14</v>
      </c>
      <c r="K350" s="10">
        <f t="shared" si="70"/>
        <v>-16</v>
      </c>
      <c r="L350" s="10">
        <f t="shared" ca="1" si="59"/>
        <v>0</v>
      </c>
      <c r="M350" s="10">
        <f t="shared" ca="1" si="61"/>
        <v>0</v>
      </c>
      <c r="N350" s="30">
        <f t="shared" ca="1" si="62"/>
        <v>0</v>
      </c>
      <c r="O350" s="10">
        <f t="shared" ca="1" si="63"/>
        <v>0</v>
      </c>
      <c r="P350" s="29">
        <f t="shared" ca="1" si="64"/>
        <v>2300</v>
      </c>
      <c r="Q350" s="12">
        <f t="shared" ca="1" si="65"/>
        <v>-186600</v>
      </c>
      <c r="R350" s="10">
        <f t="shared" ca="1" si="66"/>
        <v>0.11805769428190124</v>
      </c>
      <c r="S350" s="10">
        <f t="shared" ca="1" si="56"/>
        <v>-0.72127366373791768</v>
      </c>
      <c r="T350" s="14">
        <f t="shared" ca="1" si="57"/>
        <v>-0.2535709557277408</v>
      </c>
      <c r="U350" s="12">
        <f t="shared" ca="1" si="67"/>
        <v>7900</v>
      </c>
      <c r="V350" s="14">
        <f t="shared" ca="1" si="68"/>
        <v>-2462.0253164556962</v>
      </c>
      <c r="W350" s="12">
        <f t="shared" ca="1" si="58"/>
        <v>0</v>
      </c>
      <c r="X350" s="7">
        <f ca="1">AVERAGE(E350:OFFSET(F350,-$X$5+1,0))</f>
        <v>9467.2999999999993</v>
      </c>
      <c r="Y350" s="7">
        <f ca="1">AVERAGE(E350:OFFSET(F350,-$Y$5+1,0))</f>
        <v>9559.25</v>
      </c>
      <c r="Z350" s="7">
        <f t="shared" ca="1" si="60"/>
        <v>0</v>
      </c>
    </row>
    <row r="351" spans="1:26">
      <c r="A351" s="3" t="s">
        <v>40</v>
      </c>
      <c r="B351" s="4">
        <v>42163</v>
      </c>
      <c r="C351" s="3">
        <v>9312</v>
      </c>
      <c r="D351" s="3">
        <v>9404</v>
      </c>
      <c r="E351" s="3">
        <v>9235</v>
      </c>
      <c r="F351" s="3">
        <v>9348</v>
      </c>
      <c r="G351" s="3">
        <v>134575</v>
      </c>
      <c r="H351" s="3">
        <v>1.355</v>
      </c>
      <c r="I351" s="2">
        <f t="shared" si="69"/>
        <v>0</v>
      </c>
      <c r="J351" s="10">
        <f t="shared" si="71"/>
        <v>4</v>
      </c>
      <c r="K351" s="10">
        <f t="shared" si="70"/>
        <v>36</v>
      </c>
      <c r="L351" s="10">
        <f t="shared" ca="1" si="59"/>
        <v>0</v>
      </c>
      <c r="M351" s="10">
        <f t="shared" ca="1" si="61"/>
        <v>0</v>
      </c>
      <c r="N351" s="30">
        <f t="shared" ca="1" si="62"/>
        <v>0</v>
      </c>
      <c r="O351" s="10">
        <f t="shared" ca="1" si="63"/>
        <v>0</v>
      </c>
      <c r="P351" s="29">
        <f t="shared" ca="1" si="64"/>
        <v>0</v>
      </c>
      <c r="Q351" s="12">
        <f t="shared" ca="1" si="65"/>
        <v>-186600</v>
      </c>
      <c r="R351" s="10">
        <f t="shared" ca="1" si="66"/>
        <v>0</v>
      </c>
      <c r="S351" s="10">
        <f t="shared" ca="1" si="56"/>
        <v>-0.72127366373791768</v>
      </c>
      <c r="T351" s="14">
        <f t="shared" ca="1" si="57"/>
        <v>-0.25363115771116396</v>
      </c>
      <c r="U351" s="12">
        <f t="shared" ca="1" si="67"/>
        <v>7900</v>
      </c>
      <c r="V351" s="14">
        <f t="shared" ca="1" si="68"/>
        <v>-2462.0253164556962</v>
      </c>
      <c r="W351" s="12">
        <f t="shared" ca="1" si="58"/>
        <v>0</v>
      </c>
      <c r="X351" s="7">
        <f ca="1">AVERAGE(E351:OFFSET(F351,-$X$5+1,0))</f>
        <v>9402.5</v>
      </c>
      <c r="Y351" s="7">
        <f ca="1">AVERAGE(E351:OFFSET(F351,-$Y$5+1,0))</f>
        <v>9529.4</v>
      </c>
      <c r="Z351" s="7">
        <f t="shared" ca="1" si="60"/>
        <v>0</v>
      </c>
    </row>
    <row r="352" spans="1:26">
      <c r="A352" s="3" t="s">
        <v>40</v>
      </c>
      <c r="B352" s="4">
        <v>42164</v>
      </c>
      <c r="C352" s="3">
        <v>9303</v>
      </c>
      <c r="D352" s="3">
        <v>9346</v>
      </c>
      <c r="E352" s="3">
        <v>9201</v>
      </c>
      <c r="F352" s="3">
        <v>9237</v>
      </c>
      <c r="G352" s="3">
        <v>142752</v>
      </c>
      <c r="H352" s="3">
        <v>1.355</v>
      </c>
      <c r="I352" s="2">
        <f t="shared" si="69"/>
        <v>0</v>
      </c>
      <c r="J352" s="10">
        <f t="shared" si="71"/>
        <v>-45</v>
      </c>
      <c r="K352" s="10">
        <f t="shared" si="70"/>
        <v>-66</v>
      </c>
      <c r="L352" s="10">
        <f t="shared" ca="1" si="59"/>
        <v>0</v>
      </c>
      <c r="M352" s="10">
        <f t="shared" ca="1" si="61"/>
        <v>0</v>
      </c>
      <c r="N352" s="30">
        <f t="shared" ca="1" si="62"/>
        <v>0</v>
      </c>
      <c r="O352" s="10">
        <f t="shared" ca="1" si="63"/>
        <v>0</v>
      </c>
      <c r="P352" s="29">
        <f t="shared" ca="1" si="64"/>
        <v>0</v>
      </c>
      <c r="Q352" s="12">
        <f t="shared" ca="1" si="65"/>
        <v>-186600</v>
      </c>
      <c r="R352" s="10">
        <f t="shared" ca="1" si="66"/>
        <v>0</v>
      </c>
      <c r="S352" s="10">
        <f t="shared" ca="1" si="56"/>
        <v>-0.72127366373791768</v>
      </c>
      <c r="T352" s="14">
        <f t="shared" ca="1" si="57"/>
        <v>-0.25431849679782287</v>
      </c>
      <c r="U352" s="12">
        <f t="shared" ca="1" si="67"/>
        <v>7900</v>
      </c>
      <c r="V352" s="14">
        <f t="shared" ca="1" si="68"/>
        <v>-2462.0253164556962</v>
      </c>
      <c r="W352" s="12">
        <f t="shared" ca="1" si="58"/>
        <v>0</v>
      </c>
      <c r="X352" s="7">
        <f ca="1">AVERAGE(E352:OFFSET(F352,-$X$5+1,0))</f>
        <v>9329.1</v>
      </c>
      <c r="Y352" s="7">
        <f ca="1">AVERAGE(E352:OFFSET(F352,-$Y$5+1,0))</f>
        <v>9488.0499999999993</v>
      </c>
      <c r="Z352" s="7">
        <f t="shared" ca="1" si="60"/>
        <v>0</v>
      </c>
    </row>
    <row r="353" spans="1:26">
      <c r="A353" s="3" t="s">
        <v>40</v>
      </c>
      <c r="B353" s="4">
        <v>42165</v>
      </c>
      <c r="C353" s="3">
        <v>9256</v>
      </c>
      <c r="D353" s="3">
        <v>9328</v>
      </c>
      <c r="E353" s="3">
        <v>9252</v>
      </c>
      <c r="F353" s="3">
        <v>9284</v>
      </c>
      <c r="G353" s="3">
        <v>122486</v>
      </c>
      <c r="H353" s="3">
        <v>1.355</v>
      </c>
      <c r="I353" s="2">
        <f t="shared" si="69"/>
        <v>0</v>
      </c>
      <c r="J353" s="10">
        <f t="shared" si="71"/>
        <v>19</v>
      </c>
      <c r="K353" s="10">
        <f t="shared" si="70"/>
        <v>28</v>
      </c>
      <c r="L353" s="10">
        <f t="shared" ca="1" si="59"/>
        <v>0</v>
      </c>
      <c r="M353" s="10">
        <f t="shared" ca="1" si="61"/>
        <v>0</v>
      </c>
      <c r="N353" s="30">
        <f t="shared" ca="1" si="62"/>
        <v>0</v>
      </c>
      <c r="O353" s="10">
        <f t="shared" ca="1" si="63"/>
        <v>0</v>
      </c>
      <c r="P353" s="29">
        <f t="shared" ca="1" si="64"/>
        <v>0</v>
      </c>
      <c r="Q353" s="12">
        <f t="shared" ca="1" si="65"/>
        <v>-186600</v>
      </c>
      <c r="R353" s="10">
        <f t="shared" ca="1" si="66"/>
        <v>0</v>
      </c>
      <c r="S353" s="10">
        <f t="shared" ca="1" si="56"/>
        <v>-0.72127366373791768</v>
      </c>
      <c r="T353" s="14">
        <f t="shared" ca="1" si="57"/>
        <v>-0.25482688812169613</v>
      </c>
      <c r="U353" s="12">
        <f t="shared" ca="1" si="67"/>
        <v>7900</v>
      </c>
      <c r="V353" s="14">
        <f t="shared" ca="1" si="68"/>
        <v>-2462.0253164556962</v>
      </c>
      <c r="W353" s="12">
        <f t="shared" ca="1" si="58"/>
        <v>0</v>
      </c>
      <c r="X353" s="7">
        <f ca="1">AVERAGE(E353:OFFSET(F353,-$X$5+1,0))</f>
        <v>9274.5</v>
      </c>
      <c r="Y353" s="7">
        <f ca="1">AVERAGE(E353:OFFSET(F353,-$Y$5+1,0))</f>
        <v>9451.75</v>
      </c>
      <c r="Z353" s="7">
        <f t="shared" ca="1" si="60"/>
        <v>0</v>
      </c>
    </row>
    <row r="354" spans="1:26">
      <c r="A354" s="3" t="s">
        <v>40</v>
      </c>
      <c r="B354" s="4">
        <v>42166</v>
      </c>
      <c r="C354" s="3">
        <v>9328</v>
      </c>
      <c r="D354" s="3">
        <v>9333</v>
      </c>
      <c r="E354" s="3">
        <v>9224</v>
      </c>
      <c r="F354" s="3">
        <v>9288</v>
      </c>
      <c r="G354" s="3">
        <v>119493</v>
      </c>
      <c r="H354" s="3">
        <v>1.355</v>
      </c>
      <c r="I354" s="2">
        <f t="shared" si="69"/>
        <v>0</v>
      </c>
      <c r="J354" s="10">
        <f t="shared" si="71"/>
        <v>44</v>
      </c>
      <c r="K354" s="10">
        <f t="shared" si="70"/>
        <v>-40</v>
      </c>
      <c r="L354" s="10">
        <f t="shared" ca="1" si="59"/>
        <v>0</v>
      </c>
      <c r="M354" s="10">
        <f t="shared" ca="1" si="61"/>
        <v>0</v>
      </c>
      <c r="N354" s="30">
        <f t="shared" ca="1" si="62"/>
        <v>0</v>
      </c>
      <c r="O354" s="10">
        <f t="shared" ca="1" si="63"/>
        <v>0</v>
      </c>
      <c r="P354" s="29">
        <f t="shared" ca="1" si="64"/>
        <v>0</v>
      </c>
      <c r="Q354" s="12">
        <f t="shared" ca="1" si="65"/>
        <v>-186600</v>
      </c>
      <c r="R354" s="10">
        <f t="shared" ca="1" si="66"/>
        <v>0</v>
      </c>
      <c r="S354" s="10">
        <f t="shared" ca="1" si="56"/>
        <v>-0.72127366373791768</v>
      </c>
      <c r="T354" s="14">
        <f t="shared" ca="1" si="57"/>
        <v>-0.25516088169264201</v>
      </c>
      <c r="U354" s="12">
        <f t="shared" ca="1" si="67"/>
        <v>7900</v>
      </c>
      <c r="V354" s="14">
        <f t="shared" ca="1" si="68"/>
        <v>-2462.0253164556962</v>
      </c>
      <c r="W354" s="12">
        <f t="shared" ca="1" si="58"/>
        <v>0</v>
      </c>
      <c r="X354" s="7">
        <f ca="1">AVERAGE(E354:OFFSET(F354,-$X$5+1,0))</f>
        <v>9264.6</v>
      </c>
      <c r="Y354" s="7">
        <f ca="1">AVERAGE(E354:OFFSET(F354,-$Y$5+1,0))</f>
        <v>9406.65</v>
      </c>
      <c r="Z354" s="7">
        <f t="shared" ca="1" si="60"/>
        <v>0</v>
      </c>
    </row>
    <row r="355" spans="1:26">
      <c r="A355" s="3" t="s">
        <v>40</v>
      </c>
      <c r="B355" s="4">
        <v>42167</v>
      </c>
      <c r="C355" s="3">
        <v>9272</v>
      </c>
      <c r="D355" s="3">
        <v>9314</v>
      </c>
      <c r="E355" s="3">
        <v>9230</v>
      </c>
      <c r="F355" s="3">
        <v>9267</v>
      </c>
      <c r="G355" s="3">
        <v>106398</v>
      </c>
      <c r="H355" s="3">
        <v>1.355</v>
      </c>
      <c r="I355" s="2">
        <f t="shared" si="69"/>
        <v>0</v>
      </c>
      <c r="J355" s="10">
        <f t="shared" si="71"/>
        <v>-16</v>
      </c>
      <c r="K355" s="10">
        <f t="shared" si="70"/>
        <v>-5</v>
      </c>
      <c r="L355" s="10">
        <f t="shared" ca="1" si="59"/>
        <v>0</v>
      </c>
      <c r="M355" s="10">
        <f t="shared" ca="1" si="61"/>
        <v>0</v>
      </c>
      <c r="N355" s="30">
        <f t="shared" ca="1" si="62"/>
        <v>0</v>
      </c>
      <c r="O355" s="10">
        <f t="shared" ca="1" si="63"/>
        <v>0</v>
      </c>
      <c r="P355" s="29">
        <f t="shared" ca="1" si="64"/>
        <v>0</v>
      </c>
      <c r="Q355" s="12">
        <f t="shared" ca="1" si="65"/>
        <v>-186600</v>
      </c>
      <c r="R355" s="10">
        <f t="shared" ca="1" si="66"/>
        <v>0</v>
      </c>
      <c r="S355" s="10">
        <f t="shared" ca="1" si="56"/>
        <v>-0.72127366373791768</v>
      </c>
      <c r="T355" s="14">
        <f t="shared" ca="1" si="57"/>
        <v>-0.25517082879423669</v>
      </c>
      <c r="U355" s="12">
        <f t="shared" ca="1" si="67"/>
        <v>7900</v>
      </c>
      <c r="V355" s="14">
        <f t="shared" ca="1" si="68"/>
        <v>-2462.0253164556962</v>
      </c>
      <c r="W355" s="12">
        <f t="shared" ca="1" si="58"/>
        <v>0</v>
      </c>
      <c r="X355" s="7">
        <f ca="1">AVERAGE(E355:OFFSET(F355,-$X$5+1,0))</f>
        <v>9256.6</v>
      </c>
      <c r="Y355" s="7">
        <f ca="1">AVERAGE(E355:OFFSET(F355,-$Y$5+1,0))</f>
        <v>9361.9500000000007</v>
      </c>
      <c r="Z355" s="7">
        <f t="shared" ca="1" si="60"/>
        <v>0</v>
      </c>
    </row>
    <row r="356" spans="1:26">
      <c r="A356" s="3" t="s">
        <v>40</v>
      </c>
      <c r="B356" s="4">
        <v>42170</v>
      </c>
      <c r="C356" s="3">
        <v>9272</v>
      </c>
      <c r="D356" s="3">
        <v>9318</v>
      </c>
      <c r="E356" s="3">
        <v>9220</v>
      </c>
      <c r="F356" s="3">
        <v>9244</v>
      </c>
      <c r="G356" s="3">
        <v>119565</v>
      </c>
      <c r="H356" s="3">
        <v>1.355</v>
      </c>
      <c r="I356" s="2">
        <f t="shared" si="69"/>
        <v>0</v>
      </c>
      <c r="J356" s="10">
        <f t="shared" si="71"/>
        <v>5</v>
      </c>
      <c r="K356" s="10">
        <f t="shared" si="70"/>
        <v>-28</v>
      </c>
      <c r="L356" s="10">
        <f t="shared" ca="1" si="59"/>
        <v>0</v>
      </c>
      <c r="M356" s="10">
        <f t="shared" ca="1" si="61"/>
        <v>0</v>
      </c>
      <c r="N356" s="30">
        <f t="shared" ca="1" si="62"/>
        <v>0</v>
      </c>
      <c r="O356" s="10">
        <f t="shared" ca="1" si="63"/>
        <v>0</v>
      </c>
      <c r="P356" s="29">
        <f t="shared" ca="1" si="64"/>
        <v>0</v>
      </c>
      <c r="Q356" s="12">
        <f t="shared" ca="1" si="65"/>
        <v>-186600</v>
      </c>
      <c r="R356" s="10">
        <f t="shared" ca="1" si="66"/>
        <v>0</v>
      </c>
      <c r="S356" s="10">
        <f t="shared" ca="1" si="56"/>
        <v>-0.72127366373791768</v>
      </c>
      <c r="T356" s="14">
        <f t="shared" ca="1" si="57"/>
        <v>-0.25517082879423669</v>
      </c>
      <c r="U356" s="12">
        <f t="shared" ca="1" si="67"/>
        <v>7900</v>
      </c>
      <c r="V356" s="14">
        <f t="shared" ca="1" si="68"/>
        <v>-2462.0253164556962</v>
      </c>
      <c r="W356" s="12">
        <f t="shared" ca="1" si="58"/>
        <v>0</v>
      </c>
      <c r="X356" s="7">
        <f ca="1">AVERAGE(E356:OFFSET(F356,-$X$5+1,0))</f>
        <v>9244.7000000000007</v>
      </c>
      <c r="Y356" s="7">
        <f ca="1">AVERAGE(E356:OFFSET(F356,-$Y$5+1,0))</f>
        <v>9323.6</v>
      </c>
      <c r="Z356" s="7">
        <f t="shared" ca="1" si="60"/>
        <v>0</v>
      </c>
    </row>
    <row r="357" spans="1:26">
      <c r="A357" s="3" t="s">
        <v>40</v>
      </c>
      <c r="B357" s="4">
        <v>42171</v>
      </c>
      <c r="C357" s="3">
        <v>9244</v>
      </c>
      <c r="D357" s="3">
        <v>9258</v>
      </c>
      <c r="E357" s="3">
        <v>9164</v>
      </c>
      <c r="F357" s="3">
        <v>9215</v>
      </c>
      <c r="G357" s="3">
        <v>119914</v>
      </c>
      <c r="H357" s="3">
        <v>1.355</v>
      </c>
      <c r="I357" s="2">
        <f t="shared" si="69"/>
        <v>0</v>
      </c>
      <c r="J357" s="10">
        <f t="shared" si="71"/>
        <v>0</v>
      </c>
      <c r="K357" s="10">
        <f t="shared" si="70"/>
        <v>-29</v>
      </c>
      <c r="L357" s="10">
        <f t="shared" ca="1" si="59"/>
        <v>0</v>
      </c>
      <c r="M357" s="10">
        <f t="shared" ca="1" si="61"/>
        <v>0</v>
      </c>
      <c r="N357" s="30">
        <f t="shared" ca="1" si="62"/>
        <v>0</v>
      </c>
      <c r="O357" s="10">
        <f t="shared" ca="1" si="63"/>
        <v>0</v>
      </c>
      <c r="P357" s="29">
        <f t="shared" ca="1" si="64"/>
        <v>0</v>
      </c>
      <c r="Q357" s="12">
        <f t="shared" ca="1" si="65"/>
        <v>-186600</v>
      </c>
      <c r="R357" s="10">
        <f t="shared" ca="1" si="66"/>
        <v>0</v>
      </c>
      <c r="S357" s="10">
        <f t="shared" ca="1" si="56"/>
        <v>-0.70807963330368751</v>
      </c>
      <c r="T357" s="14">
        <f t="shared" ca="1" si="57"/>
        <v>-0.25354930281727189</v>
      </c>
      <c r="U357" s="12">
        <f t="shared" ca="1" si="67"/>
        <v>7900</v>
      </c>
      <c r="V357" s="14">
        <f t="shared" ca="1" si="68"/>
        <v>-2462.0253164556962</v>
      </c>
      <c r="W357" s="12">
        <f t="shared" ca="1" si="58"/>
        <v>0</v>
      </c>
      <c r="X357" s="7">
        <f ca="1">AVERAGE(E357:OFFSET(F357,-$X$5+1,0))</f>
        <v>9238.7999999999993</v>
      </c>
      <c r="Y357" s="7">
        <f ca="1">AVERAGE(E357:OFFSET(F357,-$Y$5+1,0))</f>
        <v>9283.9500000000007</v>
      </c>
      <c r="Z357" s="7">
        <f t="shared" ca="1" si="60"/>
        <v>0</v>
      </c>
    </row>
    <row r="358" spans="1:26">
      <c r="A358" s="3" t="s">
        <v>40</v>
      </c>
      <c r="B358" s="4">
        <v>42172</v>
      </c>
      <c r="C358" s="3">
        <v>9215</v>
      </c>
      <c r="D358" s="3">
        <v>9237</v>
      </c>
      <c r="E358" s="3">
        <v>9177</v>
      </c>
      <c r="F358" s="3">
        <v>9182</v>
      </c>
      <c r="G358" s="3">
        <v>61706</v>
      </c>
      <c r="H358" s="3">
        <v>1.355</v>
      </c>
      <c r="I358" s="2">
        <f t="shared" si="69"/>
        <v>1</v>
      </c>
      <c r="J358" s="10">
        <f t="shared" si="71"/>
        <v>0</v>
      </c>
      <c r="K358" s="10">
        <f t="shared" si="70"/>
        <v>-33</v>
      </c>
      <c r="L358" s="10">
        <f t="shared" ca="1" si="59"/>
        <v>0</v>
      </c>
      <c r="M358" s="10">
        <f t="shared" si="61"/>
        <v>0</v>
      </c>
      <c r="N358" s="30">
        <f t="shared" si="62"/>
        <v>0</v>
      </c>
      <c r="O358" s="10">
        <f t="shared" si="63"/>
        <v>0</v>
      </c>
      <c r="P358" s="29">
        <f t="shared" ca="1" si="64"/>
        <v>0</v>
      </c>
      <c r="Q358" s="12">
        <f t="shared" ca="1" si="65"/>
        <v>-186600</v>
      </c>
      <c r="R358" s="10">
        <f t="shared" ca="1" si="66"/>
        <v>0</v>
      </c>
      <c r="S358" s="10">
        <f t="shared" ca="1" si="56"/>
        <v>-0.6338021286369101</v>
      </c>
      <c r="T358" s="14">
        <f t="shared" ca="1" si="57"/>
        <v>-0.24442071213213676</v>
      </c>
      <c r="U358" s="12">
        <f t="shared" ca="1" si="67"/>
        <v>7900</v>
      </c>
      <c r="V358" s="14">
        <f t="shared" ca="1" si="68"/>
        <v>-2462.0253164556962</v>
      </c>
      <c r="W358" s="12">
        <f t="shared" ca="1" si="58"/>
        <v>0</v>
      </c>
      <c r="X358" s="7">
        <f ca="1">AVERAGE(E358:OFFSET(F358,-$X$5+1,0))</f>
        <v>9221.1</v>
      </c>
      <c r="Y358" s="7">
        <f ca="1">AVERAGE(E358:OFFSET(F358,-$Y$5+1,0))</f>
        <v>9247.7999999999993</v>
      </c>
      <c r="Z358" s="7">
        <f t="shared" ca="1" si="60"/>
        <v>0</v>
      </c>
    </row>
    <row r="359" spans="1:26">
      <c r="A359" s="3" t="s">
        <v>41</v>
      </c>
      <c r="B359" s="4">
        <v>42173</v>
      </c>
      <c r="C359" s="3">
        <v>9044</v>
      </c>
      <c r="D359" s="3">
        <v>9078</v>
      </c>
      <c r="E359" s="3">
        <v>9011</v>
      </c>
      <c r="F359" s="3">
        <v>9049</v>
      </c>
      <c r="G359" s="3">
        <v>101634</v>
      </c>
      <c r="H359" s="3">
        <v>1.355</v>
      </c>
      <c r="I359" s="2">
        <f t="shared" si="69"/>
        <v>0</v>
      </c>
      <c r="J359" s="10">
        <f t="shared" si="71"/>
        <v>-138</v>
      </c>
      <c r="K359" s="10">
        <f t="shared" si="70"/>
        <v>5</v>
      </c>
      <c r="L359" s="10">
        <f t="shared" ca="1" si="59"/>
        <v>0</v>
      </c>
      <c r="M359" s="10">
        <f t="shared" ca="1" si="61"/>
        <v>0</v>
      </c>
      <c r="N359" s="30">
        <f t="shared" ca="1" si="62"/>
        <v>0</v>
      </c>
      <c r="O359" s="10">
        <f t="shared" ca="1" si="63"/>
        <v>0</v>
      </c>
      <c r="P359" s="29">
        <f t="shared" ca="1" si="64"/>
        <v>0</v>
      </c>
      <c r="Q359" s="12">
        <f t="shared" ca="1" si="65"/>
        <v>-186600</v>
      </c>
      <c r="R359" s="10">
        <f t="shared" ca="1" si="66"/>
        <v>0</v>
      </c>
      <c r="S359" s="10">
        <f t="shared" ca="1" si="56"/>
        <v>-0.65921285391764972</v>
      </c>
      <c r="T359" s="14">
        <f t="shared" ca="1" si="57"/>
        <v>-0.24754365105073564</v>
      </c>
      <c r="U359" s="12">
        <f t="shared" ca="1" si="67"/>
        <v>7900</v>
      </c>
      <c r="V359" s="14">
        <f t="shared" ca="1" si="68"/>
        <v>-2462.0253164556962</v>
      </c>
      <c r="W359" s="12">
        <f t="shared" ca="1" si="58"/>
        <v>0</v>
      </c>
      <c r="X359" s="7">
        <f ca="1">AVERAGE(E359:OFFSET(F359,-$X$5+1,0))</f>
        <v>9175.9</v>
      </c>
      <c r="Y359" s="7">
        <f ca="1">AVERAGE(E359:OFFSET(F359,-$Y$5+1,0))</f>
        <v>9220.25</v>
      </c>
      <c r="Z359" s="7">
        <f t="shared" ca="1" si="60"/>
        <v>0</v>
      </c>
    </row>
    <row r="360" spans="1:26">
      <c r="A360" s="3" t="s">
        <v>41</v>
      </c>
      <c r="B360" s="4">
        <v>42177</v>
      </c>
      <c r="C360" s="3">
        <v>9108</v>
      </c>
      <c r="D360" s="3">
        <v>9203</v>
      </c>
      <c r="E360" s="3">
        <v>9105</v>
      </c>
      <c r="F360" s="3">
        <v>9182</v>
      </c>
      <c r="G360" s="3">
        <v>103562</v>
      </c>
      <c r="H360" s="3">
        <v>1.355</v>
      </c>
      <c r="I360" s="2">
        <f t="shared" si="69"/>
        <v>0</v>
      </c>
      <c r="J360" s="10">
        <f t="shared" si="71"/>
        <v>59</v>
      </c>
      <c r="K360" s="10">
        <f t="shared" si="70"/>
        <v>74</v>
      </c>
      <c r="L360" s="10">
        <f t="shared" ca="1" si="59"/>
        <v>0</v>
      </c>
      <c r="M360" s="10">
        <f t="shared" ca="1" si="61"/>
        <v>0</v>
      </c>
      <c r="N360" s="30">
        <f t="shared" ca="1" si="62"/>
        <v>0</v>
      </c>
      <c r="O360" s="10">
        <f t="shared" ca="1" si="63"/>
        <v>0</v>
      </c>
      <c r="P360" s="29">
        <f t="shared" ca="1" si="64"/>
        <v>0</v>
      </c>
      <c r="Q360" s="12">
        <f t="shared" ca="1" si="65"/>
        <v>-186600</v>
      </c>
      <c r="R360" s="10">
        <f t="shared" ca="1" si="66"/>
        <v>0</v>
      </c>
      <c r="S360" s="10">
        <f t="shared" ca="1" si="56"/>
        <v>-0.57809400013682699</v>
      </c>
      <c r="T360" s="14">
        <f t="shared" ca="1" si="57"/>
        <v>-0.23757426911828539</v>
      </c>
      <c r="U360" s="12">
        <f t="shared" ca="1" si="67"/>
        <v>7900</v>
      </c>
      <c r="V360" s="14">
        <f t="shared" ca="1" si="68"/>
        <v>-2462.0253164556962</v>
      </c>
      <c r="W360" s="12">
        <f t="shared" ca="1" si="58"/>
        <v>0</v>
      </c>
      <c r="X360" s="7">
        <f ca="1">AVERAGE(E360:OFFSET(F360,-$X$5+1,0))</f>
        <v>9154.9</v>
      </c>
      <c r="Y360" s="7">
        <f ca="1">AVERAGE(E360:OFFSET(F360,-$Y$5+1,0))</f>
        <v>9205.75</v>
      </c>
      <c r="Z360" s="7">
        <f t="shared" ca="1" si="60"/>
        <v>0</v>
      </c>
    </row>
    <row r="361" spans="1:26">
      <c r="A361" s="3" t="s">
        <v>41</v>
      </c>
      <c r="B361" s="4">
        <v>42178</v>
      </c>
      <c r="C361" s="3">
        <v>9221</v>
      </c>
      <c r="D361" s="3">
        <v>9268</v>
      </c>
      <c r="E361" s="3">
        <v>9208</v>
      </c>
      <c r="F361" s="3">
        <v>9231</v>
      </c>
      <c r="G361" s="3">
        <v>106239</v>
      </c>
      <c r="H361" s="3">
        <v>1.355</v>
      </c>
      <c r="I361" s="2">
        <f t="shared" si="69"/>
        <v>0</v>
      </c>
      <c r="J361" s="10">
        <f t="shared" si="71"/>
        <v>39</v>
      </c>
      <c r="K361" s="10">
        <f t="shared" si="70"/>
        <v>10</v>
      </c>
      <c r="L361" s="10">
        <f t="shared" ca="1" si="59"/>
        <v>0</v>
      </c>
      <c r="M361" s="10">
        <f t="shared" ca="1" si="61"/>
        <v>0</v>
      </c>
      <c r="N361" s="30">
        <f t="shared" ca="1" si="62"/>
        <v>0</v>
      </c>
      <c r="O361" s="10">
        <f t="shared" ca="1" si="63"/>
        <v>0</v>
      </c>
      <c r="P361" s="29">
        <f t="shared" ca="1" si="64"/>
        <v>0</v>
      </c>
      <c r="Q361" s="12">
        <f t="shared" ca="1" si="65"/>
        <v>-186600</v>
      </c>
      <c r="R361" s="10">
        <f t="shared" ca="1" si="66"/>
        <v>0</v>
      </c>
      <c r="S361" s="10">
        <f t="shared" ca="1" si="56"/>
        <v>-0.48622445489107596</v>
      </c>
      <c r="T361" s="14">
        <f t="shared" ca="1" si="57"/>
        <v>-0.2262836437971972</v>
      </c>
      <c r="U361" s="12">
        <f t="shared" ca="1" si="67"/>
        <v>7900</v>
      </c>
      <c r="V361" s="14">
        <f t="shared" ca="1" si="68"/>
        <v>-2462.0253164556962</v>
      </c>
      <c r="W361" s="12">
        <f t="shared" ca="1" si="58"/>
        <v>0</v>
      </c>
      <c r="X361" s="7">
        <f ca="1">AVERAGE(E361:OFFSET(F361,-$X$5+1,0))</f>
        <v>9152.4</v>
      </c>
      <c r="Y361" s="7">
        <f ca="1">AVERAGE(E361:OFFSET(F361,-$Y$5+1,0))</f>
        <v>9198.5499999999993</v>
      </c>
      <c r="Z361" s="7">
        <f t="shared" ca="1" si="60"/>
        <v>0</v>
      </c>
    </row>
    <row r="362" spans="1:26">
      <c r="A362" s="3" t="s">
        <v>41</v>
      </c>
      <c r="B362" s="4">
        <v>42179</v>
      </c>
      <c r="C362" s="3">
        <v>9215</v>
      </c>
      <c r="D362" s="3">
        <v>9248</v>
      </c>
      <c r="E362" s="3">
        <v>9193</v>
      </c>
      <c r="F362" s="3">
        <v>9247</v>
      </c>
      <c r="G362" s="3">
        <v>80540</v>
      </c>
      <c r="H362" s="3">
        <v>1.355</v>
      </c>
      <c r="I362" s="2">
        <f t="shared" si="69"/>
        <v>0</v>
      </c>
      <c r="J362" s="10">
        <f t="shared" si="71"/>
        <v>-16</v>
      </c>
      <c r="K362" s="10">
        <f t="shared" si="70"/>
        <v>32</v>
      </c>
      <c r="L362" s="10">
        <f t="shared" ca="1" si="59"/>
        <v>0</v>
      </c>
      <c r="M362" s="10">
        <f t="shared" ca="1" si="61"/>
        <v>0</v>
      </c>
      <c r="N362" s="30">
        <f t="shared" ca="1" si="62"/>
        <v>0</v>
      </c>
      <c r="O362" s="10">
        <f t="shared" ca="1" si="63"/>
        <v>0</v>
      </c>
      <c r="P362" s="29">
        <f t="shared" ca="1" si="64"/>
        <v>0</v>
      </c>
      <c r="Q362" s="12">
        <f t="shared" ca="1" si="65"/>
        <v>-186600</v>
      </c>
      <c r="R362" s="10">
        <f t="shared" ca="1" si="66"/>
        <v>0</v>
      </c>
      <c r="S362" s="10">
        <f t="shared" ca="1" si="56"/>
        <v>-0.46423440416735895</v>
      </c>
      <c r="T362" s="14">
        <f t="shared" ca="1" si="57"/>
        <v>-0.22358110050225588</v>
      </c>
      <c r="U362" s="12">
        <f t="shared" ca="1" si="67"/>
        <v>7900</v>
      </c>
      <c r="V362" s="14">
        <f t="shared" ca="1" si="68"/>
        <v>-2462.0253164556962</v>
      </c>
      <c r="W362" s="12">
        <f t="shared" ca="1" si="58"/>
        <v>0</v>
      </c>
      <c r="X362" s="7">
        <f ca="1">AVERAGE(E362:OFFSET(F362,-$X$5+1,0))</f>
        <v>9158.5</v>
      </c>
      <c r="Y362" s="7">
        <f ca="1">AVERAGE(E362:OFFSET(F362,-$Y$5+1,0))</f>
        <v>9198.65</v>
      </c>
      <c r="Z362" s="7">
        <f t="shared" ca="1" si="60"/>
        <v>0</v>
      </c>
    </row>
    <row r="363" spans="1:26">
      <c r="A363" s="3" t="s">
        <v>41</v>
      </c>
      <c r="B363" s="4">
        <v>42180</v>
      </c>
      <c r="C363" s="3">
        <v>9268</v>
      </c>
      <c r="D363" s="3">
        <v>9370</v>
      </c>
      <c r="E363" s="3">
        <v>9263</v>
      </c>
      <c r="F363" s="3">
        <v>9340</v>
      </c>
      <c r="G363" s="3">
        <v>134204</v>
      </c>
      <c r="H363" s="3">
        <v>1.355</v>
      </c>
      <c r="I363" s="2">
        <f t="shared" si="69"/>
        <v>0</v>
      </c>
      <c r="J363" s="10">
        <f t="shared" si="71"/>
        <v>21</v>
      </c>
      <c r="K363" s="10">
        <f t="shared" si="70"/>
        <v>72</v>
      </c>
      <c r="L363" s="10">
        <f t="shared" ca="1" si="59"/>
        <v>0</v>
      </c>
      <c r="M363" s="10">
        <f t="shared" ca="1" si="61"/>
        <v>0</v>
      </c>
      <c r="N363" s="30">
        <f t="shared" ca="1" si="62"/>
        <v>0</v>
      </c>
      <c r="O363" s="10">
        <f t="shared" ca="1" si="63"/>
        <v>0</v>
      </c>
      <c r="P363" s="29">
        <f t="shared" ca="1" si="64"/>
        <v>0</v>
      </c>
      <c r="Q363" s="12">
        <f t="shared" ca="1" si="65"/>
        <v>-186600</v>
      </c>
      <c r="R363" s="10">
        <f t="shared" ca="1" si="66"/>
        <v>0</v>
      </c>
      <c r="S363" s="10">
        <f t="shared" ca="1" si="56"/>
        <v>-0.46423440416735895</v>
      </c>
      <c r="T363" s="14">
        <f t="shared" ca="1" si="57"/>
        <v>-0.22358110050225588</v>
      </c>
      <c r="U363" s="12">
        <f t="shared" ca="1" si="67"/>
        <v>7900</v>
      </c>
      <c r="V363" s="14">
        <f t="shared" ca="1" si="68"/>
        <v>-2462.0253164556962</v>
      </c>
      <c r="W363" s="12">
        <f t="shared" ca="1" si="58"/>
        <v>0</v>
      </c>
      <c r="X363" s="7">
        <f ca="1">AVERAGE(E363:OFFSET(F363,-$X$5+1,0))</f>
        <v>9182.9</v>
      </c>
      <c r="Y363" s="7">
        <f ca="1">AVERAGE(E363:OFFSET(F363,-$Y$5+1,0))</f>
        <v>9202</v>
      </c>
      <c r="Z363" s="7">
        <f t="shared" ca="1" si="60"/>
        <v>0</v>
      </c>
    </row>
    <row r="364" spans="1:26">
      <c r="A364" s="3" t="s">
        <v>41</v>
      </c>
      <c r="B364" s="4">
        <v>42181</v>
      </c>
      <c r="C364" s="3">
        <v>9348</v>
      </c>
      <c r="D364" s="3">
        <v>9348</v>
      </c>
      <c r="E364" s="3">
        <v>9300</v>
      </c>
      <c r="F364" s="3">
        <v>9321</v>
      </c>
      <c r="G364" s="3">
        <v>72218</v>
      </c>
      <c r="H364" s="3">
        <v>1.355</v>
      </c>
      <c r="I364" s="2">
        <f t="shared" si="69"/>
        <v>0</v>
      </c>
      <c r="J364" s="10">
        <f t="shared" si="71"/>
        <v>8</v>
      </c>
      <c r="K364" s="10">
        <f t="shared" si="70"/>
        <v>-27</v>
      </c>
      <c r="L364" s="10">
        <f t="shared" ca="1" si="59"/>
        <v>1</v>
      </c>
      <c r="M364" s="10">
        <f t="shared" ca="1" si="61"/>
        <v>0</v>
      </c>
      <c r="N364" s="30">
        <f t="shared" ca="1" si="62"/>
        <v>0</v>
      </c>
      <c r="O364" s="10">
        <f t="shared" ca="1" si="63"/>
        <v>0</v>
      </c>
      <c r="P364" s="29">
        <f t="shared" ca="1" si="64"/>
        <v>0</v>
      </c>
      <c r="Q364" s="12">
        <f t="shared" ca="1" si="65"/>
        <v>-186600</v>
      </c>
      <c r="R364" s="10">
        <f t="shared" ca="1" si="66"/>
        <v>0</v>
      </c>
      <c r="S364" s="10">
        <f t="shared" ref="S364:S427" ca="1" si="72">100*SUM(P125:P364)/SUM(N125:N364)</f>
        <v>-0.46423440416735895</v>
      </c>
      <c r="T364" s="14">
        <f t="shared" ca="1" si="57"/>
        <v>-0.22358110050225588</v>
      </c>
      <c r="U364" s="12">
        <f t="shared" ca="1" si="67"/>
        <v>7900</v>
      </c>
      <c r="V364" s="14">
        <f t="shared" ca="1" si="68"/>
        <v>-2462.0253164556962</v>
      </c>
      <c r="W364" s="12">
        <f t="shared" ca="1" si="58"/>
        <v>0</v>
      </c>
      <c r="X364" s="7">
        <f ca="1">AVERAGE(E364:OFFSET(F364,-$X$5+1,0))</f>
        <v>9239</v>
      </c>
      <c r="Y364" s="7">
        <f ca="1">AVERAGE(E364:OFFSET(F364,-$Y$5+1,0))</f>
        <v>9207.4500000000007</v>
      </c>
      <c r="Z364" s="7">
        <f t="shared" ca="1" si="60"/>
        <v>1</v>
      </c>
    </row>
    <row r="365" spans="1:26">
      <c r="A365" s="3" t="s">
        <v>41</v>
      </c>
      <c r="B365" s="4">
        <v>42184</v>
      </c>
      <c r="C365" s="3">
        <v>9195</v>
      </c>
      <c r="D365" s="3">
        <v>9222</v>
      </c>
      <c r="E365" s="3">
        <v>9109</v>
      </c>
      <c r="F365" s="3">
        <v>9138</v>
      </c>
      <c r="G365" s="3">
        <v>128844</v>
      </c>
      <c r="H365" s="3">
        <v>1.355</v>
      </c>
      <c r="I365" s="2">
        <f t="shared" si="69"/>
        <v>0</v>
      </c>
      <c r="J365" s="10">
        <f t="shared" si="71"/>
        <v>-126</v>
      </c>
      <c r="K365" s="10">
        <f t="shared" si="70"/>
        <v>-57</v>
      </c>
      <c r="L365" s="10">
        <f t="shared" ca="1" si="59"/>
        <v>0</v>
      </c>
      <c r="M365" s="10">
        <f t="shared" ca="1" si="61"/>
        <v>1</v>
      </c>
      <c r="N365" s="30">
        <f t="shared" ca="1" si="62"/>
        <v>1839000</v>
      </c>
      <c r="O365" s="10">
        <f t="shared" ca="1" si="63"/>
        <v>1839000</v>
      </c>
      <c r="P365" s="29">
        <f t="shared" ca="1" si="64"/>
        <v>-11900</v>
      </c>
      <c r="Q365" s="12">
        <f t="shared" ca="1" si="65"/>
        <v>-198500</v>
      </c>
      <c r="R365" s="10">
        <f t="shared" ca="1" si="66"/>
        <v>-0.64709081022294723</v>
      </c>
      <c r="S365" s="10">
        <f t="shared" ca="1" si="72"/>
        <v>-0.47931201463493373</v>
      </c>
      <c r="T365" s="14">
        <f t="shared" ref="T365:T428" ca="1" si="73">(S365-AVERAGE(H96:H365))/(_xlfn.STDEV.S(R96:R365)*SQRT(240))</f>
        <v>-0.22485755544788691</v>
      </c>
      <c r="U365" s="12">
        <f t="shared" ca="1" si="67"/>
        <v>7900</v>
      </c>
      <c r="V365" s="14">
        <f t="shared" ca="1" si="68"/>
        <v>-2612.6582278481014</v>
      </c>
      <c r="W365" s="12">
        <f t="shared" ref="W365:W428" ca="1" si="74">MAX(V126:V365)</f>
        <v>0</v>
      </c>
      <c r="X365" s="7">
        <f ca="1">AVERAGE(E365:OFFSET(F365,-$X$5+1,0))</f>
        <v>9235</v>
      </c>
      <c r="Y365" s="7">
        <f ca="1">AVERAGE(E365:OFFSET(F365,-$Y$5+1,0))</f>
        <v>9194.9500000000007</v>
      </c>
      <c r="Z365" s="7">
        <f t="shared" ca="1" si="60"/>
        <v>0</v>
      </c>
    </row>
    <row r="366" spans="1:26">
      <c r="A366" s="3" t="s">
        <v>41</v>
      </c>
      <c r="B366" s="4">
        <v>42185</v>
      </c>
      <c r="C366" s="3">
        <v>9146</v>
      </c>
      <c r="D366" s="3">
        <v>9217</v>
      </c>
      <c r="E366" s="3">
        <v>9124</v>
      </c>
      <c r="F366" s="3">
        <v>9212</v>
      </c>
      <c r="G366" s="3">
        <v>103641</v>
      </c>
      <c r="H366" s="3">
        <v>1.355</v>
      </c>
      <c r="I366" s="2">
        <f t="shared" si="69"/>
        <v>0</v>
      </c>
      <c r="J366" s="10">
        <f t="shared" si="71"/>
        <v>8</v>
      </c>
      <c r="K366" s="10">
        <f t="shared" si="70"/>
        <v>66</v>
      </c>
      <c r="L366" s="10">
        <f t="shared" ca="1" si="59"/>
        <v>0</v>
      </c>
      <c r="M366" s="10">
        <f t="shared" ca="1" si="61"/>
        <v>1</v>
      </c>
      <c r="N366" s="30">
        <f t="shared" ca="1" si="62"/>
        <v>0</v>
      </c>
      <c r="O366" s="10">
        <f t="shared" ca="1" si="63"/>
        <v>1839000</v>
      </c>
      <c r="P366" s="29">
        <f t="shared" ca="1" si="64"/>
        <v>14800</v>
      </c>
      <c r="Q366" s="12">
        <f t="shared" ca="1" si="65"/>
        <v>-183700</v>
      </c>
      <c r="R366" s="10">
        <f t="shared" ca="1" si="66"/>
        <v>0.8047852093529092</v>
      </c>
      <c r="S366" s="10">
        <f t="shared" ca="1" si="72"/>
        <v>-0.41295263375002245</v>
      </c>
      <c r="T366" s="14">
        <f t="shared" ca="1" si="73"/>
        <v>-0.21572158180253553</v>
      </c>
      <c r="U366" s="12">
        <f t="shared" ca="1" si="67"/>
        <v>7900</v>
      </c>
      <c r="V366" s="14">
        <f t="shared" ca="1" si="68"/>
        <v>-2425.3164556962024</v>
      </c>
      <c r="W366" s="12">
        <f t="shared" ca="1" si="74"/>
        <v>0</v>
      </c>
      <c r="X366" s="7">
        <f ca="1">AVERAGE(E366:OFFSET(F366,-$X$5+1,0))</f>
        <v>9224.7000000000007</v>
      </c>
      <c r="Y366" s="7">
        <f ca="1">AVERAGE(E366:OFFSET(F366,-$Y$5+1,0))</f>
        <v>9188.5499999999993</v>
      </c>
      <c r="Z366" s="7">
        <f t="shared" ca="1" si="60"/>
        <v>0</v>
      </c>
    </row>
    <row r="367" spans="1:26">
      <c r="A367" s="3" t="s">
        <v>41</v>
      </c>
      <c r="B367" s="4">
        <v>42186</v>
      </c>
      <c r="C367" s="3">
        <v>9185</v>
      </c>
      <c r="D367" s="3">
        <v>9319</v>
      </c>
      <c r="E367" s="3">
        <v>9184</v>
      </c>
      <c r="F367" s="3">
        <v>9294</v>
      </c>
      <c r="G367" s="3">
        <v>124416</v>
      </c>
      <c r="H367" s="3">
        <v>1.355</v>
      </c>
      <c r="I367" s="2">
        <f t="shared" si="69"/>
        <v>0</v>
      </c>
      <c r="J367" s="10">
        <f t="shared" si="71"/>
        <v>-27</v>
      </c>
      <c r="K367" s="10">
        <f t="shared" si="70"/>
        <v>109</v>
      </c>
      <c r="L367" s="10">
        <f t="shared" ca="1" si="59"/>
        <v>0</v>
      </c>
      <c r="M367" s="10">
        <f t="shared" ca="1" si="61"/>
        <v>1</v>
      </c>
      <c r="N367" s="30">
        <f t="shared" ca="1" si="62"/>
        <v>0</v>
      </c>
      <c r="O367" s="10">
        <f t="shared" ca="1" si="63"/>
        <v>1839000</v>
      </c>
      <c r="P367" s="29">
        <f t="shared" ca="1" si="64"/>
        <v>16400</v>
      </c>
      <c r="Q367" s="12">
        <f t="shared" ca="1" si="65"/>
        <v>-167300</v>
      </c>
      <c r="R367" s="10">
        <f t="shared" ca="1" si="66"/>
        <v>0.89178901576943992</v>
      </c>
      <c r="S367" s="10">
        <f t="shared" ca="1" si="72"/>
        <v>-0.33941926574241799</v>
      </c>
      <c r="T367" s="14">
        <f t="shared" ca="1" si="73"/>
        <v>-0.20560383736848437</v>
      </c>
      <c r="U367" s="12">
        <f t="shared" ca="1" si="67"/>
        <v>7900</v>
      </c>
      <c r="V367" s="14">
        <f t="shared" ca="1" si="68"/>
        <v>-2217.7215189873418</v>
      </c>
      <c r="W367" s="12">
        <f t="shared" ca="1" si="74"/>
        <v>0</v>
      </c>
      <c r="X367" s="7">
        <f ca="1">AVERAGE(E367:OFFSET(F367,-$X$5+1,0))</f>
        <v>9228.5</v>
      </c>
      <c r="Y367" s="7">
        <f ca="1">AVERAGE(E367:OFFSET(F367,-$Y$5+1,0))</f>
        <v>9193.5</v>
      </c>
      <c r="Z367" s="7">
        <f t="shared" ca="1" si="60"/>
        <v>0</v>
      </c>
    </row>
    <row r="368" spans="1:26">
      <c r="A368" s="3" t="s">
        <v>41</v>
      </c>
      <c r="B368" s="4">
        <v>42187</v>
      </c>
      <c r="C368" s="3">
        <v>9300</v>
      </c>
      <c r="D368" s="3">
        <v>9325</v>
      </c>
      <c r="E368" s="3">
        <v>9260</v>
      </c>
      <c r="F368" s="3">
        <v>9277</v>
      </c>
      <c r="G368" s="3">
        <v>91473</v>
      </c>
      <c r="H368" s="3">
        <v>1.355</v>
      </c>
      <c r="I368" s="2">
        <f t="shared" si="69"/>
        <v>0</v>
      </c>
      <c r="J368" s="10">
        <f t="shared" si="71"/>
        <v>6</v>
      </c>
      <c r="K368" s="10">
        <f t="shared" si="70"/>
        <v>-23</v>
      </c>
      <c r="L368" s="10">
        <f t="shared" ca="1" si="59"/>
        <v>0</v>
      </c>
      <c r="M368" s="10">
        <f t="shared" ca="1" si="61"/>
        <v>1</v>
      </c>
      <c r="N368" s="30">
        <f t="shared" ca="1" si="62"/>
        <v>0</v>
      </c>
      <c r="O368" s="10">
        <f t="shared" ca="1" si="63"/>
        <v>1839000</v>
      </c>
      <c r="P368" s="29">
        <f t="shared" ca="1" si="64"/>
        <v>-3400</v>
      </c>
      <c r="Q368" s="12">
        <f t="shared" ca="1" si="65"/>
        <v>-170700</v>
      </c>
      <c r="R368" s="10">
        <f t="shared" ca="1" si="66"/>
        <v>-0.18488308863512778</v>
      </c>
      <c r="S368" s="10">
        <f t="shared" ca="1" si="72"/>
        <v>-0.35466398837814084</v>
      </c>
      <c r="T368" s="14">
        <f t="shared" ca="1" si="73"/>
        <v>-0.20741937311196665</v>
      </c>
      <c r="U368" s="12">
        <f t="shared" ca="1" si="67"/>
        <v>7900</v>
      </c>
      <c r="V368" s="14">
        <f t="shared" ca="1" si="68"/>
        <v>-2260.7594936708861</v>
      </c>
      <c r="W368" s="12">
        <f t="shared" ca="1" si="74"/>
        <v>0</v>
      </c>
      <c r="X368" s="7">
        <f ca="1">AVERAGE(E368:OFFSET(F368,-$X$5+1,0))</f>
        <v>9221.9</v>
      </c>
      <c r="Y368" s="7">
        <f ca="1">AVERAGE(E368:OFFSET(F368,-$Y$5+1,0))</f>
        <v>9202.4</v>
      </c>
      <c r="Z368" s="7">
        <f t="shared" ca="1" si="60"/>
        <v>0</v>
      </c>
    </row>
    <row r="369" spans="1:26">
      <c r="A369" s="3" t="s">
        <v>41</v>
      </c>
      <c r="B369" s="4">
        <v>42188</v>
      </c>
      <c r="C369" s="3">
        <v>9258</v>
      </c>
      <c r="D369" s="3">
        <v>9305</v>
      </c>
      <c r="E369" s="3">
        <v>9171</v>
      </c>
      <c r="F369" s="3">
        <v>9304</v>
      </c>
      <c r="G369" s="3">
        <v>133033</v>
      </c>
      <c r="H369" s="3">
        <v>1.355</v>
      </c>
      <c r="I369" s="2">
        <f t="shared" si="69"/>
        <v>0</v>
      </c>
      <c r="J369" s="10">
        <f t="shared" si="71"/>
        <v>-19</v>
      </c>
      <c r="K369" s="10">
        <f t="shared" si="70"/>
        <v>46</v>
      </c>
      <c r="L369" s="10">
        <f t="shared" ca="1" si="59"/>
        <v>-1</v>
      </c>
      <c r="M369" s="10">
        <f t="shared" ca="1" si="61"/>
        <v>1</v>
      </c>
      <c r="N369" s="30">
        <f t="shared" ca="1" si="62"/>
        <v>0</v>
      </c>
      <c r="O369" s="10">
        <f t="shared" ca="1" si="63"/>
        <v>1839000</v>
      </c>
      <c r="P369" s="29">
        <f t="shared" ca="1" si="64"/>
        <v>5400</v>
      </c>
      <c r="Q369" s="12">
        <f t="shared" ca="1" si="65"/>
        <v>-165300</v>
      </c>
      <c r="R369" s="10">
        <f t="shared" ca="1" si="66"/>
        <v>0.29363784665579118</v>
      </c>
      <c r="S369" s="10">
        <f t="shared" ca="1" si="72"/>
        <v>-0.33045178183905161</v>
      </c>
      <c r="T369" s="14">
        <f t="shared" ca="1" si="73"/>
        <v>-0.20434721080894111</v>
      </c>
      <c r="U369" s="12">
        <f t="shared" ca="1" si="67"/>
        <v>7900</v>
      </c>
      <c r="V369" s="14">
        <f t="shared" ca="1" si="68"/>
        <v>-2192.4050632911394</v>
      </c>
      <c r="W369" s="12">
        <f t="shared" ca="1" si="74"/>
        <v>0</v>
      </c>
      <c r="X369" s="7">
        <f ca="1">AVERAGE(E369:OFFSET(F369,-$X$5+1,0))</f>
        <v>9207.2999999999993</v>
      </c>
      <c r="Y369" s="7">
        <f ca="1">AVERAGE(E369:OFFSET(F369,-$Y$5+1,0))</f>
        <v>9223.15</v>
      </c>
      <c r="Z369" s="7">
        <f t="shared" ca="1" si="60"/>
        <v>-1</v>
      </c>
    </row>
    <row r="370" spans="1:26">
      <c r="A370" s="3" t="s">
        <v>41</v>
      </c>
      <c r="B370" s="4">
        <v>42191</v>
      </c>
      <c r="C370" s="3">
        <v>9235</v>
      </c>
      <c r="D370" s="3">
        <v>9297</v>
      </c>
      <c r="E370" s="3">
        <v>9182</v>
      </c>
      <c r="F370" s="3">
        <v>9197</v>
      </c>
      <c r="G370" s="3">
        <v>124973</v>
      </c>
      <c r="H370" s="3">
        <v>1.355</v>
      </c>
      <c r="I370" s="2">
        <f t="shared" si="69"/>
        <v>0</v>
      </c>
      <c r="J370" s="10">
        <f t="shared" si="71"/>
        <v>-69</v>
      </c>
      <c r="K370" s="10">
        <f t="shared" si="70"/>
        <v>-38</v>
      </c>
      <c r="L370" s="10">
        <f t="shared" ca="1" si="59"/>
        <v>0</v>
      </c>
      <c r="M370" s="10">
        <f t="shared" ca="1" si="61"/>
        <v>0</v>
      </c>
      <c r="N370" s="30">
        <f t="shared" ca="1" si="62"/>
        <v>0</v>
      </c>
      <c r="O370" s="10">
        <f t="shared" ca="1" si="63"/>
        <v>0</v>
      </c>
      <c r="P370" s="29">
        <f t="shared" ca="1" si="64"/>
        <v>-14300</v>
      </c>
      <c r="Q370" s="12">
        <f t="shared" ca="1" si="65"/>
        <v>-179600</v>
      </c>
      <c r="R370" s="10">
        <f t="shared" ca="1" si="66"/>
        <v>-0.77759651984774336</v>
      </c>
      <c r="S370" s="10">
        <f t="shared" ca="1" si="72"/>
        <v>-0.39456929174812133</v>
      </c>
      <c r="T370" s="14">
        <f t="shared" ca="1" si="73"/>
        <v>-0.21133846073375009</v>
      </c>
      <c r="U370" s="12">
        <f t="shared" ca="1" si="67"/>
        <v>7900</v>
      </c>
      <c r="V370" s="14">
        <f t="shared" ca="1" si="68"/>
        <v>-2373.4177215189875</v>
      </c>
      <c r="W370" s="12">
        <f t="shared" ca="1" si="74"/>
        <v>0</v>
      </c>
      <c r="X370" s="7">
        <f ca="1">AVERAGE(E370:OFFSET(F370,-$X$5+1,0))</f>
        <v>9220.5</v>
      </c>
      <c r="Y370" s="7">
        <f ca="1">AVERAGE(E370:OFFSET(F370,-$Y$5+1,0))</f>
        <v>9227.75</v>
      </c>
      <c r="Z370" s="7">
        <f t="shared" ca="1" si="60"/>
        <v>0</v>
      </c>
    </row>
    <row r="371" spans="1:26">
      <c r="A371" s="3" t="s">
        <v>41</v>
      </c>
      <c r="B371" s="4">
        <v>42192</v>
      </c>
      <c r="C371" s="3">
        <v>9260</v>
      </c>
      <c r="D371" s="3">
        <v>9303</v>
      </c>
      <c r="E371" s="3">
        <v>9210</v>
      </c>
      <c r="F371" s="3">
        <v>9242</v>
      </c>
      <c r="G371" s="3">
        <v>131787</v>
      </c>
      <c r="H371" s="3">
        <v>1.355</v>
      </c>
      <c r="I371" s="2">
        <f t="shared" si="69"/>
        <v>0</v>
      </c>
      <c r="J371" s="10">
        <f t="shared" si="71"/>
        <v>63</v>
      </c>
      <c r="K371" s="10">
        <f t="shared" si="70"/>
        <v>-18</v>
      </c>
      <c r="L371" s="10">
        <f t="shared" ca="1" si="59"/>
        <v>1</v>
      </c>
      <c r="M371" s="10">
        <f t="shared" ca="1" si="61"/>
        <v>0</v>
      </c>
      <c r="N371" s="30">
        <f t="shared" ca="1" si="62"/>
        <v>0</v>
      </c>
      <c r="O371" s="10">
        <f t="shared" ca="1" si="63"/>
        <v>0</v>
      </c>
      <c r="P371" s="29">
        <f t="shared" ca="1" si="64"/>
        <v>0</v>
      </c>
      <c r="Q371" s="12">
        <f t="shared" ca="1" si="65"/>
        <v>-179600</v>
      </c>
      <c r="R371" s="10">
        <f t="shared" ca="1" si="66"/>
        <v>0</v>
      </c>
      <c r="S371" s="10">
        <f t="shared" ca="1" si="72"/>
        <v>-0.39456929174812133</v>
      </c>
      <c r="T371" s="14">
        <f t="shared" ca="1" si="73"/>
        <v>-0.21133846073375009</v>
      </c>
      <c r="U371" s="12">
        <f t="shared" ca="1" si="67"/>
        <v>7900</v>
      </c>
      <c r="V371" s="14">
        <f t="shared" ca="1" si="68"/>
        <v>-2373.4177215189875</v>
      </c>
      <c r="W371" s="12">
        <f t="shared" ca="1" si="74"/>
        <v>0</v>
      </c>
      <c r="X371" s="7">
        <f ca="1">AVERAGE(E371:OFFSET(F371,-$X$5+1,0))</f>
        <v>9232.1</v>
      </c>
      <c r="Y371" s="7">
        <f ca="1">AVERAGE(E371:OFFSET(F371,-$Y$5+1,0))</f>
        <v>9228.4</v>
      </c>
      <c r="Z371" s="7">
        <f t="shared" ca="1" si="60"/>
        <v>1</v>
      </c>
    </row>
    <row r="372" spans="1:26">
      <c r="A372" s="3" t="s">
        <v>41</v>
      </c>
      <c r="B372" s="4">
        <v>42193</v>
      </c>
      <c r="C372" s="3">
        <v>9205</v>
      </c>
      <c r="D372" s="3">
        <v>9210</v>
      </c>
      <c r="E372" s="3">
        <v>8912</v>
      </c>
      <c r="F372" s="3">
        <v>8943</v>
      </c>
      <c r="G372" s="3">
        <v>208496</v>
      </c>
      <c r="H372" s="3">
        <v>1.355</v>
      </c>
      <c r="I372" s="2">
        <f t="shared" si="69"/>
        <v>0</v>
      </c>
      <c r="J372" s="10">
        <f t="shared" si="71"/>
        <v>-37</v>
      </c>
      <c r="K372" s="10">
        <f t="shared" si="70"/>
        <v>-262</v>
      </c>
      <c r="L372" s="10">
        <f t="shared" ca="1" si="59"/>
        <v>-1</v>
      </c>
      <c r="M372" s="10">
        <f t="shared" ca="1" si="61"/>
        <v>1</v>
      </c>
      <c r="N372" s="30">
        <f t="shared" ca="1" si="62"/>
        <v>1841000</v>
      </c>
      <c r="O372" s="10">
        <f t="shared" ca="1" si="63"/>
        <v>1841000</v>
      </c>
      <c r="P372" s="29">
        <f t="shared" ca="1" si="64"/>
        <v>-52900</v>
      </c>
      <c r="Q372" s="12">
        <f t="shared" ca="1" si="65"/>
        <v>-232500</v>
      </c>
      <c r="R372" s="10">
        <f t="shared" ca="1" si="66"/>
        <v>-2.87343834872352</v>
      </c>
      <c r="S372" s="10">
        <f t="shared" ca="1" si="72"/>
        <v>-0.58358667649665752</v>
      </c>
      <c r="T372" s="14">
        <f t="shared" ca="1" si="73"/>
        <v>-0.22275664706511933</v>
      </c>
      <c r="U372" s="12">
        <f t="shared" ca="1" si="67"/>
        <v>7900</v>
      </c>
      <c r="V372" s="14">
        <f t="shared" ca="1" si="68"/>
        <v>-3043.0379746835442</v>
      </c>
      <c r="W372" s="12">
        <f t="shared" ca="1" si="74"/>
        <v>0</v>
      </c>
      <c r="X372" s="7">
        <f ca="1">AVERAGE(E372:OFFSET(F372,-$X$5+1,0))</f>
        <v>9169.7999999999993</v>
      </c>
      <c r="Y372" s="7">
        <f ca="1">AVERAGE(E372:OFFSET(F372,-$Y$5+1,0))</f>
        <v>9199.15</v>
      </c>
      <c r="Z372" s="7">
        <f t="shared" ca="1" si="60"/>
        <v>-1</v>
      </c>
    </row>
    <row r="373" spans="1:26">
      <c r="A373" s="3" t="s">
        <v>41</v>
      </c>
      <c r="B373" s="4">
        <v>42194</v>
      </c>
      <c r="C373" s="3">
        <v>8801</v>
      </c>
      <c r="D373" s="3">
        <v>8939</v>
      </c>
      <c r="E373" s="3">
        <v>8724</v>
      </c>
      <c r="F373" s="3">
        <v>8873</v>
      </c>
      <c r="G373" s="3">
        <v>193187</v>
      </c>
      <c r="H373" s="3">
        <v>1.355</v>
      </c>
      <c r="I373" s="2">
        <f t="shared" si="69"/>
        <v>0</v>
      </c>
      <c r="J373" s="10">
        <f t="shared" si="71"/>
        <v>-142</v>
      </c>
      <c r="K373" s="10">
        <f t="shared" si="70"/>
        <v>72</v>
      </c>
      <c r="L373" s="10">
        <f t="shared" ca="1" si="59"/>
        <v>0</v>
      </c>
      <c r="M373" s="10">
        <f t="shared" ca="1" si="61"/>
        <v>0</v>
      </c>
      <c r="N373" s="30">
        <f t="shared" ca="1" si="62"/>
        <v>0</v>
      </c>
      <c r="O373" s="10">
        <f t="shared" ca="1" si="63"/>
        <v>0</v>
      </c>
      <c r="P373" s="29">
        <f t="shared" ca="1" si="64"/>
        <v>-28900</v>
      </c>
      <c r="Q373" s="12">
        <f t="shared" ca="1" si="65"/>
        <v>-261400</v>
      </c>
      <c r="R373" s="10">
        <f t="shared" ca="1" si="66"/>
        <v>-1.5697990222705052</v>
      </c>
      <c r="S373" s="10">
        <f t="shared" ca="1" si="72"/>
        <v>-0.70328614385473709</v>
      </c>
      <c r="T373" s="14">
        <f t="shared" ca="1" si="73"/>
        <v>-0.23331904496554226</v>
      </c>
      <c r="U373" s="12">
        <f t="shared" ca="1" si="67"/>
        <v>7900</v>
      </c>
      <c r="V373" s="14">
        <f t="shared" ca="1" si="68"/>
        <v>-3408.8607594936707</v>
      </c>
      <c r="W373" s="12">
        <f t="shared" ca="1" si="74"/>
        <v>0</v>
      </c>
      <c r="X373" s="7">
        <f ca="1">AVERAGE(E373:OFFSET(F373,-$X$5+1,0))</f>
        <v>9075.7999999999993</v>
      </c>
      <c r="Y373" s="7">
        <f ca="1">AVERAGE(E373:OFFSET(F373,-$Y$5+1,0))</f>
        <v>9148.85</v>
      </c>
      <c r="Z373" s="7">
        <f t="shared" ca="1" si="60"/>
        <v>0</v>
      </c>
    </row>
    <row r="374" spans="1:26">
      <c r="A374" s="3" t="s">
        <v>41</v>
      </c>
      <c r="B374" s="4">
        <v>42198</v>
      </c>
      <c r="C374" s="3">
        <v>8935</v>
      </c>
      <c r="D374" s="3">
        <v>9005</v>
      </c>
      <c r="E374" s="3">
        <v>8902</v>
      </c>
      <c r="F374" s="3">
        <v>8994</v>
      </c>
      <c r="G374" s="3">
        <v>156806</v>
      </c>
      <c r="H374" s="3">
        <v>1.355</v>
      </c>
      <c r="I374" s="2">
        <f t="shared" si="69"/>
        <v>0</v>
      </c>
      <c r="J374" s="10">
        <f t="shared" si="71"/>
        <v>62</v>
      </c>
      <c r="K374" s="10">
        <f t="shared" si="70"/>
        <v>59</v>
      </c>
      <c r="L374" s="10">
        <f t="shared" ca="1" si="59"/>
        <v>0</v>
      </c>
      <c r="M374" s="10">
        <f t="shared" ca="1" si="61"/>
        <v>0</v>
      </c>
      <c r="N374" s="30">
        <f t="shared" ca="1" si="62"/>
        <v>0</v>
      </c>
      <c r="O374" s="10">
        <f t="shared" ca="1" si="63"/>
        <v>0</v>
      </c>
      <c r="P374" s="29">
        <f t="shared" ca="1" si="64"/>
        <v>0</v>
      </c>
      <c r="Q374" s="12">
        <f t="shared" ca="1" si="65"/>
        <v>-261400</v>
      </c>
      <c r="R374" s="10">
        <f t="shared" ca="1" si="66"/>
        <v>0</v>
      </c>
      <c r="S374" s="10">
        <f t="shared" ca="1" si="72"/>
        <v>-0.70328614385473709</v>
      </c>
      <c r="T374" s="14">
        <f t="shared" ca="1" si="73"/>
        <v>-0.23331904496554226</v>
      </c>
      <c r="U374" s="12">
        <f t="shared" ca="1" si="67"/>
        <v>7900</v>
      </c>
      <c r="V374" s="14">
        <f t="shared" ca="1" si="68"/>
        <v>-3408.8607594936707</v>
      </c>
      <c r="W374" s="12">
        <f t="shared" ca="1" si="74"/>
        <v>0</v>
      </c>
      <c r="X374" s="7">
        <f ca="1">AVERAGE(E374:OFFSET(F374,-$X$5+1,0))</f>
        <v>9017.9</v>
      </c>
      <c r="Y374" s="7">
        <f ca="1">AVERAGE(E374:OFFSET(F374,-$Y$5+1,0))</f>
        <v>9112.6</v>
      </c>
      <c r="Z374" s="7">
        <f t="shared" ca="1" si="60"/>
        <v>0</v>
      </c>
    </row>
    <row r="375" spans="1:26">
      <c r="A375" s="3" t="s">
        <v>41</v>
      </c>
      <c r="B375" s="4">
        <v>42199</v>
      </c>
      <c r="C375" s="3">
        <v>9040</v>
      </c>
      <c r="D375" s="3">
        <v>9084</v>
      </c>
      <c r="E375" s="3">
        <v>8982</v>
      </c>
      <c r="F375" s="3">
        <v>8984</v>
      </c>
      <c r="G375" s="3">
        <v>136144</v>
      </c>
      <c r="H375" s="3">
        <v>1.355</v>
      </c>
      <c r="I375" s="2">
        <f t="shared" si="69"/>
        <v>0</v>
      </c>
      <c r="J375" s="10">
        <f t="shared" si="71"/>
        <v>46</v>
      </c>
      <c r="K375" s="10">
        <f t="shared" si="70"/>
        <v>-56</v>
      </c>
      <c r="L375" s="10">
        <f t="shared" ca="1" si="59"/>
        <v>0</v>
      </c>
      <c r="M375" s="10">
        <f t="shared" ca="1" si="61"/>
        <v>0</v>
      </c>
      <c r="N375" s="30">
        <f t="shared" ca="1" si="62"/>
        <v>0</v>
      </c>
      <c r="O375" s="10">
        <f t="shared" ca="1" si="63"/>
        <v>0</v>
      </c>
      <c r="P375" s="29">
        <f t="shared" ca="1" si="64"/>
        <v>0</v>
      </c>
      <c r="Q375" s="12">
        <f t="shared" ca="1" si="65"/>
        <v>-261400</v>
      </c>
      <c r="R375" s="10">
        <f t="shared" ca="1" si="66"/>
        <v>0</v>
      </c>
      <c r="S375" s="10">
        <f t="shared" ca="1" si="72"/>
        <v>-0.71446913907504206</v>
      </c>
      <c r="T375" s="14">
        <f t="shared" ca="1" si="73"/>
        <v>-0.2345867043589876</v>
      </c>
      <c r="U375" s="12">
        <f t="shared" ca="1" si="67"/>
        <v>7900</v>
      </c>
      <c r="V375" s="14">
        <f t="shared" ca="1" si="68"/>
        <v>-3408.8607594936707</v>
      </c>
      <c r="W375" s="12">
        <f t="shared" ca="1" si="74"/>
        <v>0</v>
      </c>
      <c r="X375" s="7">
        <f ca="1">AVERAGE(E375:OFFSET(F375,-$X$5+1,0))</f>
        <v>8976.6</v>
      </c>
      <c r="Y375" s="7">
        <f ca="1">AVERAGE(E375:OFFSET(F375,-$Y$5+1,0))</f>
        <v>9098.5499999999993</v>
      </c>
      <c r="Z375" s="7">
        <f t="shared" ca="1" si="60"/>
        <v>0</v>
      </c>
    </row>
    <row r="376" spans="1:26">
      <c r="A376" s="3" t="s">
        <v>41</v>
      </c>
      <c r="B376" s="4">
        <v>42200</v>
      </c>
      <c r="C376" s="3">
        <v>9040</v>
      </c>
      <c r="D376" s="3">
        <v>9078</v>
      </c>
      <c r="E376" s="3">
        <v>8989</v>
      </c>
      <c r="F376" s="3">
        <v>9030</v>
      </c>
      <c r="G376" s="3">
        <v>88463</v>
      </c>
      <c r="H376" s="3">
        <v>1.355</v>
      </c>
      <c r="I376" s="2">
        <f t="shared" si="69"/>
        <v>1</v>
      </c>
      <c r="J376" s="10">
        <f t="shared" si="71"/>
        <v>56</v>
      </c>
      <c r="K376" s="10">
        <f t="shared" si="70"/>
        <v>-10</v>
      </c>
      <c r="L376" s="10">
        <f t="shared" ca="1" si="59"/>
        <v>0</v>
      </c>
      <c r="M376" s="10">
        <f t="shared" si="61"/>
        <v>0</v>
      </c>
      <c r="N376" s="30">
        <f t="shared" si="62"/>
        <v>0</v>
      </c>
      <c r="O376" s="10">
        <f t="shared" si="63"/>
        <v>0</v>
      </c>
      <c r="P376" s="29">
        <f t="shared" ca="1" si="64"/>
        <v>0</v>
      </c>
      <c r="Q376" s="12">
        <f t="shared" ca="1" si="65"/>
        <v>-261400</v>
      </c>
      <c r="R376" s="10">
        <f t="shared" ca="1" si="66"/>
        <v>0</v>
      </c>
      <c r="S376" s="10">
        <f t="shared" ca="1" si="72"/>
        <v>-0.65731160794903865</v>
      </c>
      <c r="T376" s="14">
        <f t="shared" ca="1" si="73"/>
        <v>-0.22810755634804486</v>
      </c>
      <c r="U376" s="12">
        <f t="shared" ca="1" si="67"/>
        <v>7900</v>
      </c>
      <c r="V376" s="14">
        <f t="shared" ca="1" si="68"/>
        <v>-3408.8607594936707</v>
      </c>
      <c r="W376" s="12">
        <f t="shared" ca="1" si="74"/>
        <v>0</v>
      </c>
      <c r="X376" s="7">
        <f ca="1">AVERAGE(E376:OFFSET(F376,-$X$5+1,0))</f>
        <v>8933.2999999999993</v>
      </c>
      <c r="Y376" s="7">
        <f ca="1">AVERAGE(E376:OFFSET(F376,-$Y$5+1,0))</f>
        <v>9082.7000000000007</v>
      </c>
      <c r="Z376" s="7">
        <f t="shared" ca="1" si="60"/>
        <v>0</v>
      </c>
    </row>
    <row r="377" spans="1:26">
      <c r="A377" s="3" t="s">
        <v>42</v>
      </c>
      <c r="B377" s="4">
        <v>42201</v>
      </c>
      <c r="C377" s="3">
        <v>8935</v>
      </c>
      <c r="D377" s="3">
        <v>8983</v>
      </c>
      <c r="E377" s="3">
        <v>8900</v>
      </c>
      <c r="F377" s="3">
        <v>8918</v>
      </c>
      <c r="G377" s="3">
        <v>132945</v>
      </c>
      <c r="H377" s="3">
        <v>1.355</v>
      </c>
      <c r="I377" s="2">
        <f t="shared" si="69"/>
        <v>0</v>
      </c>
      <c r="J377" s="10">
        <f t="shared" si="71"/>
        <v>-95</v>
      </c>
      <c r="K377" s="10">
        <f t="shared" si="70"/>
        <v>-17</v>
      </c>
      <c r="L377" s="10">
        <f t="shared" ca="1" si="59"/>
        <v>0</v>
      </c>
      <c r="M377" s="10">
        <f t="shared" ca="1" si="61"/>
        <v>0</v>
      </c>
      <c r="N377" s="30">
        <f t="shared" ca="1" si="62"/>
        <v>0</v>
      </c>
      <c r="O377" s="10">
        <f t="shared" ca="1" si="63"/>
        <v>0</v>
      </c>
      <c r="P377" s="29">
        <f t="shared" ca="1" si="64"/>
        <v>0</v>
      </c>
      <c r="Q377" s="12">
        <f t="shared" ca="1" si="65"/>
        <v>-261400</v>
      </c>
      <c r="R377" s="10">
        <f t="shared" ca="1" si="66"/>
        <v>0</v>
      </c>
      <c r="S377" s="10">
        <f t="shared" ca="1" si="72"/>
        <v>-0.62749028736155865</v>
      </c>
      <c r="T377" s="14">
        <f t="shared" ca="1" si="73"/>
        <v>-0.22472713129885738</v>
      </c>
      <c r="U377" s="12">
        <f t="shared" ca="1" si="67"/>
        <v>7900</v>
      </c>
      <c r="V377" s="14">
        <f t="shared" ca="1" si="68"/>
        <v>-3408.8607594936707</v>
      </c>
      <c r="W377" s="12">
        <f t="shared" ca="1" si="74"/>
        <v>0</v>
      </c>
      <c r="X377" s="7">
        <f ca="1">AVERAGE(E377:OFFSET(F377,-$X$5+1,0))</f>
        <v>8929.6</v>
      </c>
      <c r="Y377" s="7">
        <f ca="1">AVERAGE(E377:OFFSET(F377,-$Y$5+1,0))</f>
        <v>9049.7000000000007</v>
      </c>
      <c r="Z377" s="7">
        <f t="shared" ca="1" si="60"/>
        <v>0</v>
      </c>
    </row>
    <row r="378" spans="1:26">
      <c r="A378" s="3" t="s">
        <v>42</v>
      </c>
      <c r="B378" s="4">
        <v>42202</v>
      </c>
      <c r="C378" s="3">
        <v>8906</v>
      </c>
      <c r="D378" s="3">
        <v>8935</v>
      </c>
      <c r="E378" s="3">
        <v>8871</v>
      </c>
      <c r="F378" s="3">
        <v>8912</v>
      </c>
      <c r="G378" s="3">
        <v>112382</v>
      </c>
      <c r="H378" s="3">
        <v>1.355</v>
      </c>
      <c r="I378" s="2">
        <f t="shared" si="69"/>
        <v>0</v>
      </c>
      <c r="J378" s="10">
        <f t="shared" si="71"/>
        <v>-12</v>
      </c>
      <c r="K378" s="10">
        <f t="shared" si="70"/>
        <v>6</v>
      </c>
      <c r="L378" s="10">
        <f t="shared" ca="1" si="59"/>
        <v>0</v>
      </c>
      <c r="M378" s="10">
        <f t="shared" ca="1" si="61"/>
        <v>0</v>
      </c>
      <c r="N378" s="30">
        <f t="shared" ca="1" si="62"/>
        <v>0</v>
      </c>
      <c r="O378" s="10">
        <f t="shared" ca="1" si="63"/>
        <v>0</v>
      </c>
      <c r="P378" s="29">
        <f t="shared" ca="1" si="64"/>
        <v>0</v>
      </c>
      <c r="Q378" s="12">
        <f t="shared" ca="1" si="65"/>
        <v>-261400</v>
      </c>
      <c r="R378" s="10">
        <f t="shared" ca="1" si="66"/>
        <v>0</v>
      </c>
      <c r="S378" s="10">
        <f t="shared" ca="1" si="72"/>
        <v>-0.69293151865075087</v>
      </c>
      <c r="T378" s="14">
        <f t="shared" ca="1" si="73"/>
        <v>-0.2321452862679077</v>
      </c>
      <c r="U378" s="12">
        <f t="shared" ca="1" si="67"/>
        <v>7900</v>
      </c>
      <c r="V378" s="14">
        <f t="shared" ca="1" si="68"/>
        <v>-3408.8607594936707</v>
      </c>
      <c r="W378" s="12">
        <f t="shared" ca="1" si="74"/>
        <v>0</v>
      </c>
      <c r="X378" s="7">
        <f ca="1">AVERAGE(E378:OFFSET(F378,-$X$5+1,0))</f>
        <v>8948.2000000000007</v>
      </c>
      <c r="Y378" s="7">
        <f ca="1">AVERAGE(E378:OFFSET(F378,-$Y$5+1,0))</f>
        <v>9012</v>
      </c>
      <c r="Z378" s="7">
        <f t="shared" ca="1" si="60"/>
        <v>0</v>
      </c>
    </row>
    <row r="379" spans="1:26">
      <c r="A379" s="3" t="s">
        <v>42</v>
      </c>
      <c r="B379" s="4">
        <v>42205</v>
      </c>
      <c r="C379" s="3">
        <v>8970</v>
      </c>
      <c r="D379" s="3">
        <v>9027</v>
      </c>
      <c r="E379" s="3">
        <v>8804</v>
      </c>
      <c r="F379" s="3">
        <v>8851</v>
      </c>
      <c r="G379" s="3">
        <v>155272</v>
      </c>
      <c r="H379" s="3">
        <v>1.355</v>
      </c>
      <c r="I379" s="2">
        <f t="shared" si="69"/>
        <v>0</v>
      </c>
      <c r="J379" s="10">
        <f t="shared" si="71"/>
        <v>58</v>
      </c>
      <c r="K379" s="10">
        <f t="shared" si="70"/>
        <v>-119</v>
      </c>
      <c r="L379" s="10">
        <f t="shared" ca="1" si="59"/>
        <v>0</v>
      </c>
      <c r="M379" s="10">
        <f t="shared" ca="1" si="61"/>
        <v>0</v>
      </c>
      <c r="N379" s="30">
        <f t="shared" ca="1" si="62"/>
        <v>0</v>
      </c>
      <c r="O379" s="10">
        <f t="shared" ca="1" si="63"/>
        <v>0</v>
      </c>
      <c r="P379" s="29">
        <f t="shared" ca="1" si="64"/>
        <v>0</v>
      </c>
      <c r="Q379" s="12">
        <f t="shared" ca="1" si="65"/>
        <v>-261400</v>
      </c>
      <c r="R379" s="10">
        <f t="shared" ca="1" si="66"/>
        <v>0</v>
      </c>
      <c r="S379" s="10">
        <f t="shared" ca="1" si="72"/>
        <v>-0.69541662869970755</v>
      </c>
      <c r="T379" s="14">
        <f t="shared" ca="1" si="73"/>
        <v>-0.23242698835534001</v>
      </c>
      <c r="U379" s="12">
        <f t="shared" ca="1" si="67"/>
        <v>7900</v>
      </c>
      <c r="V379" s="14">
        <f t="shared" ca="1" si="68"/>
        <v>-3408.8607594936707</v>
      </c>
      <c r="W379" s="12">
        <f t="shared" ca="1" si="74"/>
        <v>0</v>
      </c>
      <c r="X379" s="7">
        <f ca="1">AVERAGE(E379:OFFSET(F379,-$X$5+1,0))</f>
        <v>8924.1</v>
      </c>
      <c r="Y379" s="7">
        <f ca="1">AVERAGE(E379:OFFSET(F379,-$Y$5+1,0))</f>
        <v>8971</v>
      </c>
      <c r="Z379" s="7">
        <f t="shared" ca="1" si="60"/>
        <v>0</v>
      </c>
    </row>
    <row r="380" spans="1:26">
      <c r="A380" s="3" t="s">
        <v>42</v>
      </c>
      <c r="B380" s="4">
        <v>42206</v>
      </c>
      <c r="C380" s="3">
        <v>8887</v>
      </c>
      <c r="D380" s="3">
        <v>8940</v>
      </c>
      <c r="E380" s="3">
        <v>8815</v>
      </c>
      <c r="F380" s="3">
        <v>8936</v>
      </c>
      <c r="G380" s="3">
        <v>130287</v>
      </c>
      <c r="H380" s="3">
        <v>1.355</v>
      </c>
      <c r="I380" s="2">
        <f t="shared" si="69"/>
        <v>0</v>
      </c>
      <c r="J380" s="10">
        <f t="shared" si="71"/>
        <v>36</v>
      </c>
      <c r="K380" s="10">
        <f t="shared" si="70"/>
        <v>49</v>
      </c>
      <c r="L380" s="10">
        <f t="shared" ca="1" si="59"/>
        <v>0</v>
      </c>
      <c r="M380" s="10">
        <f t="shared" ca="1" si="61"/>
        <v>0</v>
      </c>
      <c r="N380" s="30">
        <f t="shared" ca="1" si="62"/>
        <v>0</v>
      </c>
      <c r="O380" s="10">
        <f t="shared" ca="1" si="63"/>
        <v>0</v>
      </c>
      <c r="P380" s="29">
        <f t="shared" ca="1" si="64"/>
        <v>0</v>
      </c>
      <c r="Q380" s="12">
        <f t="shared" ca="1" si="65"/>
        <v>-261400</v>
      </c>
      <c r="R380" s="10">
        <f t="shared" ca="1" si="66"/>
        <v>0</v>
      </c>
      <c r="S380" s="10">
        <f t="shared" ca="1" si="72"/>
        <v>-0.71695424912399874</v>
      </c>
      <c r="T380" s="14">
        <f t="shared" ca="1" si="73"/>
        <v>-0.23486840644641988</v>
      </c>
      <c r="U380" s="12">
        <f t="shared" ca="1" si="67"/>
        <v>7900</v>
      </c>
      <c r="V380" s="14">
        <f t="shared" ca="1" si="68"/>
        <v>-3408.8607594936707</v>
      </c>
      <c r="W380" s="12">
        <f t="shared" ca="1" si="74"/>
        <v>0</v>
      </c>
      <c r="X380" s="7">
        <f ca="1">AVERAGE(E380:OFFSET(F380,-$X$5+1,0))</f>
        <v>8902.6</v>
      </c>
      <c r="Y380" s="7">
        <f ca="1">AVERAGE(E380:OFFSET(F380,-$Y$5+1,0))</f>
        <v>8939.6</v>
      </c>
      <c r="Z380" s="7">
        <f t="shared" ca="1" si="60"/>
        <v>0</v>
      </c>
    </row>
    <row r="381" spans="1:26">
      <c r="A381" s="3" t="s">
        <v>42</v>
      </c>
      <c r="B381" s="4">
        <v>42207</v>
      </c>
      <c r="C381" s="3">
        <v>8882</v>
      </c>
      <c r="D381" s="3">
        <v>8883</v>
      </c>
      <c r="E381" s="3">
        <v>8795</v>
      </c>
      <c r="F381" s="3">
        <v>8815</v>
      </c>
      <c r="G381" s="3">
        <v>141837</v>
      </c>
      <c r="H381" s="3">
        <v>1.355</v>
      </c>
      <c r="I381" s="2">
        <f t="shared" si="69"/>
        <v>0</v>
      </c>
      <c r="J381" s="10">
        <f t="shared" si="71"/>
        <v>-54</v>
      </c>
      <c r="K381" s="10">
        <f t="shared" si="70"/>
        <v>-67</v>
      </c>
      <c r="L381" s="10">
        <f t="shared" ref="L381:L444" ca="1" si="75">Z381</f>
        <v>0</v>
      </c>
      <c r="M381" s="10">
        <f t="shared" ca="1" si="61"/>
        <v>0</v>
      </c>
      <c r="N381" s="30">
        <f t="shared" ca="1" si="62"/>
        <v>0</v>
      </c>
      <c r="O381" s="10">
        <f t="shared" ca="1" si="63"/>
        <v>0</v>
      </c>
      <c r="P381" s="29">
        <f t="shared" ca="1" si="64"/>
        <v>0</v>
      </c>
      <c r="Q381" s="12">
        <f t="shared" ca="1" si="65"/>
        <v>-261400</v>
      </c>
      <c r="R381" s="10">
        <f t="shared" ca="1" si="66"/>
        <v>0</v>
      </c>
      <c r="S381" s="10">
        <f t="shared" ca="1" si="72"/>
        <v>-0.67139389822645978</v>
      </c>
      <c r="T381" s="14">
        <f t="shared" ca="1" si="73"/>
        <v>-0.22970386817682786</v>
      </c>
      <c r="U381" s="12">
        <f t="shared" ca="1" si="67"/>
        <v>7900</v>
      </c>
      <c r="V381" s="14">
        <f t="shared" ca="1" si="68"/>
        <v>-3408.8607594936707</v>
      </c>
      <c r="W381" s="12">
        <f t="shared" ca="1" si="74"/>
        <v>0</v>
      </c>
      <c r="X381" s="7">
        <f ca="1">AVERAGE(E381:OFFSET(F381,-$X$5+1,0))</f>
        <v>8861.7000000000007</v>
      </c>
      <c r="Y381" s="7">
        <f ca="1">AVERAGE(E381:OFFSET(F381,-$Y$5+1,0))</f>
        <v>8897.5</v>
      </c>
      <c r="Z381" s="7">
        <f t="shared" ref="Z381:Z444" ca="1" si="76">IF(AND(X380&lt;=Y380,X381&gt;Y381),1,IF(AND(X380&gt;Y380,X381&lt;=Y381),-1,0))</f>
        <v>0</v>
      </c>
    </row>
    <row r="382" spans="1:26">
      <c r="A382" s="3" t="s">
        <v>42</v>
      </c>
      <c r="B382" s="4">
        <v>42208</v>
      </c>
      <c r="C382" s="3">
        <v>8778</v>
      </c>
      <c r="D382" s="3">
        <v>8822</v>
      </c>
      <c r="E382" s="3">
        <v>8670</v>
      </c>
      <c r="F382" s="3">
        <v>8755</v>
      </c>
      <c r="G382" s="3">
        <v>172952</v>
      </c>
      <c r="H382" s="3">
        <v>1.355</v>
      </c>
      <c r="I382" s="2">
        <f t="shared" si="69"/>
        <v>0</v>
      </c>
      <c r="J382" s="10">
        <f t="shared" si="71"/>
        <v>-37</v>
      </c>
      <c r="K382" s="10">
        <f t="shared" si="70"/>
        <v>-23</v>
      </c>
      <c r="L382" s="10">
        <f t="shared" ca="1" si="75"/>
        <v>0</v>
      </c>
      <c r="M382" s="10">
        <f t="shared" ref="M382:M445" ca="1" si="77">IF(I382=1,0,IF(M381+L381&gt;=$M$5,$M$5,IF(M381+L381&lt;=$M$7,$M$7,M381+L381)))</f>
        <v>0</v>
      </c>
      <c r="N382" s="30">
        <f t="shared" ref="N382:N445" ca="1" si="78">IF(M382=0,0,IF(M382&gt;M381,(C382+N381*M381)*$S$5,0))</f>
        <v>0</v>
      </c>
      <c r="O382" s="10">
        <f t="shared" ref="O382:O445" ca="1" si="79">IF(M382=0,0,IF(M382=M381,O381,((M382-M381)*C382+N381*M381)*$S$5/M382))</f>
        <v>0</v>
      </c>
      <c r="P382" s="29">
        <f t="shared" ref="P382:P445" ca="1" si="80">IF(M381=M382,(M381*J382+M382*K382)*$S$5,(M381*J382+M382*K382)*$S$5-$S$6)</f>
        <v>0</v>
      </c>
      <c r="Q382" s="12">
        <f t="shared" ref="Q382:Q445" ca="1" si="81">P382+Q381</f>
        <v>-261400</v>
      </c>
      <c r="R382" s="10">
        <f t="shared" ref="R382:R445" ca="1" si="82">IF(P382=0,0,IF(O382=0,100*P382/O381,100*P382/O382))</f>
        <v>0</v>
      </c>
      <c r="S382" s="10">
        <f t="shared" ca="1" si="72"/>
        <v>-0.65524068290824145</v>
      </c>
      <c r="T382" s="14">
        <f t="shared" ca="1" si="73"/>
        <v>-0.22787280460851794</v>
      </c>
      <c r="U382" s="12">
        <f t="shared" ref="U382:U445" ca="1" si="83">IF(Q382&gt;U381,Q382,U381)</f>
        <v>7900</v>
      </c>
      <c r="V382" s="14">
        <f t="shared" ref="V382:V445" ca="1" si="84">IF(U382=0,0,100*(Q382-U382)/U382)</f>
        <v>-3408.8607594936707</v>
      </c>
      <c r="W382" s="12">
        <f t="shared" ca="1" si="74"/>
        <v>0</v>
      </c>
      <c r="X382" s="7">
        <f ca="1">AVERAGE(E382:OFFSET(F382,-$X$5+1,0))</f>
        <v>8822.4</v>
      </c>
      <c r="Y382" s="7">
        <f ca="1">AVERAGE(E382:OFFSET(F382,-$Y$5+1,0))</f>
        <v>8876</v>
      </c>
      <c r="Z382" s="7">
        <f t="shared" ca="1" si="76"/>
        <v>0</v>
      </c>
    </row>
    <row r="383" spans="1:26">
      <c r="A383" s="3" t="s">
        <v>42</v>
      </c>
      <c r="B383" s="4">
        <v>42209</v>
      </c>
      <c r="C383" s="3">
        <v>8720</v>
      </c>
      <c r="D383" s="3">
        <v>8740</v>
      </c>
      <c r="E383" s="3">
        <v>8653</v>
      </c>
      <c r="F383" s="3">
        <v>8684</v>
      </c>
      <c r="G383" s="3">
        <v>119108</v>
      </c>
      <c r="H383" s="3">
        <v>1.355</v>
      </c>
      <c r="I383" s="2">
        <f t="shared" si="69"/>
        <v>0</v>
      </c>
      <c r="J383" s="10">
        <f t="shared" si="71"/>
        <v>-35</v>
      </c>
      <c r="K383" s="10">
        <f t="shared" si="70"/>
        <v>-36</v>
      </c>
      <c r="L383" s="10">
        <f t="shared" ca="1" si="75"/>
        <v>0</v>
      </c>
      <c r="M383" s="10">
        <f t="shared" ca="1" si="77"/>
        <v>0</v>
      </c>
      <c r="N383" s="30">
        <f t="shared" ca="1" si="78"/>
        <v>0</v>
      </c>
      <c r="O383" s="10">
        <f t="shared" ca="1" si="79"/>
        <v>0</v>
      </c>
      <c r="P383" s="29">
        <f t="shared" ca="1" si="80"/>
        <v>0</v>
      </c>
      <c r="Q383" s="12">
        <f t="shared" ca="1" si="81"/>
        <v>-261400</v>
      </c>
      <c r="R383" s="10">
        <f t="shared" ca="1" si="82"/>
        <v>0</v>
      </c>
      <c r="S383" s="10">
        <f t="shared" ca="1" si="72"/>
        <v>-0.63908746759002311</v>
      </c>
      <c r="T383" s="14">
        <f t="shared" ca="1" si="73"/>
        <v>-0.22604174104020808</v>
      </c>
      <c r="U383" s="12">
        <f t="shared" ca="1" si="83"/>
        <v>7900</v>
      </c>
      <c r="V383" s="14">
        <f t="shared" ca="1" si="84"/>
        <v>-3408.8607594936707</v>
      </c>
      <c r="W383" s="12">
        <f t="shared" ca="1" si="74"/>
        <v>0</v>
      </c>
      <c r="X383" s="7">
        <f ca="1">AVERAGE(E383:OFFSET(F383,-$X$5+1,0))</f>
        <v>8777.7999999999993</v>
      </c>
      <c r="Y383" s="7">
        <f ca="1">AVERAGE(E383:OFFSET(F383,-$Y$5+1,0))</f>
        <v>8863</v>
      </c>
      <c r="Z383" s="7">
        <f t="shared" ca="1" si="76"/>
        <v>0</v>
      </c>
    </row>
    <row r="384" spans="1:26">
      <c r="A384" s="3" t="s">
        <v>42</v>
      </c>
      <c r="B384" s="4">
        <v>42212</v>
      </c>
      <c r="C384" s="3">
        <v>8637</v>
      </c>
      <c r="D384" s="3">
        <v>8670</v>
      </c>
      <c r="E384" s="3">
        <v>8493</v>
      </c>
      <c r="F384" s="3">
        <v>8522</v>
      </c>
      <c r="G384" s="3">
        <v>166804</v>
      </c>
      <c r="H384" s="3">
        <v>1.355</v>
      </c>
      <c r="I384" s="2">
        <f t="shared" si="69"/>
        <v>0</v>
      </c>
      <c r="J384" s="10">
        <f t="shared" si="71"/>
        <v>-47</v>
      </c>
      <c r="K384" s="10">
        <f t="shared" si="70"/>
        <v>-115</v>
      </c>
      <c r="L384" s="10">
        <f t="shared" ca="1" si="75"/>
        <v>0</v>
      </c>
      <c r="M384" s="10">
        <f t="shared" ca="1" si="77"/>
        <v>0</v>
      </c>
      <c r="N384" s="30">
        <f t="shared" ca="1" si="78"/>
        <v>0</v>
      </c>
      <c r="O384" s="10">
        <f t="shared" ca="1" si="79"/>
        <v>0</v>
      </c>
      <c r="P384" s="29">
        <f t="shared" ca="1" si="80"/>
        <v>0</v>
      </c>
      <c r="Q384" s="12">
        <f t="shared" ca="1" si="81"/>
        <v>-261400</v>
      </c>
      <c r="R384" s="10">
        <f t="shared" ca="1" si="82"/>
        <v>0</v>
      </c>
      <c r="S384" s="10">
        <f t="shared" ca="1" si="72"/>
        <v>-0.6117512570514998</v>
      </c>
      <c r="T384" s="14">
        <f t="shared" ca="1" si="73"/>
        <v>-0.22294301807845288</v>
      </c>
      <c r="U384" s="12">
        <f t="shared" ca="1" si="83"/>
        <v>7900</v>
      </c>
      <c r="V384" s="14">
        <f t="shared" ca="1" si="84"/>
        <v>-3408.8607594936707</v>
      </c>
      <c r="W384" s="12">
        <f t="shared" ca="1" si="74"/>
        <v>0</v>
      </c>
      <c r="X384" s="7">
        <f ca="1">AVERAGE(E384:OFFSET(F384,-$X$5+1,0))</f>
        <v>8713.7999999999993</v>
      </c>
      <c r="Y384" s="7">
        <f ca="1">AVERAGE(E384:OFFSET(F384,-$Y$5+1,0))</f>
        <v>8818.9500000000007</v>
      </c>
      <c r="Z384" s="7">
        <f t="shared" ca="1" si="76"/>
        <v>0</v>
      </c>
    </row>
    <row r="385" spans="1:26">
      <c r="A385" s="3" t="s">
        <v>42</v>
      </c>
      <c r="B385" s="4">
        <v>42213</v>
      </c>
      <c r="C385" s="3">
        <v>8500</v>
      </c>
      <c r="D385" s="3">
        <v>8591</v>
      </c>
      <c r="E385" s="3">
        <v>8480</v>
      </c>
      <c r="F385" s="3">
        <v>8541</v>
      </c>
      <c r="G385" s="3">
        <v>144721</v>
      </c>
      <c r="H385" s="3">
        <v>1.355</v>
      </c>
      <c r="I385" s="2">
        <f t="shared" si="69"/>
        <v>0</v>
      </c>
      <c r="J385" s="10">
        <f t="shared" si="71"/>
        <v>-22</v>
      </c>
      <c r="K385" s="10">
        <f t="shared" si="70"/>
        <v>41</v>
      </c>
      <c r="L385" s="10">
        <f t="shared" ca="1" si="75"/>
        <v>0</v>
      </c>
      <c r="M385" s="10">
        <f t="shared" ca="1" si="77"/>
        <v>0</v>
      </c>
      <c r="N385" s="30">
        <f t="shared" ca="1" si="78"/>
        <v>0</v>
      </c>
      <c r="O385" s="10">
        <f t="shared" ca="1" si="79"/>
        <v>0</v>
      </c>
      <c r="P385" s="29">
        <f t="shared" ca="1" si="80"/>
        <v>0</v>
      </c>
      <c r="Q385" s="12">
        <f t="shared" ca="1" si="81"/>
        <v>-261400</v>
      </c>
      <c r="R385" s="10">
        <f t="shared" ca="1" si="82"/>
        <v>0</v>
      </c>
      <c r="S385" s="10">
        <f t="shared" ca="1" si="72"/>
        <v>-0.76996993016840765</v>
      </c>
      <c r="T385" s="14">
        <f t="shared" ca="1" si="73"/>
        <v>-0.24087805097830875</v>
      </c>
      <c r="U385" s="12">
        <f t="shared" ca="1" si="83"/>
        <v>7900</v>
      </c>
      <c r="V385" s="14">
        <f t="shared" ca="1" si="84"/>
        <v>-3408.8607594936707</v>
      </c>
      <c r="W385" s="12">
        <f t="shared" ca="1" si="74"/>
        <v>0</v>
      </c>
      <c r="X385" s="7">
        <f ca="1">AVERAGE(E385:OFFSET(F385,-$X$5+1,0))</f>
        <v>8640.7999999999993</v>
      </c>
      <c r="Y385" s="7">
        <f ca="1">AVERAGE(E385:OFFSET(F385,-$Y$5+1,0))</f>
        <v>8771.7000000000007</v>
      </c>
      <c r="Z385" s="7">
        <f t="shared" ca="1" si="76"/>
        <v>0</v>
      </c>
    </row>
    <row r="386" spans="1:26">
      <c r="A386" s="3" t="s">
        <v>42</v>
      </c>
      <c r="B386" s="4">
        <v>42214</v>
      </c>
      <c r="C386" s="3">
        <v>8533</v>
      </c>
      <c r="D386" s="3">
        <v>8548</v>
      </c>
      <c r="E386" s="3">
        <v>8440</v>
      </c>
      <c r="F386" s="3">
        <v>8484</v>
      </c>
      <c r="G386" s="3">
        <v>163354</v>
      </c>
      <c r="H386" s="3">
        <v>1.355</v>
      </c>
      <c r="I386" s="2">
        <f t="shared" si="69"/>
        <v>0</v>
      </c>
      <c r="J386" s="10">
        <f t="shared" si="71"/>
        <v>-8</v>
      </c>
      <c r="K386" s="10">
        <f t="shared" si="70"/>
        <v>-49</v>
      </c>
      <c r="L386" s="10">
        <f t="shared" ca="1" si="75"/>
        <v>0</v>
      </c>
      <c r="M386" s="10">
        <f t="shared" ca="1" si="77"/>
        <v>0</v>
      </c>
      <c r="N386" s="30">
        <f t="shared" ca="1" si="78"/>
        <v>0</v>
      </c>
      <c r="O386" s="10">
        <f t="shared" ca="1" si="79"/>
        <v>0</v>
      </c>
      <c r="P386" s="29">
        <f t="shared" ca="1" si="80"/>
        <v>0</v>
      </c>
      <c r="Q386" s="12">
        <f t="shared" ca="1" si="81"/>
        <v>-261400</v>
      </c>
      <c r="R386" s="10">
        <f t="shared" ca="1" si="82"/>
        <v>0</v>
      </c>
      <c r="S386" s="10">
        <f t="shared" ca="1" si="72"/>
        <v>-0.76748482011945096</v>
      </c>
      <c r="T386" s="14">
        <f t="shared" ca="1" si="73"/>
        <v>-0.24059634889087644</v>
      </c>
      <c r="U386" s="12">
        <f t="shared" ca="1" si="83"/>
        <v>7900</v>
      </c>
      <c r="V386" s="14">
        <f t="shared" ca="1" si="84"/>
        <v>-3408.8607594936707</v>
      </c>
      <c r="W386" s="12">
        <f t="shared" ca="1" si="74"/>
        <v>0</v>
      </c>
      <c r="X386" s="7">
        <f ca="1">AVERAGE(E386:OFFSET(F386,-$X$5+1,0))</f>
        <v>8572.2000000000007</v>
      </c>
      <c r="Y386" s="7">
        <f ca="1">AVERAGE(E386:OFFSET(F386,-$Y$5+1,0))</f>
        <v>8716.9500000000007</v>
      </c>
      <c r="Z386" s="7">
        <f t="shared" ca="1" si="76"/>
        <v>0</v>
      </c>
    </row>
    <row r="387" spans="1:26">
      <c r="A387" s="3" t="s">
        <v>42</v>
      </c>
      <c r="B387" s="4">
        <v>42215</v>
      </c>
      <c r="C387" s="3">
        <v>8520</v>
      </c>
      <c r="D387" s="3">
        <v>8632</v>
      </c>
      <c r="E387" s="3">
        <v>8509</v>
      </c>
      <c r="F387" s="3">
        <v>8610</v>
      </c>
      <c r="G387" s="3">
        <v>145799</v>
      </c>
      <c r="H387" s="3">
        <v>1.355</v>
      </c>
      <c r="I387" s="2">
        <f t="shared" si="69"/>
        <v>0</v>
      </c>
      <c r="J387" s="10">
        <f t="shared" si="71"/>
        <v>36</v>
      </c>
      <c r="K387" s="10">
        <f t="shared" si="70"/>
        <v>90</v>
      </c>
      <c r="L387" s="10">
        <f t="shared" ca="1" si="75"/>
        <v>0</v>
      </c>
      <c r="M387" s="10">
        <f t="shared" ca="1" si="77"/>
        <v>0</v>
      </c>
      <c r="N387" s="30">
        <f t="shared" ca="1" si="78"/>
        <v>0</v>
      </c>
      <c r="O387" s="10">
        <f t="shared" ca="1" si="79"/>
        <v>0</v>
      </c>
      <c r="P387" s="29">
        <f t="shared" ca="1" si="80"/>
        <v>0</v>
      </c>
      <c r="Q387" s="12">
        <f t="shared" ca="1" si="81"/>
        <v>-261400</v>
      </c>
      <c r="R387" s="10">
        <f t="shared" ca="1" si="82"/>
        <v>0</v>
      </c>
      <c r="S387" s="10">
        <f t="shared" ca="1" si="72"/>
        <v>-0.77245504021736433</v>
      </c>
      <c r="T387" s="14">
        <f t="shared" ca="1" si="73"/>
        <v>-0.24117244914915384</v>
      </c>
      <c r="U387" s="12">
        <f t="shared" ca="1" si="83"/>
        <v>7900</v>
      </c>
      <c r="V387" s="14">
        <f t="shared" ca="1" si="84"/>
        <v>-3408.8607594936707</v>
      </c>
      <c r="W387" s="12">
        <f t="shared" ca="1" si="74"/>
        <v>0</v>
      </c>
      <c r="X387" s="7">
        <f ca="1">AVERAGE(E387:OFFSET(F387,-$X$5+1,0))</f>
        <v>8541.6</v>
      </c>
      <c r="Y387" s="7">
        <f ca="1">AVERAGE(E387:OFFSET(F387,-$Y$5+1,0))</f>
        <v>8682</v>
      </c>
      <c r="Z387" s="7">
        <f t="shared" ca="1" si="76"/>
        <v>0</v>
      </c>
    </row>
    <row r="388" spans="1:26">
      <c r="A388" s="3" t="s">
        <v>42</v>
      </c>
      <c r="B388" s="4">
        <v>42216</v>
      </c>
      <c r="C388" s="3">
        <v>8593</v>
      </c>
      <c r="D388" s="3">
        <v>8606</v>
      </c>
      <c r="E388" s="3">
        <v>8508</v>
      </c>
      <c r="F388" s="3">
        <v>8570</v>
      </c>
      <c r="G388" s="3">
        <v>134719</v>
      </c>
      <c r="H388" s="3">
        <v>1.355</v>
      </c>
      <c r="I388" s="2">
        <f t="shared" ref="I388:I451" si="85">IF(A388=A389,0,1)</f>
        <v>0</v>
      </c>
      <c r="J388" s="10">
        <f t="shared" si="71"/>
        <v>-17</v>
      </c>
      <c r="K388" s="10">
        <f t="shared" ref="K388:K451" si="86">F388-C388</f>
        <v>-23</v>
      </c>
      <c r="L388" s="10">
        <f t="shared" ca="1" si="75"/>
        <v>0</v>
      </c>
      <c r="M388" s="10">
        <f t="shared" ca="1" si="77"/>
        <v>0</v>
      </c>
      <c r="N388" s="30">
        <f t="shared" ca="1" si="78"/>
        <v>0</v>
      </c>
      <c r="O388" s="10">
        <f t="shared" ca="1" si="79"/>
        <v>0</v>
      </c>
      <c r="P388" s="29">
        <f t="shared" ca="1" si="80"/>
        <v>0</v>
      </c>
      <c r="Q388" s="12">
        <f t="shared" ca="1" si="81"/>
        <v>-261400</v>
      </c>
      <c r="R388" s="10">
        <f t="shared" ca="1" si="82"/>
        <v>0</v>
      </c>
      <c r="S388" s="10">
        <f t="shared" ca="1" si="72"/>
        <v>-0.77411178025000205</v>
      </c>
      <c r="T388" s="14">
        <f t="shared" ca="1" si="73"/>
        <v>-0.24222630914676752</v>
      </c>
      <c r="U388" s="12">
        <f t="shared" ca="1" si="83"/>
        <v>7900</v>
      </c>
      <c r="V388" s="14">
        <f t="shared" ca="1" si="84"/>
        <v>-3408.8607594936707</v>
      </c>
      <c r="W388" s="12">
        <f t="shared" ca="1" si="74"/>
        <v>0</v>
      </c>
      <c r="X388" s="7">
        <f ca="1">AVERAGE(E388:OFFSET(F388,-$X$5+1,0))</f>
        <v>8515.7000000000007</v>
      </c>
      <c r="Y388" s="7">
        <f ca="1">AVERAGE(E388:OFFSET(F388,-$Y$5+1,0))</f>
        <v>8646.75</v>
      </c>
      <c r="Z388" s="7">
        <f t="shared" ca="1" si="76"/>
        <v>0</v>
      </c>
    </row>
    <row r="389" spans="1:26">
      <c r="A389" s="3" t="s">
        <v>42</v>
      </c>
      <c r="B389" s="4">
        <v>42219</v>
      </c>
      <c r="C389" s="3">
        <v>8546</v>
      </c>
      <c r="D389" s="3">
        <v>8548</v>
      </c>
      <c r="E389" s="3">
        <v>8400</v>
      </c>
      <c r="F389" s="3">
        <v>8452</v>
      </c>
      <c r="G389" s="3">
        <v>136785</v>
      </c>
      <c r="H389" s="3">
        <v>1.355</v>
      </c>
      <c r="I389" s="2">
        <f t="shared" si="85"/>
        <v>0</v>
      </c>
      <c r="J389" s="10">
        <f t="shared" ref="J389:J452" si="87">C389-F388</f>
        <v>-24</v>
      </c>
      <c r="K389" s="10">
        <f t="shared" si="86"/>
        <v>-94</v>
      </c>
      <c r="L389" s="10">
        <f t="shared" ca="1" si="75"/>
        <v>0</v>
      </c>
      <c r="M389" s="10">
        <f t="shared" ca="1" si="77"/>
        <v>0</v>
      </c>
      <c r="N389" s="30">
        <f t="shared" ca="1" si="78"/>
        <v>0</v>
      </c>
      <c r="O389" s="10">
        <f t="shared" ca="1" si="79"/>
        <v>0</v>
      </c>
      <c r="P389" s="29">
        <f t="shared" ca="1" si="80"/>
        <v>0</v>
      </c>
      <c r="Q389" s="12">
        <f t="shared" ca="1" si="81"/>
        <v>-261400</v>
      </c>
      <c r="R389" s="10">
        <f t="shared" ca="1" si="82"/>
        <v>0</v>
      </c>
      <c r="S389" s="10">
        <f t="shared" ca="1" si="72"/>
        <v>-0.73186490941773874</v>
      </c>
      <c r="T389" s="14">
        <f t="shared" ca="1" si="73"/>
        <v>-0.23756192266375109</v>
      </c>
      <c r="U389" s="12">
        <f t="shared" ca="1" si="83"/>
        <v>7900</v>
      </c>
      <c r="V389" s="14">
        <f t="shared" ca="1" si="84"/>
        <v>-3408.8607594936707</v>
      </c>
      <c r="W389" s="12">
        <f t="shared" ca="1" si="74"/>
        <v>0</v>
      </c>
      <c r="X389" s="7">
        <f ca="1">AVERAGE(E389:OFFSET(F389,-$X$5+1,0))</f>
        <v>8499.4</v>
      </c>
      <c r="Y389" s="7">
        <f ca="1">AVERAGE(E389:OFFSET(F389,-$Y$5+1,0))</f>
        <v>8606.6</v>
      </c>
      <c r="Z389" s="7">
        <f t="shared" ca="1" si="76"/>
        <v>0</v>
      </c>
    </row>
    <row r="390" spans="1:26">
      <c r="A390" s="3" t="s">
        <v>42</v>
      </c>
      <c r="B390" s="4">
        <v>42220</v>
      </c>
      <c r="C390" s="3">
        <v>8487</v>
      </c>
      <c r="D390" s="3">
        <v>8552</v>
      </c>
      <c r="E390" s="3">
        <v>8416</v>
      </c>
      <c r="F390" s="3">
        <v>8465</v>
      </c>
      <c r="G390" s="3">
        <v>167590</v>
      </c>
      <c r="H390" s="3">
        <v>1.355</v>
      </c>
      <c r="I390" s="2">
        <f t="shared" si="85"/>
        <v>0</v>
      </c>
      <c r="J390" s="10">
        <f t="shared" si="87"/>
        <v>35</v>
      </c>
      <c r="K390" s="10">
        <f t="shared" si="86"/>
        <v>-22</v>
      </c>
      <c r="L390" s="10">
        <f t="shared" ca="1" si="75"/>
        <v>0</v>
      </c>
      <c r="M390" s="10">
        <f t="shared" ca="1" si="77"/>
        <v>0</v>
      </c>
      <c r="N390" s="30">
        <f t="shared" ca="1" si="78"/>
        <v>0</v>
      </c>
      <c r="O390" s="10">
        <f t="shared" ca="1" si="79"/>
        <v>0</v>
      </c>
      <c r="P390" s="29">
        <f t="shared" ca="1" si="80"/>
        <v>0</v>
      </c>
      <c r="Q390" s="12">
        <f t="shared" ca="1" si="81"/>
        <v>-261400</v>
      </c>
      <c r="R390" s="10">
        <f t="shared" ca="1" si="82"/>
        <v>0</v>
      </c>
      <c r="S390" s="10">
        <f t="shared" ca="1" si="72"/>
        <v>-0.74843230974411645</v>
      </c>
      <c r="T390" s="14">
        <f t="shared" ca="1" si="73"/>
        <v>-0.24049747932722257</v>
      </c>
      <c r="U390" s="12">
        <f t="shared" ca="1" si="83"/>
        <v>7900</v>
      </c>
      <c r="V390" s="14">
        <f t="shared" ca="1" si="84"/>
        <v>-3408.8607594936707</v>
      </c>
      <c r="W390" s="12">
        <f t="shared" ca="1" si="74"/>
        <v>0</v>
      </c>
      <c r="X390" s="7">
        <f ca="1">AVERAGE(E390:OFFSET(F390,-$X$5+1,0))</f>
        <v>8485.4</v>
      </c>
      <c r="Y390" s="7">
        <f ca="1">AVERAGE(E390:OFFSET(F390,-$Y$5+1,0))</f>
        <v>8563.1</v>
      </c>
      <c r="Z390" s="7">
        <f t="shared" ca="1" si="76"/>
        <v>0</v>
      </c>
    </row>
    <row r="391" spans="1:26">
      <c r="A391" s="3" t="s">
        <v>42</v>
      </c>
      <c r="B391" s="4">
        <v>42221</v>
      </c>
      <c r="C391" s="3">
        <v>8504</v>
      </c>
      <c r="D391" s="3">
        <v>8547</v>
      </c>
      <c r="E391" s="3">
        <v>8448</v>
      </c>
      <c r="F391" s="3">
        <v>8523</v>
      </c>
      <c r="G391" s="3">
        <v>145106</v>
      </c>
      <c r="H391" s="3">
        <v>1.355</v>
      </c>
      <c r="I391" s="2">
        <f t="shared" si="85"/>
        <v>0</v>
      </c>
      <c r="J391" s="10">
        <f t="shared" si="87"/>
        <v>39</v>
      </c>
      <c r="K391" s="10">
        <f t="shared" si="86"/>
        <v>19</v>
      </c>
      <c r="L391" s="10">
        <f t="shared" ca="1" si="75"/>
        <v>0</v>
      </c>
      <c r="M391" s="10">
        <f t="shared" ca="1" si="77"/>
        <v>0</v>
      </c>
      <c r="N391" s="30">
        <f t="shared" ca="1" si="78"/>
        <v>0</v>
      </c>
      <c r="O391" s="10">
        <f t="shared" ca="1" si="79"/>
        <v>0</v>
      </c>
      <c r="P391" s="29">
        <f t="shared" ca="1" si="80"/>
        <v>0</v>
      </c>
      <c r="Q391" s="12">
        <f t="shared" ca="1" si="81"/>
        <v>-261400</v>
      </c>
      <c r="R391" s="10">
        <f t="shared" ca="1" si="82"/>
        <v>0</v>
      </c>
      <c r="S391" s="10">
        <f t="shared" ca="1" si="72"/>
        <v>-0.6838194484712431</v>
      </c>
      <c r="T391" s="14">
        <f t="shared" ca="1" si="73"/>
        <v>-0.23445935336380822</v>
      </c>
      <c r="U391" s="12">
        <f t="shared" ca="1" si="83"/>
        <v>7900</v>
      </c>
      <c r="V391" s="14">
        <f t="shared" ca="1" si="84"/>
        <v>-3408.8607594936707</v>
      </c>
      <c r="W391" s="12">
        <f t="shared" ca="1" si="74"/>
        <v>0</v>
      </c>
      <c r="X391" s="7">
        <f ca="1">AVERAGE(E391:OFFSET(F391,-$X$5+1,0))</f>
        <v>8490.1</v>
      </c>
      <c r="Y391" s="7">
        <f ca="1">AVERAGE(E391:OFFSET(F391,-$Y$5+1,0))</f>
        <v>8531.15</v>
      </c>
      <c r="Z391" s="7">
        <f t="shared" ca="1" si="76"/>
        <v>0</v>
      </c>
    </row>
    <row r="392" spans="1:26">
      <c r="A392" s="3" t="s">
        <v>42</v>
      </c>
      <c r="B392" s="4">
        <v>42222</v>
      </c>
      <c r="C392" s="3">
        <v>8541</v>
      </c>
      <c r="D392" s="3">
        <v>8579</v>
      </c>
      <c r="E392" s="3">
        <v>8366</v>
      </c>
      <c r="F392" s="3">
        <v>8390</v>
      </c>
      <c r="G392" s="3">
        <v>179725</v>
      </c>
      <c r="H392" s="3">
        <v>1.355</v>
      </c>
      <c r="I392" s="2">
        <f t="shared" si="85"/>
        <v>0</v>
      </c>
      <c r="J392" s="10">
        <f t="shared" si="87"/>
        <v>18</v>
      </c>
      <c r="K392" s="10">
        <f t="shared" si="86"/>
        <v>-151</v>
      </c>
      <c r="L392" s="10">
        <f t="shared" ca="1" si="75"/>
        <v>0</v>
      </c>
      <c r="M392" s="10">
        <f t="shared" ca="1" si="77"/>
        <v>0</v>
      </c>
      <c r="N392" s="30">
        <f t="shared" ca="1" si="78"/>
        <v>0</v>
      </c>
      <c r="O392" s="10">
        <f t="shared" ca="1" si="79"/>
        <v>0</v>
      </c>
      <c r="P392" s="29">
        <f t="shared" ca="1" si="80"/>
        <v>0</v>
      </c>
      <c r="Q392" s="12">
        <f t="shared" ca="1" si="81"/>
        <v>-261400</v>
      </c>
      <c r="R392" s="10">
        <f t="shared" ca="1" si="82"/>
        <v>0</v>
      </c>
      <c r="S392" s="10">
        <f t="shared" ca="1" si="72"/>
        <v>-0.66808041816118424</v>
      </c>
      <c r="T392" s="14">
        <f t="shared" ca="1" si="73"/>
        <v>-0.23271035907005286</v>
      </c>
      <c r="U392" s="12">
        <f t="shared" ca="1" si="83"/>
        <v>7900</v>
      </c>
      <c r="V392" s="14">
        <f t="shared" ca="1" si="84"/>
        <v>-3408.8607594936707</v>
      </c>
      <c r="W392" s="12">
        <f t="shared" ca="1" si="74"/>
        <v>0</v>
      </c>
      <c r="X392" s="7">
        <f ca="1">AVERAGE(E392:OFFSET(F392,-$X$5+1,0))</f>
        <v>8453.7999999999993</v>
      </c>
      <c r="Y392" s="7">
        <f ca="1">AVERAGE(E392:OFFSET(F392,-$Y$5+1,0))</f>
        <v>8497.7000000000007</v>
      </c>
      <c r="Z392" s="7">
        <f t="shared" ca="1" si="76"/>
        <v>0</v>
      </c>
    </row>
    <row r="393" spans="1:26">
      <c r="A393" s="3" t="s">
        <v>42</v>
      </c>
      <c r="B393" s="4">
        <v>42223</v>
      </c>
      <c r="C393" s="3">
        <v>8360</v>
      </c>
      <c r="D393" s="3">
        <v>8423</v>
      </c>
      <c r="E393" s="3">
        <v>8312</v>
      </c>
      <c r="F393" s="3">
        <v>8389</v>
      </c>
      <c r="G393" s="3">
        <v>148962</v>
      </c>
      <c r="H393" s="3">
        <v>1.355</v>
      </c>
      <c r="I393" s="2">
        <f t="shared" si="85"/>
        <v>0</v>
      </c>
      <c r="J393" s="10">
        <f t="shared" si="87"/>
        <v>-30</v>
      </c>
      <c r="K393" s="10">
        <f t="shared" si="86"/>
        <v>29</v>
      </c>
      <c r="L393" s="10">
        <f t="shared" ca="1" si="75"/>
        <v>0</v>
      </c>
      <c r="M393" s="10">
        <f t="shared" ca="1" si="77"/>
        <v>0</v>
      </c>
      <c r="N393" s="30">
        <f t="shared" ca="1" si="78"/>
        <v>0</v>
      </c>
      <c r="O393" s="10">
        <f t="shared" ca="1" si="79"/>
        <v>0</v>
      </c>
      <c r="P393" s="29">
        <f t="shared" ca="1" si="80"/>
        <v>0</v>
      </c>
      <c r="Q393" s="12">
        <f t="shared" ca="1" si="81"/>
        <v>-261400</v>
      </c>
      <c r="R393" s="10">
        <f t="shared" ca="1" si="82"/>
        <v>0</v>
      </c>
      <c r="S393" s="10">
        <f t="shared" ca="1" si="72"/>
        <v>-0.68050596840596755</v>
      </c>
      <c r="T393" s="14">
        <f t="shared" ca="1" si="73"/>
        <v>-0.23413964197603576</v>
      </c>
      <c r="U393" s="12">
        <f t="shared" ca="1" si="83"/>
        <v>7900</v>
      </c>
      <c r="V393" s="14">
        <f t="shared" ca="1" si="84"/>
        <v>-3408.8607594936707</v>
      </c>
      <c r="W393" s="12">
        <f t="shared" ca="1" si="74"/>
        <v>0</v>
      </c>
      <c r="X393" s="7">
        <f ca="1">AVERAGE(E393:OFFSET(F393,-$X$5+1,0))</f>
        <v>8416.1</v>
      </c>
      <c r="Y393" s="7">
        <f ca="1">AVERAGE(E393:OFFSET(F393,-$Y$5+1,0))</f>
        <v>8465.9</v>
      </c>
      <c r="Z393" s="7">
        <f t="shared" ca="1" si="76"/>
        <v>0</v>
      </c>
    </row>
    <row r="394" spans="1:26">
      <c r="A394" s="3" t="s">
        <v>42</v>
      </c>
      <c r="B394" s="4">
        <v>42226</v>
      </c>
      <c r="C394" s="3">
        <v>8405</v>
      </c>
      <c r="D394" s="3">
        <v>8461</v>
      </c>
      <c r="E394" s="3">
        <v>8345</v>
      </c>
      <c r="F394" s="3">
        <v>8445</v>
      </c>
      <c r="G394" s="3">
        <v>143249</v>
      </c>
      <c r="H394" s="3">
        <v>1.355</v>
      </c>
      <c r="I394" s="2">
        <f t="shared" si="85"/>
        <v>0</v>
      </c>
      <c r="J394" s="10">
        <f t="shared" si="87"/>
        <v>16</v>
      </c>
      <c r="K394" s="10">
        <f t="shared" si="86"/>
        <v>40</v>
      </c>
      <c r="L394" s="10">
        <f t="shared" ca="1" si="75"/>
        <v>0</v>
      </c>
      <c r="M394" s="10">
        <f t="shared" ca="1" si="77"/>
        <v>0</v>
      </c>
      <c r="N394" s="30">
        <f t="shared" ca="1" si="78"/>
        <v>0</v>
      </c>
      <c r="O394" s="10">
        <f t="shared" ca="1" si="79"/>
        <v>0</v>
      </c>
      <c r="P394" s="29">
        <f t="shared" ca="1" si="80"/>
        <v>0</v>
      </c>
      <c r="Q394" s="12">
        <f t="shared" ca="1" si="81"/>
        <v>-261400</v>
      </c>
      <c r="R394" s="10">
        <f t="shared" ca="1" si="82"/>
        <v>0</v>
      </c>
      <c r="S394" s="10">
        <f t="shared" ca="1" si="72"/>
        <v>-0.6709797132183003</v>
      </c>
      <c r="T394" s="14">
        <f t="shared" ca="1" si="73"/>
        <v>-0.23304385841478217</v>
      </c>
      <c r="U394" s="12">
        <f t="shared" ca="1" si="83"/>
        <v>7900</v>
      </c>
      <c r="V394" s="14">
        <f t="shared" ca="1" si="84"/>
        <v>-3408.8607594936707</v>
      </c>
      <c r="W394" s="12">
        <f t="shared" ca="1" si="74"/>
        <v>0</v>
      </c>
      <c r="X394" s="7">
        <f ca="1">AVERAGE(E394:OFFSET(F394,-$X$5+1,0))</f>
        <v>8409.9</v>
      </c>
      <c r="Y394" s="7">
        <f ca="1">AVERAGE(E394:OFFSET(F394,-$Y$5+1,0))</f>
        <v>8454.65</v>
      </c>
      <c r="Z394" s="7">
        <f t="shared" ca="1" si="76"/>
        <v>0</v>
      </c>
    </row>
    <row r="395" spans="1:26">
      <c r="A395" s="3" t="s">
        <v>42</v>
      </c>
      <c r="B395" s="4">
        <v>42227</v>
      </c>
      <c r="C395" s="3">
        <v>8505</v>
      </c>
      <c r="D395" s="3">
        <v>8556</v>
      </c>
      <c r="E395" s="3">
        <v>8358</v>
      </c>
      <c r="F395" s="3">
        <v>8360</v>
      </c>
      <c r="G395" s="3">
        <v>185332</v>
      </c>
      <c r="H395" s="3">
        <v>1.355</v>
      </c>
      <c r="I395" s="2">
        <f t="shared" si="85"/>
        <v>0</v>
      </c>
      <c r="J395" s="10">
        <f t="shared" si="87"/>
        <v>60</v>
      </c>
      <c r="K395" s="10">
        <f t="shared" si="86"/>
        <v>-145</v>
      </c>
      <c r="L395" s="10">
        <f t="shared" ca="1" si="75"/>
        <v>0</v>
      </c>
      <c r="M395" s="10">
        <f t="shared" ca="1" si="77"/>
        <v>0</v>
      </c>
      <c r="N395" s="30">
        <f t="shared" ca="1" si="78"/>
        <v>0</v>
      </c>
      <c r="O395" s="10">
        <f t="shared" ca="1" si="79"/>
        <v>0</v>
      </c>
      <c r="P395" s="29">
        <f t="shared" ca="1" si="80"/>
        <v>0</v>
      </c>
      <c r="Q395" s="12">
        <f t="shared" ca="1" si="81"/>
        <v>-261400</v>
      </c>
      <c r="R395" s="10">
        <f t="shared" ca="1" si="82"/>
        <v>0</v>
      </c>
      <c r="S395" s="10">
        <f t="shared" ca="1" si="72"/>
        <v>-0.6709797132183003</v>
      </c>
      <c r="T395" s="14">
        <f t="shared" ca="1" si="73"/>
        <v>-0.23304385841478217</v>
      </c>
      <c r="U395" s="12">
        <f t="shared" ca="1" si="83"/>
        <v>7900</v>
      </c>
      <c r="V395" s="14">
        <f t="shared" ca="1" si="84"/>
        <v>-3408.8607594936707</v>
      </c>
      <c r="W395" s="12">
        <f t="shared" ca="1" si="74"/>
        <v>0</v>
      </c>
      <c r="X395" s="7">
        <f ca="1">AVERAGE(E395:OFFSET(F395,-$X$5+1,0))</f>
        <v>8393.6</v>
      </c>
      <c r="Y395" s="7">
        <f ca="1">AVERAGE(E395:OFFSET(F395,-$Y$5+1,0))</f>
        <v>8439.5</v>
      </c>
      <c r="Z395" s="7">
        <f t="shared" ca="1" si="76"/>
        <v>0</v>
      </c>
    </row>
    <row r="396" spans="1:26">
      <c r="A396" s="3" t="s">
        <v>42</v>
      </c>
      <c r="B396" s="4">
        <v>42228</v>
      </c>
      <c r="C396" s="3">
        <v>8365</v>
      </c>
      <c r="D396" s="3">
        <v>8390</v>
      </c>
      <c r="E396" s="3">
        <v>8243</v>
      </c>
      <c r="F396" s="3">
        <v>8299</v>
      </c>
      <c r="G396" s="3">
        <v>184836</v>
      </c>
      <c r="H396" s="3">
        <v>1.355</v>
      </c>
      <c r="I396" s="2">
        <f t="shared" si="85"/>
        <v>0</v>
      </c>
      <c r="J396" s="10">
        <f t="shared" si="87"/>
        <v>5</v>
      </c>
      <c r="K396" s="10">
        <f t="shared" si="86"/>
        <v>-66</v>
      </c>
      <c r="L396" s="10">
        <f t="shared" ca="1" si="75"/>
        <v>0</v>
      </c>
      <c r="M396" s="10">
        <f t="shared" ca="1" si="77"/>
        <v>0</v>
      </c>
      <c r="N396" s="30">
        <f t="shared" ca="1" si="78"/>
        <v>0</v>
      </c>
      <c r="O396" s="10">
        <f t="shared" ca="1" si="79"/>
        <v>0</v>
      </c>
      <c r="P396" s="29">
        <f t="shared" ca="1" si="80"/>
        <v>0</v>
      </c>
      <c r="Q396" s="12">
        <f t="shared" ca="1" si="81"/>
        <v>-261400</v>
      </c>
      <c r="R396" s="10">
        <f t="shared" ca="1" si="82"/>
        <v>0</v>
      </c>
      <c r="S396" s="10">
        <f t="shared" ca="1" si="72"/>
        <v>-0.6709797132183003</v>
      </c>
      <c r="T396" s="14">
        <f t="shared" ca="1" si="73"/>
        <v>-0.23304385841478217</v>
      </c>
      <c r="U396" s="12">
        <f t="shared" ca="1" si="83"/>
        <v>7900</v>
      </c>
      <c r="V396" s="14">
        <f t="shared" ca="1" si="84"/>
        <v>-3408.8607594936707</v>
      </c>
      <c r="W396" s="12">
        <f t="shared" ca="1" si="74"/>
        <v>0</v>
      </c>
      <c r="X396" s="7">
        <f ca="1">AVERAGE(E396:OFFSET(F396,-$X$5+1,0))</f>
        <v>8350.7000000000007</v>
      </c>
      <c r="Y396" s="7">
        <f ca="1">AVERAGE(E396:OFFSET(F396,-$Y$5+1,0))</f>
        <v>8420.4</v>
      </c>
      <c r="Z396" s="7">
        <f t="shared" ca="1" si="76"/>
        <v>0</v>
      </c>
    </row>
    <row r="397" spans="1:26">
      <c r="A397" s="3" t="s">
        <v>42</v>
      </c>
      <c r="B397" s="4">
        <v>42229</v>
      </c>
      <c r="C397" s="3">
        <v>8348</v>
      </c>
      <c r="D397" s="3">
        <v>8363</v>
      </c>
      <c r="E397" s="3">
        <v>8275</v>
      </c>
      <c r="F397" s="3">
        <v>8306</v>
      </c>
      <c r="G397" s="3">
        <v>151639</v>
      </c>
      <c r="H397" s="3">
        <v>1.355</v>
      </c>
      <c r="I397" s="2">
        <f t="shared" si="85"/>
        <v>0</v>
      </c>
      <c r="J397" s="10">
        <f t="shared" si="87"/>
        <v>49</v>
      </c>
      <c r="K397" s="10">
        <f t="shared" si="86"/>
        <v>-42</v>
      </c>
      <c r="L397" s="10">
        <f t="shared" ca="1" si="75"/>
        <v>0</v>
      </c>
      <c r="M397" s="10">
        <f t="shared" ca="1" si="77"/>
        <v>0</v>
      </c>
      <c r="N397" s="30">
        <f t="shared" ca="1" si="78"/>
        <v>0</v>
      </c>
      <c r="O397" s="10">
        <f t="shared" ca="1" si="79"/>
        <v>0</v>
      </c>
      <c r="P397" s="29">
        <f t="shared" ca="1" si="80"/>
        <v>0</v>
      </c>
      <c r="Q397" s="12">
        <f t="shared" ca="1" si="81"/>
        <v>-261400</v>
      </c>
      <c r="R397" s="10">
        <f t="shared" ca="1" si="82"/>
        <v>0</v>
      </c>
      <c r="S397" s="10">
        <f t="shared" ca="1" si="72"/>
        <v>-0.6709797132183003</v>
      </c>
      <c r="T397" s="14">
        <f t="shared" ca="1" si="73"/>
        <v>-0.23304385841478217</v>
      </c>
      <c r="U397" s="12">
        <f t="shared" ca="1" si="83"/>
        <v>7900</v>
      </c>
      <c r="V397" s="14">
        <f t="shared" ca="1" si="84"/>
        <v>-3408.8607594936707</v>
      </c>
      <c r="W397" s="12">
        <f t="shared" ca="1" si="74"/>
        <v>0</v>
      </c>
      <c r="X397" s="7">
        <f ca="1">AVERAGE(E397:OFFSET(F397,-$X$5+1,0))</f>
        <v>8333.2000000000007</v>
      </c>
      <c r="Y397" s="7">
        <f ca="1">AVERAGE(E397:OFFSET(F397,-$Y$5+1,0))</f>
        <v>8393.5</v>
      </c>
      <c r="Z397" s="7">
        <f t="shared" ca="1" si="76"/>
        <v>0</v>
      </c>
    </row>
    <row r="398" spans="1:26">
      <c r="A398" s="3" t="s">
        <v>42</v>
      </c>
      <c r="B398" s="4">
        <v>42230</v>
      </c>
      <c r="C398" s="3">
        <v>8262</v>
      </c>
      <c r="D398" s="3">
        <v>8334</v>
      </c>
      <c r="E398" s="3">
        <v>8262</v>
      </c>
      <c r="F398" s="3">
        <v>8325</v>
      </c>
      <c r="G398" s="3">
        <v>112509</v>
      </c>
      <c r="H398" s="3">
        <v>1.355</v>
      </c>
      <c r="I398" s="2">
        <f t="shared" si="85"/>
        <v>0</v>
      </c>
      <c r="J398" s="10">
        <f t="shared" si="87"/>
        <v>-44</v>
      </c>
      <c r="K398" s="10">
        <f t="shared" si="86"/>
        <v>63</v>
      </c>
      <c r="L398" s="10">
        <f t="shared" ca="1" si="75"/>
        <v>0</v>
      </c>
      <c r="M398" s="10">
        <f t="shared" ca="1" si="77"/>
        <v>0</v>
      </c>
      <c r="N398" s="30">
        <f t="shared" ca="1" si="78"/>
        <v>0</v>
      </c>
      <c r="O398" s="10">
        <f t="shared" ca="1" si="79"/>
        <v>0</v>
      </c>
      <c r="P398" s="29">
        <f t="shared" ca="1" si="80"/>
        <v>0</v>
      </c>
      <c r="Q398" s="12">
        <f t="shared" ca="1" si="81"/>
        <v>-261400</v>
      </c>
      <c r="R398" s="10">
        <f t="shared" ca="1" si="82"/>
        <v>0</v>
      </c>
      <c r="S398" s="10">
        <f t="shared" ca="1" si="72"/>
        <v>-0.6709797132183003</v>
      </c>
      <c r="T398" s="14">
        <f t="shared" ca="1" si="73"/>
        <v>-0.23304385841478217</v>
      </c>
      <c r="U398" s="12">
        <f t="shared" ca="1" si="83"/>
        <v>7900</v>
      </c>
      <c r="V398" s="14">
        <f t="shared" ca="1" si="84"/>
        <v>-3408.8607594936707</v>
      </c>
      <c r="W398" s="12">
        <f t="shared" ca="1" si="74"/>
        <v>0</v>
      </c>
      <c r="X398" s="7">
        <f ca="1">AVERAGE(E398:OFFSET(F398,-$X$5+1,0))</f>
        <v>8321.7999999999993</v>
      </c>
      <c r="Y398" s="7">
        <f ca="1">AVERAGE(E398:OFFSET(F398,-$Y$5+1,0))</f>
        <v>8368.9500000000007</v>
      </c>
      <c r="Z398" s="7">
        <f t="shared" ca="1" si="76"/>
        <v>0</v>
      </c>
    </row>
    <row r="399" spans="1:26">
      <c r="A399" s="3" t="s">
        <v>42</v>
      </c>
      <c r="B399" s="4">
        <v>42233</v>
      </c>
      <c r="C399" s="3">
        <v>8321</v>
      </c>
      <c r="D399" s="3">
        <v>8330</v>
      </c>
      <c r="E399" s="3">
        <v>8223</v>
      </c>
      <c r="F399" s="3">
        <v>8238</v>
      </c>
      <c r="G399" s="3">
        <v>125957</v>
      </c>
      <c r="H399" s="3">
        <v>1.355</v>
      </c>
      <c r="I399" s="2">
        <f t="shared" si="85"/>
        <v>0</v>
      </c>
      <c r="J399" s="10">
        <f t="shared" si="87"/>
        <v>-4</v>
      </c>
      <c r="K399" s="10">
        <f t="shared" si="86"/>
        <v>-83</v>
      </c>
      <c r="L399" s="10">
        <f t="shared" ca="1" si="75"/>
        <v>0</v>
      </c>
      <c r="M399" s="10">
        <f t="shared" ca="1" si="77"/>
        <v>0</v>
      </c>
      <c r="N399" s="30">
        <f t="shared" ca="1" si="78"/>
        <v>0</v>
      </c>
      <c r="O399" s="10">
        <f t="shared" ca="1" si="79"/>
        <v>0</v>
      </c>
      <c r="P399" s="29">
        <f t="shared" ca="1" si="80"/>
        <v>0</v>
      </c>
      <c r="Q399" s="12">
        <f t="shared" ca="1" si="81"/>
        <v>-261400</v>
      </c>
      <c r="R399" s="10">
        <f t="shared" ca="1" si="82"/>
        <v>0</v>
      </c>
      <c r="S399" s="10">
        <f t="shared" ca="1" si="72"/>
        <v>-0.6709797132183003</v>
      </c>
      <c r="T399" s="14">
        <f t="shared" ca="1" si="73"/>
        <v>-0.23304385841478217</v>
      </c>
      <c r="U399" s="12">
        <f t="shared" ca="1" si="83"/>
        <v>7900</v>
      </c>
      <c r="V399" s="14">
        <f t="shared" ca="1" si="84"/>
        <v>-3408.8607594936707</v>
      </c>
      <c r="W399" s="12">
        <f t="shared" ca="1" si="74"/>
        <v>0</v>
      </c>
      <c r="X399" s="7">
        <f ca="1">AVERAGE(E399:OFFSET(F399,-$X$5+1,0))</f>
        <v>8288.9</v>
      </c>
      <c r="Y399" s="7">
        <f ca="1">AVERAGE(E399:OFFSET(F399,-$Y$5+1,0))</f>
        <v>8349.4</v>
      </c>
      <c r="Z399" s="7">
        <f t="shared" ca="1" si="76"/>
        <v>0</v>
      </c>
    </row>
    <row r="400" spans="1:26">
      <c r="A400" s="3" t="s">
        <v>42</v>
      </c>
      <c r="B400" s="4">
        <v>42234</v>
      </c>
      <c r="C400" s="3">
        <v>8241</v>
      </c>
      <c r="D400" s="3">
        <v>8276</v>
      </c>
      <c r="E400" s="3">
        <v>8161</v>
      </c>
      <c r="F400" s="3">
        <v>8171</v>
      </c>
      <c r="G400" s="3">
        <v>130582</v>
      </c>
      <c r="H400" s="3">
        <v>1.355</v>
      </c>
      <c r="I400" s="2">
        <f t="shared" si="85"/>
        <v>0</v>
      </c>
      <c r="J400" s="10">
        <f t="shared" si="87"/>
        <v>3</v>
      </c>
      <c r="K400" s="10">
        <f t="shared" si="86"/>
        <v>-70</v>
      </c>
      <c r="L400" s="10">
        <f t="shared" ca="1" si="75"/>
        <v>0</v>
      </c>
      <c r="M400" s="10">
        <f t="shared" ca="1" si="77"/>
        <v>0</v>
      </c>
      <c r="N400" s="30">
        <f t="shared" ca="1" si="78"/>
        <v>0</v>
      </c>
      <c r="O400" s="10">
        <f t="shared" ca="1" si="79"/>
        <v>0</v>
      </c>
      <c r="P400" s="29">
        <f t="shared" ca="1" si="80"/>
        <v>0</v>
      </c>
      <c r="Q400" s="12">
        <f t="shared" ca="1" si="81"/>
        <v>-261400</v>
      </c>
      <c r="R400" s="10">
        <f t="shared" ca="1" si="82"/>
        <v>0</v>
      </c>
      <c r="S400" s="10">
        <f t="shared" ca="1" si="72"/>
        <v>-0.6709797132183003</v>
      </c>
      <c r="T400" s="14">
        <f t="shared" ca="1" si="73"/>
        <v>-0.23304385841478217</v>
      </c>
      <c r="U400" s="12">
        <f t="shared" ca="1" si="83"/>
        <v>7900</v>
      </c>
      <c r="V400" s="14">
        <f t="shared" ca="1" si="84"/>
        <v>-3408.8607594936707</v>
      </c>
      <c r="W400" s="12">
        <f t="shared" ca="1" si="74"/>
        <v>0</v>
      </c>
      <c r="X400" s="7">
        <f ca="1">AVERAGE(E400:OFFSET(F400,-$X$5+1,0))</f>
        <v>8250.2999999999993</v>
      </c>
      <c r="Y400" s="7">
        <f ca="1">AVERAGE(E400:OFFSET(F400,-$Y$5+1,0))</f>
        <v>8321.9500000000007</v>
      </c>
      <c r="Z400" s="7">
        <f t="shared" ca="1" si="76"/>
        <v>0</v>
      </c>
    </row>
    <row r="401" spans="1:26">
      <c r="A401" s="3" t="s">
        <v>42</v>
      </c>
      <c r="B401" s="4">
        <v>42235</v>
      </c>
      <c r="C401" s="3">
        <v>8178</v>
      </c>
      <c r="D401" s="3">
        <v>8179</v>
      </c>
      <c r="E401" s="3">
        <v>7993</v>
      </c>
      <c r="F401" s="3">
        <v>8002</v>
      </c>
      <c r="G401" s="3">
        <v>101864</v>
      </c>
      <c r="H401" s="3">
        <v>1.355</v>
      </c>
      <c r="I401" s="2">
        <f t="shared" si="85"/>
        <v>1</v>
      </c>
      <c r="J401" s="10">
        <f t="shared" si="87"/>
        <v>7</v>
      </c>
      <c r="K401" s="10">
        <f t="shared" si="86"/>
        <v>-176</v>
      </c>
      <c r="L401" s="10">
        <f t="shared" ca="1" si="75"/>
        <v>0</v>
      </c>
      <c r="M401" s="10">
        <f t="shared" si="77"/>
        <v>0</v>
      </c>
      <c r="N401" s="30">
        <f t="shared" si="78"/>
        <v>0</v>
      </c>
      <c r="O401" s="10">
        <f t="shared" si="79"/>
        <v>0</v>
      </c>
      <c r="P401" s="29">
        <f t="shared" ca="1" si="80"/>
        <v>0</v>
      </c>
      <c r="Q401" s="12">
        <f t="shared" ca="1" si="81"/>
        <v>-261400</v>
      </c>
      <c r="R401" s="10">
        <f t="shared" ca="1" si="82"/>
        <v>0</v>
      </c>
      <c r="S401" s="10">
        <f t="shared" ca="1" si="72"/>
        <v>-0.6709797132183003</v>
      </c>
      <c r="T401" s="14">
        <f t="shared" ca="1" si="73"/>
        <v>-0.23304385841478217</v>
      </c>
      <c r="U401" s="12">
        <f t="shared" ca="1" si="83"/>
        <v>7900</v>
      </c>
      <c r="V401" s="14">
        <f t="shared" ca="1" si="84"/>
        <v>-3408.8607594936707</v>
      </c>
      <c r="W401" s="12">
        <f t="shared" ca="1" si="74"/>
        <v>0</v>
      </c>
      <c r="X401" s="7">
        <f ca="1">AVERAGE(E401:OFFSET(F401,-$X$5+1,0))</f>
        <v>8195.6</v>
      </c>
      <c r="Y401" s="7">
        <f ca="1">AVERAGE(E401:OFFSET(F401,-$Y$5+1,0))</f>
        <v>8273.15</v>
      </c>
      <c r="Z401" s="7">
        <f t="shared" ca="1" si="76"/>
        <v>0</v>
      </c>
    </row>
    <row r="402" spans="1:26">
      <c r="A402" s="3" t="s">
        <v>43</v>
      </c>
      <c r="B402" s="4">
        <v>42236</v>
      </c>
      <c r="C402" s="3">
        <v>7949</v>
      </c>
      <c r="D402" s="3">
        <v>8040</v>
      </c>
      <c r="E402" s="3">
        <v>7898</v>
      </c>
      <c r="F402" s="3">
        <v>7976</v>
      </c>
      <c r="G402" s="3">
        <v>187942</v>
      </c>
      <c r="H402" s="3">
        <v>1.355</v>
      </c>
      <c r="I402" s="2">
        <f t="shared" si="85"/>
        <v>0</v>
      </c>
      <c r="J402" s="10">
        <f t="shared" si="87"/>
        <v>-53</v>
      </c>
      <c r="K402" s="10">
        <f t="shared" si="86"/>
        <v>27</v>
      </c>
      <c r="L402" s="10">
        <f t="shared" ca="1" si="75"/>
        <v>0</v>
      </c>
      <c r="M402" s="10">
        <f t="shared" ca="1" si="77"/>
        <v>0</v>
      </c>
      <c r="N402" s="30">
        <f t="shared" ca="1" si="78"/>
        <v>0</v>
      </c>
      <c r="O402" s="10">
        <f t="shared" ca="1" si="79"/>
        <v>0</v>
      </c>
      <c r="P402" s="29">
        <f t="shared" ca="1" si="80"/>
        <v>0</v>
      </c>
      <c r="Q402" s="12">
        <f t="shared" ca="1" si="81"/>
        <v>-261400</v>
      </c>
      <c r="R402" s="10">
        <f t="shared" ca="1" si="82"/>
        <v>0</v>
      </c>
      <c r="S402" s="10">
        <f t="shared" ca="1" si="72"/>
        <v>-0.6709797132183003</v>
      </c>
      <c r="T402" s="14">
        <f t="shared" ca="1" si="73"/>
        <v>-0.23304385841478217</v>
      </c>
      <c r="U402" s="12">
        <f t="shared" ca="1" si="83"/>
        <v>7900</v>
      </c>
      <c r="V402" s="14">
        <f t="shared" ca="1" si="84"/>
        <v>-3408.8607594936707</v>
      </c>
      <c r="W402" s="12">
        <f t="shared" ca="1" si="74"/>
        <v>0</v>
      </c>
      <c r="X402" s="7">
        <f ca="1">AVERAGE(E402:OFFSET(F402,-$X$5+1,0))</f>
        <v>8124.9</v>
      </c>
      <c r="Y402" s="7">
        <f ca="1">AVERAGE(E402:OFFSET(F402,-$Y$5+1,0))</f>
        <v>8229.0499999999993</v>
      </c>
      <c r="Z402" s="7">
        <f t="shared" ca="1" si="76"/>
        <v>0</v>
      </c>
    </row>
    <row r="403" spans="1:26">
      <c r="A403" s="3" t="s">
        <v>43</v>
      </c>
      <c r="B403" s="4">
        <v>42237</v>
      </c>
      <c r="C403" s="3">
        <v>7858</v>
      </c>
      <c r="D403" s="3">
        <v>7887</v>
      </c>
      <c r="E403" s="3">
        <v>7740</v>
      </c>
      <c r="F403" s="3">
        <v>7746</v>
      </c>
      <c r="G403" s="3">
        <v>174438</v>
      </c>
      <c r="H403" s="3">
        <v>1.355</v>
      </c>
      <c r="I403" s="2">
        <f t="shared" si="85"/>
        <v>0</v>
      </c>
      <c r="J403" s="10">
        <f t="shared" si="87"/>
        <v>-118</v>
      </c>
      <c r="K403" s="10">
        <f t="shared" si="86"/>
        <v>-112</v>
      </c>
      <c r="L403" s="10">
        <f t="shared" ca="1" si="75"/>
        <v>0</v>
      </c>
      <c r="M403" s="10">
        <f t="shared" ca="1" si="77"/>
        <v>0</v>
      </c>
      <c r="N403" s="30">
        <f t="shared" ca="1" si="78"/>
        <v>0</v>
      </c>
      <c r="O403" s="10">
        <f t="shared" ca="1" si="79"/>
        <v>0</v>
      </c>
      <c r="P403" s="29">
        <f t="shared" ca="1" si="80"/>
        <v>0</v>
      </c>
      <c r="Q403" s="12">
        <f t="shared" ca="1" si="81"/>
        <v>-261400</v>
      </c>
      <c r="R403" s="10">
        <f t="shared" ca="1" si="82"/>
        <v>0</v>
      </c>
      <c r="S403" s="10">
        <f t="shared" ca="1" si="72"/>
        <v>-0.6709797132183003</v>
      </c>
      <c r="T403" s="14">
        <f t="shared" ca="1" si="73"/>
        <v>-0.23304385841478217</v>
      </c>
      <c r="U403" s="12">
        <f t="shared" ca="1" si="83"/>
        <v>7900</v>
      </c>
      <c r="V403" s="14">
        <f t="shared" ca="1" si="84"/>
        <v>-3408.8607594936707</v>
      </c>
      <c r="W403" s="12">
        <f t="shared" ca="1" si="74"/>
        <v>0</v>
      </c>
      <c r="X403" s="7">
        <f ca="1">AVERAGE(E403:OFFSET(F403,-$X$5+1,0))</f>
        <v>8014.8</v>
      </c>
      <c r="Y403" s="7">
        <f ca="1">AVERAGE(E403:OFFSET(F403,-$Y$5+1,0))</f>
        <v>8168.3</v>
      </c>
      <c r="Z403" s="7">
        <f t="shared" ca="1" si="76"/>
        <v>0</v>
      </c>
    </row>
    <row r="404" spans="1:26">
      <c r="A404" s="3" t="s">
        <v>43</v>
      </c>
      <c r="B404" s="4">
        <v>42240</v>
      </c>
      <c r="C404" s="3">
        <v>7609</v>
      </c>
      <c r="D404" s="3">
        <v>7676</v>
      </c>
      <c r="E404" s="3">
        <v>7010</v>
      </c>
      <c r="F404" s="3">
        <v>7340</v>
      </c>
      <c r="G404" s="3">
        <v>364785</v>
      </c>
      <c r="H404" s="3">
        <v>1.355</v>
      </c>
      <c r="I404" s="2">
        <f t="shared" si="85"/>
        <v>0</v>
      </c>
      <c r="J404" s="10">
        <f t="shared" si="87"/>
        <v>-137</v>
      </c>
      <c r="K404" s="10">
        <f t="shared" si="86"/>
        <v>-269</v>
      </c>
      <c r="L404" s="10">
        <f t="shared" ca="1" si="75"/>
        <v>0</v>
      </c>
      <c r="M404" s="10">
        <f t="shared" ca="1" si="77"/>
        <v>0</v>
      </c>
      <c r="N404" s="30">
        <f t="shared" ca="1" si="78"/>
        <v>0</v>
      </c>
      <c r="O404" s="10">
        <f t="shared" ca="1" si="79"/>
        <v>0</v>
      </c>
      <c r="P404" s="29">
        <f t="shared" ca="1" si="80"/>
        <v>0</v>
      </c>
      <c r="Q404" s="12">
        <f t="shared" ca="1" si="81"/>
        <v>-261400</v>
      </c>
      <c r="R404" s="10">
        <f t="shared" ca="1" si="82"/>
        <v>0</v>
      </c>
      <c r="S404" s="10">
        <f t="shared" ca="1" si="72"/>
        <v>-0.6709797132183003</v>
      </c>
      <c r="T404" s="14">
        <f t="shared" ca="1" si="73"/>
        <v>-0.23304385841478217</v>
      </c>
      <c r="U404" s="12">
        <f t="shared" ca="1" si="83"/>
        <v>7900</v>
      </c>
      <c r="V404" s="14">
        <f t="shared" ca="1" si="84"/>
        <v>-3408.8607594936707</v>
      </c>
      <c r="W404" s="12">
        <f t="shared" ca="1" si="74"/>
        <v>0</v>
      </c>
      <c r="X404" s="7">
        <f ca="1">AVERAGE(E404:OFFSET(F404,-$X$5+1,0))</f>
        <v>7803.7</v>
      </c>
      <c r="Y404" s="7">
        <f ca="1">AVERAGE(E404:OFFSET(F404,-$Y$5+1,0))</f>
        <v>8046.3</v>
      </c>
      <c r="Z404" s="7">
        <f t="shared" ca="1" si="76"/>
        <v>0</v>
      </c>
    </row>
    <row r="405" spans="1:26">
      <c r="A405" s="3" t="s">
        <v>43</v>
      </c>
      <c r="B405" s="4">
        <v>42241</v>
      </c>
      <c r="C405" s="3">
        <v>7400</v>
      </c>
      <c r="D405" s="3">
        <v>7606</v>
      </c>
      <c r="E405" s="3">
        <v>7318</v>
      </c>
      <c r="F405" s="3">
        <v>7577</v>
      </c>
      <c r="G405" s="3">
        <v>233175</v>
      </c>
      <c r="H405" s="3">
        <v>1.355</v>
      </c>
      <c r="I405" s="2">
        <f t="shared" si="85"/>
        <v>0</v>
      </c>
      <c r="J405" s="10">
        <f t="shared" si="87"/>
        <v>60</v>
      </c>
      <c r="K405" s="10">
        <f t="shared" si="86"/>
        <v>177</v>
      </c>
      <c r="L405" s="10">
        <f t="shared" ca="1" si="75"/>
        <v>0</v>
      </c>
      <c r="M405" s="10">
        <f t="shared" ca="1" si="77"/>
        <v>0</v>
      </c>
      <c r="N405" s="30">
        <f t="shared" ca="1" si="78"/>
        <v>0</v>
      </c>
      <c r="O405" s="10">
        <f t="shared" ca="1" si="79"/>
        <v>0</v>
      </c>
      <c r="P405" s="29">
        <f t="shared" ca="1" si="80"/>
        <v>0</v>
      </c>
      <c r="Q405" s="12">
        <f t="shared" ca="1" si="81"/>
        <v>-261400</v>
      </c>
      <c r="R405" s="10">
        <f t="shared" ca="1" si="82"/>
        <v>0</v>
      </c>
      <c r="S405" s="10">
        <f t="shared" ca="1" si="72"/>
        <v>-0.6709797132183003</v>
      </c>
      <c r="T405" s="14">
        <f t="shared" ca="1" si="73"/>
        <v>-0.23308526346320491</v>
      </c>
      <c r="U405" s="12">
        <f t="shared" ca="1" si="83"/>
        <v>7900</v>
      </c>
      <c r="V405" s="14">
        <f t="shared" ca="1" si="84"/>
        <v>-3408.8607594936707</v>
      </c>
      <c r="W405" s="12">
        <f t="shared" ca="1" si="74"/>
        <v>0</v>
      </c>
      <c r="X405" s="7">
        <f ca="1">AVERAGE(E405:OFFSET(F405,-$X$5+1,0))</f>
        <v>7660</v>
      </c>
      <c r="Y405" s="7">
        <f ca="1">AVERAGE(E405:OFFSET(F405,-$Y$5+1,0))</f>
        <v>7955.15</v>
      </c>
      <c r="Z405" s="7">
        <f t="shared" ca="1" si="76"/>
        <v>0</v>
      </c>
    </row>
    <row r="406" spans="1:26">
      <c r="A406" s="3" t="s">
        <v>43</v>
      </c>
      <c r="B406" s="4">
        <v>42242</v>
      </c>
      <c r="C406" s="3">
        <v>7525</v>
      </c>
      <c r="D406" s="3">
        <v>7678</v>
      </c>
      <c r="E406" s="3">
        <v>7432</v>
      </c>
      <c r="F406" s="3">
        <v>7607</v>
      </c>
      <c r="G406" s="3">
        <v>238178</v>
      </c>
      <c r="H406" s="3">
        <v>1.355</v>
      </c>
      <c r="I406" s="2">
        <f t="shared" si="85"/>
        <v>0</v>
      </c>
      <c r="J406" s="10">
        <f t="shared" si="87"/>
        <v>-52</v>
      </c>
      <c r="K406" s="10">
        <f t="shared" si="86"/>
        <v>82</v>
      </c>
      <c r="L406" s="10">
        <f t="shared" ca="1" si="75"/>
        <v>0</v>
      </c>
      <c r="M406" s="10">
        <f t="shared" ca="1" si="77"/>
        <v>0</v>
      </c>
      <c r="N406" s="30">
        <f t="shared" ca="1" si="78"/>
        <v>0</v>
      </c>
      <c r="O406" s="10">
        <f t="shared" ca="1" si="79"/>
        <v>0</v>
      </c>
      <c r="P406" s="29">
        <f t="shared" ca="1" si="80"/>
        <v>0</v>
      </c>
      <c r="Q406" s="12">
        <f t="shared" ca="1" si="81"/>
        <v>-261400</v>
      </c>
      <c r="R406" s="10">
        <f t="shared" ca="1" si="82"/>
        <v>0</v>
      </c>
      <c r="S406" s="10">
        <f t="shared" ca="1" si="72"/>
        <v>-0.6709797132183003</v>
      </c>
      <c r="T406" s="14">
        <f t="shared" ca="1" si="73"/>
        <v>-0.23376923032148625</v>
      </c>
      <c r="U406" s="12">
        <f t="shared" ca="1" si="83"/>
        <v>7900</v>
      </c>
      <c r="V406" s="14">
        <f t="shared" ca="1" si="84"/>
        <v>-3408.8607594936707</v>
      </c>
      <c r="W406" s="12">
        <f t="shared" ca="1" si="74"/>
        <v>0</v>
      </c>
      <c r="X406" s="7">
        <f ca="1">AVERAGE(E406:OFFSET(F406,-$X$5+1,0))</f>
        <v>7564.4</v>
      </c>
      <c r="Y406" s="7">
        <f ca="1">AVERAGE(E406:OFFSET(F406,-$Y$5+1,0))</f>
        <v>7880</v>
      </c>
      <c r="Z406" s="7">
        <f t="shared" ca="1" si="76"/>
        <v>0</v>
      </c>
    </row>
    <row r="407" spans="1:26">
      <c r="A407" s="3" t="s">
        <v>43</v>
      </c>
      <c r="B407" s="4">
        <v>42243</v>
      </c>
      <c r="C407" s="3">
        <v>7656</v>
      </c>
      <c r="D407" s="3">
        <v>7729</v>
      </c>
      <c r="E407" s="3">
        <v>7631</v>
      </c>
      <c r="F407" s="3">
        <v>7680</v>
      </c>
      <c r="G407" s="3">
        <v>169791</v>
      </c>
      <c r="H407" s="3">
        <v>1.355</v>
      </c>
      <c r="I407" s="2">
        <f t="shared" si="85"/>
        <v>0</v>
      </c>
      <c r="J407" s="10">
        <f t="shared" si="87"/>
        <v>49</v>
      </c>
      <c r="K407" s="10">
        <f t="shared" si="86"/>
        <v>24</v>
      </c>
      <c r="L407" s="10">
        <f t="shared" ca="1" si="75"/>
        <v>0</v>
      </c>
      <c r="M407" s="10">
        <f t="shared" ca="1" si="77"/>
        <v>0</v>
      </c>
      <c r="N407" s="30">
        <f t="shared" ca="1" si="78"/>
        <v>0</v>
      </c>
      <c r="O407" s="10">
        <f t="shared" ca="1" si="79"/>
        <v>0</v>
      </c>
      <c r="P407" s="29">
        <f t="shared" ca="1" si="80"/>
        <v>0</v>
      </c>
      <c r="Q407" s="12">
        <f t="shared" ca="1" si="81"/>
        <v>-261400</v>
      </c>
      <c r="R407" s="10">
        <f t="shared" ca="1" si="82"/>
        <v>0</v>
      </c>
      <c r="S407" s="10">
        <f t="shared" ca="1" si="72"/>
        <v>-0.6709797132183003</v>
      </c>
      <c r="T407" s="14">
        <f t="shared" ca="1" si="73"/>
        <v>-0.23394258682471067</v>
      </c>
      <c r="U407" s="12">
        <f t="shared" ca="1" si="83"/>
        <v>7900</v>
      </c>
      <c r="V407" s="14">
        <f t="shared" ca="1" si="84"/>
        <v>-3408.8607594936707</v>
      </c>
      <c r="W407" s="12">
        <f t="shared" ca="1" si="74"/>
        <v>0</v>
      </c>
      <c r="X407" s="7">
        <f ca="1">AVERAGE(E407:OFFSET(F407,-$X$5+1,0))</f>
        <v>7508.1</v>
      </c>
      <c r="Y407" s="7">
        <f ca="1">AVERAGE(E407:OFFSET(F407,-$Y$5+1,0))</f>
        <v>7816.5</v>
      </c>
      <c r="Z407" s="7">
        <f t="shared" ca="1" si="76"/>
        <v>0</v>
      </c>
    </row>
    <row r="408" spans="1:26">
      <c r="A408" s="3" t="s">
        <v>43</v>
      </c>
      <c r="B408" s="4">
        <v>42244</v>
      </c>
      <c r="C408" s="3">
        <v>7812</v>
      </c>
      <c r="D408" s="3">
        <v>7902</v>
      </c>
      <c r="E408" s="3">
        <v>7791</v>
      </c>
      <c r="F408" s="3">
        <v>7876</v>
      </c>
      <c r="G408" s="3">
        <v>167248</v>
      </c>
      <c r="H408" s="3">
        <v>1.355</v>
      </c>
      <c r="I408" s="2">
        <f t="shared" si="85"/>
        <v>0</v>
      </c>
      <c r="J408" s="10">
        <f t="shared" si="87"/>
        <v>132</v>
      </c>
      <c r="K408" s="10">
        <f t="shared" si="86"/>
        <v>64</v>
      </c>
      <c r="L408" s="10">
        <f t="shared" ca="1" si="75"/>
        <v>0</v>
      </c>
      <c r="M408" s="10">
        <f t="shared" ca="1" si="77"/>
        <v>0</v>
      </c>
      <c r="N408" s="30">
        <f t="shared" ca="1" si="78"/>
        <v>0</v>
      </c>
      <c r="O408" s="10">
        <f t="shared" ca="1" si="79"/>
        <v>0</v>
      </c>
      <c r="P408" s="29">
        <f t="shared" ca="1" si="80"/>
        <v>0</v>
      </c>
      <c r="Q408" s="12">
        <f t="shared" ca="1" si="81"/>
        <v>-261400</v>
      </c>
      <c r="R408" s="10">
        <f t="shared" ca="1" si="82"/>
        <v>0</v>
      </c>
      <c r="S408" s="10">
        <f t="shared" ca="1" si="72"/>
        <v>-0.6709797132183003</v>
      </c>
      <c r="T408" s="14">
        <f t="shared" ca="1" si="73"/>
        <v>-0.23500779523695334</v>
      </c>
      <c r="U408" s="12">
        <f t="shared" ca="1" si="83"/>
        <v>7900</v>
      </c>
      <c r="V408" s="14">
        <f t="shared" ca="1" si="84"/>
        <v>-3408.8607594936707</v>
      </c>
      <c r="W408" s="12">
        <f t="shared" ca="1" si="74"/>
        <v>0</v>
      </c>
      <c r="X408" s="7">
        <f ca="1">AVERAGE(E408:OFFSET(F408,-$X$5+1,0))</f>
        <v>7526.2</v>
      </c>
      <c r="Y408" s="7">
        <f ca="1">AVERAGE(E408:OFFSET(F408,-$Y$5+1,0))</f>
        <v>7770.5</v>
      </c>
      <c r="Z408" s="7">
        <f t="shared" ca="1" si="76"/>
        <v>0</v>
      </c>
    </row>
    <row r="409" spans="1:26">
      <c r="A409" s="3" t="s">
        <v>43</v>
      </c>
      <c r="B409" s="4">
        <v>42247</v>
      </c>
      <c r="C409" s="3">
        <v>7831</v>
      </c>
      <c r="D409" s="3">
        <v>8034</v>
      </c>
      <c r="E409" s="3">
        <v>7802</v>
      </c>
      <c r="F409" s="3">
        <v>7969</v>
      </c>
      <c r="G409" s="3">
        <v>144165</v>
      </c>
      <c r="H409" s="3">
        <v>1.355</v>
      </c>
      <c r="I409" s="2">
        <f t="shared" si="85"/>
        <v>0</v>
      </c>
      <c r="J409" s="10">
        <f t="shared" si="87"/>
        <v>-45</v>
      </c>
      <c r="K409" s="10">
        <f t="shared" si="86"/>
        <v>138</v>
      </c>
      <c r="L409" s="10">
        <f t="shared" ca="1" si="75"/>
        <v>0</v>
      </c>
      <c r="M409" s="10">
        <f t="shared" ca="1" si="77"/>
        <v>0</v>
      </c>
      <c r="N409" s="30">
        <f t="shared" ca="1" si="78"/>
        <v>0</v>
      </c>
      <c r="O409" s="10">
        <f t="shared" ca="1" si="79"/>
        <v>0</v>
      </c>
      <c r="P409" s="29">
        <f t="shared" ca="1" si="80"/>
        <v>0</v>
      </c>
      <c r="Q409" s="12">
        <f t="shared" ca="1" si="81"/>
        <v>-261400</v>
      </c>
      <c r="R409" s="10">
        <f t="shared" ca="1" si="82"/>
        <v>0</v>
      </c>
      <c r="S409" s="10">
        <f t="shared" ca="1" si="72"/>
        <v>-0.66725204814486538</v>
      </c>
      <c r="T409" s="14">
        <f t="shared" ca="1" si="73"/>
        <v>-0.23457970876090514</v>
      </c>
      <c r="U409" s="12">
        <f t="shared" ca="1" si="83"/>
        <v>7900</v>
      </c>
      <c r="V409" s="14">
        <f t="shared" ca="1" si="84"/>
        <v>-3408.8607594936707</v>
      </c>
      <c r="W409" s="12">
        <f t="shared" ca="1" si="74"/>
        <v>0</v>
      </c>
      <c r="X409" s="7">
        <f ca="1">AVERAGE(E409:OFFSET(F409,-$X$5+1,0))</f>
        <v>7668.3</v>
      </c>
      <c r="Y409" s="7">
        <f ca="1">AVERAGE(E409:OFFSET(F409,-$Y$5+1,0))</f>
        <v>7736</v>
      </c>
      <c r="Z409" s="7">
        <f t="shared" ca="1" si="76"/>
        <v>0</v>
      </c>
    </row>
    <row r="410" spans="1:26">
      <c r="A410" s="3" t="s">
        <v>43</v>
      </c>
      <c r="B410" s="4">
        <v>42248</v>
      </c>
      <c r="C410" s="3">
        <v>7901</v>
      </c>
      <c r="D410" s="3">
        <v>7964</v>
      </c>
      <c r="E410" s="3">
        <v>7802</v>
      </c>
      <c r="F410" s="3">
        <v>7834</v>
      </c>
      <c r="G410" s="3">
        <v>174196</v>
      </c>
      <c r="H410" s="3">
        <v>1.355</v>
      </c>
      <c r="I410" s="2">
        <f t="shared" si="85"/>
        <v>0</v>
      </c>
      <c r="J410" s="10">
        <f t="shared" si="87"/>
        <v>-68</v>
      </c>
      <c r="K410" s="10">
        <f t="shared" si="86"/>
        <v>-67</v>
      </c>
      <c r="L410" s="10">
        <f t="shared" ca="1" si="75"/>
        <v>1</v>
      </c>
      <c r="M410" s="10">
        <f t="shared" ca="1" si="77"/>
        <v>0</v>
      </c>
      <c r="N410" s="30">
        <f t="shared" ca="1" si="78"/>
        <v>0</v>
      </c>
      <c r="O410" s="10">
        <f t="shared" ca="1" si="79"/>
        <v>0</v>
      </c>
      <c r="P410" s="29">
        <f t="shared" ca="1" si="80"/>
        <v>0</v>
      </c>
      <c r="Q410" s="12">
        <f t="shared" ca="1" si="81"/>
        <v>-261400</v>
      </c>
      <c r="R410" s="10">
        <f t="shared" ca="1" si="82"/>
        <v>0</v>
      </c>
      <c r="S410" s="10">
        <f t="shared" ca="1" si="72"/>
        <v>-0.73435001946669543</v>
      </c>
      <c r="T410" s="14">
        <f t="shared" ca="1" si="73"/>
        <v>-0.2425010915306231</v>
      </c>
      <c r="U410" s="12">
        <f t="shared" ca="1" si="83"/>
        <v>7900</v>
      </c>
      <c r="V410" s="14">
        <f t="shared" ca="1" si="84"/>
        <v>-3408.8607594936707</v>
      </c>
      <c r="W410" s="12">
        <f t="shared" ca="1" si="74"/>
        <v>0</v>
      </c>
      <c r="X410" s="7">
        <f ca="1">AVERAGE(E410:OFFSET(F410,-$X$5+1,0))</f>
        <v>7742.4</v>
      </c>
      <c r="Y410" s="7">
        <f ca="1">AVERAGE(E410:OFFSET(F410,-$Y$5+1,0))</f>
        <v>7701.2</v>
      </c>
      <c r="Z410" s="7">
        <f t="shared" ca="1" si="76"/>
        <v>1</v>
      </c>
    </row>
    <row r="411" spans="1:26">
      <c r="A411" s="3" t="s">
        <v>43</v>
      </c>
      <c r="B411" s="4">
        <v>42249</v>
      </c>
      <c r="C411" s="3">
        <v>7768</v>
      </c>
      <c r="D411" s="3">
        <v>7997</v>
      </c>
      <c r="E411" s="3">
        <v>7761</v>
      </c>
      <c r="F411" s="3">
        <v>7945</v>
      </c>
      <c r="G411" s="3">
        <v>197665</v>
      </c>
      <c r="H411" s="3">
        <v>1.355</v>
      </c>
      <c r="I411" s="2">
        <f t="shared" si="85"/>
        <v>0</v>
      </c>
      <c r="J411" s="10">
        <f t="shared" si="87"/>
        <v>-66</v>
      </c>
      <c r="K411" s="10">
        <f t="shared" si="86"/>
        <v>177</v>
      </c>
      <c r="L411" s="10">
        <f t="shared" ca="1" si="75"/>
        <v>0</v>
      </c>
      <c r="M411" s="10">
        <f t="shared" ca="1" si="77"/>
        <v>1</v>
      </c>
      <c r="N411" s="30">
        <f t="shared" ca="1" si="78"/>
        <v>1553600</v>
      </c>
      <c r="O411" s="10">
        <f t="shared" ca="1" si="79"/>
        <v>1553600</v>
      </c>
      <c r="P411" s="29">
        <f t="shared" ca="1" si="80"/>
        <v>34900</v>
      </c>
      <c r="Q411" s="12">
        <f t="shared" ca="1" si="81"/>
        <v>-226500</v>
      </c>
      <c r="R411" s="10">
        <f t="shared" ca="1" si="82"/>
        <v>2.2463954685890832</v>
      </c>
      <c r="S411" s="10">
        <f t="shared" ca="1" si="72"/>
        <v>-0.58916466257286726</v>
      </c>
      <c r="T411" s="14">
        <f t="shared" ca="1" si="73"/>
        <v>-0.2193357049972913</v>
      </c>
      <c r="U411" s="12">
        <f t="shared" ca="1" si="83"/>
        <v>7900</v>
      </c>
      <c r="V411" s="14">
        <f t="shared" ca="1" si="84"/>
        <v>-2967.0886075949365</v>
      </c>
      <c r="W411" s="12">
        <f t="shared" ca="1" si="74"/>
        <v>0</v>
      </c>
      <c r="X411" s="7">
        <f ca="1">AVERAGE(E411:OFFSET(F411,-$X$5+1,0))</f>
        <v>7809.1</v>
      </c>
      <c r="Y411" s="7">
        <f ca="1">AVERAGE(E411:OFFSET(F411,-$Y$5+1,0))</f>
        <v>7686.75</v>
      </c>
      <c r="Z411" s="7">
        <f t="shared" ca="1" si="76"/>
        <v>0</v>
      </c>
    </row>
    <row r="412" spans="1:26">
      <c r="A412" s="3" t="s">
        <v>43</v>
      </c>
      <c r="B412" s="4">
        <v>42250</v>
      </c>
      <c r="C412" s="3">
        <v>7961</v>
      </c>
      <c r="D412" s="3">
        <v>8003</v>
      </c>
      <c r="E412" s="3">
        <v>7874</v>
      </c>
      <c r="F412" s="3">
        <v>7977</v>
      </c>
      <c r="G412" s="3">
        <v>151197</v>
      </c>
      <c r="H412" s="3">
        <v>1.355</v>
      </c>
      <c r="I412" s="2">
        <f t="shared" si="85"/>
        <v>0</v>
      </c>
      <c r="J412" s="10">
        <f t="shared" si="87"/>
        <v>16</v>
      </c>
      <c r="K412" s="10">
        <f t="shared" si="86"/>
        <v>16</v>
      </c>
      <c r="L412" s="10">
        <f t="shared" ca="1" si="75"/>
        <v>0</v>
      </c>
      <c r="M412" s="10">
        <f t="shared" ca="1" si="77"/>
        <v>1</v>
      </c>
      <c r="N412" s="30">
        <f t="shared" ca="1" si="78"/>
        <v>0</v>
      </c>
      <c r="O412" s="10">
        <f t="shared" ca="1" si="79"/>
        <v>1553600</v>
      </c>
      <c r="P412" s="29">
        <f t="shared" ca="1" si="80"/>
        <v>6400</v>
      </c>
      <c r="Q412" s="12">
        <f t="shared" ca="1" si="81"/>
        <v>-220100</v>
      </c>
      <c r="R412" s="10">
        <f t="shared" ca="1" si="82"/>
        <v>0.41194644696189497</v>
      </c>
      <c r="S412" s="10">
        <f t="shared" ca="1" si="72"/>
        <v>-0.60862188392600025</v>
      </c>
      <c r="T412" s="14">
        <f t="shared" ca="1" si="73"/>
        <v>-0.22133872064721921</v>
      </c>
      <c r="U412" s="12">
        <f t="shared" ca="1" si="83"/>
        <v>7900</v>
      </c>
      <c r="V412" s="14">
        <f t="shared" ca="1" si="84"/>
        <v>-2886.0759493670885</v>
      </c>
      <c r="W412" s="12">
        <f t="shared" ca="1" si="74"/>
        <v>0</v>
      </c>
      <c r="X412" s="7">
        <f ca="1">AVERAGE(E412:OFFSET(F412,-$X$5+1,0))</f>
        <v>7863.1</v>
      </c>
      <c r="Y412" s="7">
        <f ca="1">AVERAGE(E412:OFFSET(F412,-$Y$5+1,0))</f>
        <v>7685.6</v>
      </c>
      <c r="Z412" s="7">
        <f t="shared" ca="1" si="76"/>
        <v>0</v>
      </c>
    </row>
    <row r="413" spans="1:26">
      <c r="A413" s="3" t="s">
        <v>43</v>
      </c>
      <c r="B413" s="4">
        <v>42251</v>
      </c>
      <c r="C413" s="3">
        <v>7931</v>
      </c>
      <c r="D413" s="3">
        <v>8039</v>
      </c>
      <c r="E413" s="3">
        <v>7872</v>
      </c>
      <c r="F413" s="3">
        <v>7890</v>
      </c>
      <c r="G413" s="3">
        <v>176043</v>
      </c>
      <c r="H413" s="3">
        <v>1.355</v>
      </c>
      <c r="I413" s="2">
        <f t="shared" si="85"/>
        <v>0</v>
      </c>
      <c r="J413" s="10">
        <f t="shared" si="87"/>
        <v>-46</v>
      </c>
      <c r="K413" s="10">
        <f t="shared" si="86"/>
        <v>-41</v>
      </c>
      <c r="L413" s="10">
        <f t="shared" ca="1" si="75"/>
        <v>0</v>
      </c>
      <c r="M413" s="10">
        <f t="shared" ca="1" si="77"/>
        <v>1</v>
      </c>
      <c r="N413" s="30">
        <f t="shared" ca="1" si="78"/>
        <v>0</v>
      </c>
      <c r="O413" s="10">
        <f t="shared" ca="1" si="79"/>
        <v>1553600</v>
      </c>
      <c r="P413" s="29">
        <f t="shared" ca="1" si="80"/>
        <v>-17400</v>
      </c>
      <c r="Q413" s="12">
        <f t="shared" ca="1" si="81"/>
        <v>-237500</v>
      </c>
      <c r="R413" s="10">
        <f t="shared" ca="1" si="82"/>
        <v>-1.1199794026776519</v>
      </c>
      <c r="S413" s="10">
        <f t="shared" ca="1" si="72"/>
        <v>-0.69734681329628678</v>
      </c>
      <c r="T413" s="14">
        <f t="shared" ca="1" si="73"/>
        <v>-0.22982067318829535</v>
      </c>
      <c r="U413" s="12">
        <f t="shared" ca="1" si="83"/>
        <v>7900</v>
      </c>
      <c r="V413" s="14">
        <f t="shared" ca="1" si="84"/>
        <v>-3106.3291139240505</v>
      </c>
      <c r="W413" s="12">
        <f t="shared" ca="1" si="74"/>
        <v>0</v>
      </c>
      <c r="X413" s="7">
        <f ca="1">AVERAGE(E413:OFFSET(F413,-$X$5+1,0))</f>
        <v>7872.6</v>
      </c>
      <c r="Y413" s="7">
        <f ca="1">AVERAGE(E413:OFFSET(F413,-$Y$5+1,0))</f>
        <v>7699.4</v>
      </c>
      <c r="Z413" s="7">
        <f t="shared" ca="1" si="76"/>
        <v>0</v>
      </c>
    </row>
    <row r="414" spans="1:26">
      <c r="A414" s="3" t="s">
        <v>43</v>
      </c>
      <c r="B414" s="4">
        <v>42254</v>
      </c>
      <c r="C414" s="3">
        <v>7850</v>
      </c>
      <c r="D414" s="3">
        <v>8008</v>
      </c>
      <c r="E414" s="3">
        <v>7843</v>
      </c>
      <c r="F414" s="3">
        <v>7932</v>
      </c>
      <c r="G414" s="3">
        <v>169579</v>
      </c>
      <c r="H414" s="3">
        <v>1.355</v>
      </c>
      <c r="I414" s="2">
        <f t="shared" si="85"/>
        <v>0</v>
      </c>
      <c r="J414" s="10">
        <f t="shared" si="87"/>
        <v>-40</v>
      </c>
      <c r="K414" s="10">
        <f t="shared" si="86"/>
        <v>82</v>
      </c>
      <c r="L414" s="10">
        <f t="shared" ca="1" si="75"/>
        <v>0</v>
      </c>
      <c r="M414" s="10">
        <f t="shared" ca="1" si="77"/>
        <v>1</v>
      </c>
      <c r="N414" s="30">
        <f t="shared" ca="1" si="78"/>
        <v>0</v>
      </c>
      <c r="O414" s="10">
        <f t="shared" ca="1" si="79"/>
        <v>1553600</v>
      </c>
      <c r="P414" s="29">
        <f t="shared" ca="1" si="80"/>
        <v>8400</v>
      </c>
      <c r="Q414" s="12">
        <f t="shared" ca="1" si="81"/>
        <v>-229100</v>
      </c>
      <c r="R414" s="10">
        <f t="shared" ca="1" si="82"/>
        <v>0.54067971163748718</v>
      </c>
      <c r="S414" s="10">
        <f t="shared" ca="1" si="72"/>
        <v>-0.71446916808704386</v>
      </c>
      <c r="T414" s="14">
        <f t="shared" ca="1" si="73"/>
        <v>-0.23147406331702411</v>
      </c>
      <c r="U414" s="12">
        <f t="shared" ca="1" si="83"/>
        <v>7900</v>
      </c>
      <c r="V414" s="14">
        <f t="shared" ca="1" si="84"/>
        <v>-3000</v>
      </c>
      <c r="W414" s="12">
        <f t="shared" ca="1" si="74"/>
        <v>0</v>
      </c>
      <c r="X414" s="7">
        <f ca="1">AVERAGE(E414:OFFSET(F414,-$X$5+1,0))</f>
        <v>7873</v>
      </c>
      <c r="Y414" s="7">
        <f ca="1">AVERAGE(E414:OFFSET(F414,-$Y$5+1,0))</f>
        <v>7770.65</v>
      </c>
      <c r="Z414" s="7">
        <f t="shared" ca="1" si="76"/>
        <v>0</v>
      </c>
    </row>
    <row r="415" spans="1:26">
      <c r="A415" s="3" t="s">
        <v>43</v>
      </c>
      <c r="B415" s="4">
        <v>42255</v>
      </c>
      <c r="C415" s="3">
        <v>7930</v>
      </c>
      <c r="D415" s="3">
        <v>7979</v>
      </c>
      <c r="E415" s="3">
        <v>7880</v>
      </c>
      <c r="F415" s="3">
        <v>7976</v>
      </c>
      <c r="G415" s="3">
        <v>137093</v>
      </c>
      <c r="H415" s="3">
        <v>1.355</v>
      </c>
      <c r="I415" s="2">
        <f t="shared" si="85"/>
        <v>0</v>
      </c>
      <c r="J415" s="10">
        <f t="shared" si="87"/>
        <v>-2</v>
      </c>
      <c r="K415" s="10">
        <f t="shared" si="86"/>
        <v>46</v>
      </c>
      <c r="L415" s="10">
        <f t="shared" ca="1" si="75"/>
        <v>0</v>
      </c>
      <c r="M415" s="10">
        <f t="shared" ca="1" si="77"/>
        <v>1</v>
      </c>
      <c r="N415" s="30">
        <f t="shared" ca="1" si="78"/>
        <v>0</v>
      </c>
      <c r="O415" s="10">
        <f t="shared" ca="1" si="79"/>
        <v>1553600</v>
      </c>
      <c r="P415" s="29">
        <f t="shared" ca="1" si="80"/>
        <v>8800</v>
      </c>
      <c r="Q415" s="12">
        <f t="shared" ca="1" si="81"/>
        <v>-220300</v>
      </c>
      <c r="R415" s="10">
        <f t="shared" ca="1" si="82"/>
        <v>0.56642636457260553</v>
      </c>
      <c r="S415" s="10">
        <f t="shared" ca="1" si="72"/>
        <v>-0.64636889335107828</v>
      </c>
      <c r="T415" s="14">
        <f t="shared" ca="1" si="73"/>
        <v>-0.22906141325642529</v>
      </c>
      <c r="U415" s="12">
        <f t="shared" ca="1" si="83"/>
        <v>7900</v>
      </c>
      <c r="V415" s="14">
        <f t="shared" ca="1" si="84"/>
        <v>-2888.6075949367087</v>
      </c>
      <c r="W415" s="12">
        <f t="shared" ca="1" si="74"/>
        <v>0</v>
      </c>
      <c r="X415" s="7">
        <f ca="1">AVERAGE(E415:OFFSET(F415,-$X$5+1,0))</f>
        <v>7895</v>
      </c>
      <c r="Y415" s="7">
        <f ca="1">AVERAGE(E415:OFFSET(F415,-$Y$5+1,0))</f>
        <v>7818.7</v>
      </c>
      <c r="Z415" s="7">
        <f t="shared" ca="1" si="76"/>
        <v>0</v>
      </c>
    </row>
    <row r="416" spans="1:26">
      <c r="A416" s="3" t="s">
        <v>43</v>
      </c>
      <c r="B416" s="4">
        <v>42256</v>
      </c>
      <c r="C416" s="3">
        <v>8114</v>
      </c>
      <c r="D416" s="3">
        <v>8340</v>
      </c>
      <c r="E416" s="3">
        <v>8104</v>
      </c>
      <c r="F416" s="3">
        <v>8332</v>
      </c>
      <c r="G416" s="3">
        <v>194442</v>
      </c>
      <c r="H416" s="3">
        <v>1.355</v>
      </c>
      <c r="I416" s="2">
        <f t="shared" si="85"/>
        <v>0</v>
      </c>
      <c r="J416" s="10">
        <f t="shared" si="87"/>
        <v>138</v>
      </c>
      <c r="K416" s="10">
        <f t="shared" si="86"/>
        <v>218</v>
      </c>
      <c r="L416" s="10">
        <f t="shared" ca="1" si="75"/>
        <v>0</v>
      </c>
      <c r="M416" s="10">
        <f t="shared" ca="1" si="77"/>
        <v>1</v>
      </c>
      <c r="N416" s="30">
        <f t="shared" ca="1" si="78"/>
        <v>0</v>
      </c>
      <c r="O416" s="10">
        <f t="shared" ca="1" si="79"/>
        <v>1553600</v>
      </c>
      <c r="P416" s="29">
        <f t="shared" ca="1" si="80"/>
        <v>71200</v>
      </c>
      <c r="Q416" s="12">
        <f t="shared" ca="1" si="81"/>
        <v>-149100</v>
      </c>
      <c r="R416" s="10">
        <f t="shared" ca="1" si="82"/>
        <v>4.5829042224510816</v>
      </c>
      <c r="S416" s="10">
        <f t="shared" ca="1" si="72"/>
        <v>-0.3692980612824644</v>
      </c>
      <c r="T416" s="14">
        <f t="shared" ca="1" si="73"/>
        <v>-0.17670527251626753</v>
      </c>
      <c r="U416" s="12">
        <f t="shared" ca="1" si="83"/>
        <v>7900</v>
      </c>
      <c r="V416" s="14">
        <f t="shared" ca="1" si="84"/>
        <v>-1987.3417721518988</v>
      </c>
      <c r="W416" s="12">
        <f t="shared" ca="1" si="74"/>
        <v>0</v>
      </c>
      <c r="X416" s="7">
        <f ca="1">AVERAGE(E416:OFFSET(F416,-$X$5+1,0))</f>
        <v>7968</v>
      </c>
      <c r="Y416" s="7">
        <f ca="1">AVERAGE(E416:OFFSET(F416,-$Y$5+1,0))</f>
        <v>7888.55</v>
      </c>
      <c r="Z416" s="7">
        <f t="shared" ca="1" si="76"/>
        <v>0</v>
      </c>
    </row>
    <row r="417" spans="1:26">
      <c r="A417" s="3" t="s">
        <v>43</v>
      </c>
      <c r="B417" s="4">
        <v>42257</v>
      </c>
      <c r="C417" s="3">
        <v>8226</v>
      </c>
      <c r="D417" s="3">
        <v>8292</v>
      </c>
      <c r="E417" s="3">
        <v>8192</v>
      </c>
      <c r="F417" s="3">
        <v>8262</v>
      </c>
      <c r="G417" s="3">
        <v>146244</v>
      </c>
      <c r="H417" s="3">
        <v>1.355</v>
      </c>
      <c r="I417" s="2">
        <f t="shared" si="85"/>
        <v>0</v>
      </c>
      <c r="J417" s="10">
        <f t="shared" si="87"/>
        <v>-106</v>
      </c>
      <c r="K417" s="10">
        <f t="shared" si="86"/>
        <v>36</v>
      </c>
      <c r="L417" s="10">
        <f t="shared" ca="1" si="75"/>
        <v>0</v>
      </c>
      <c r="M417" s="10">
        <f t="shared" ca="1" si="77"/>
        <v>1</v>
      </c>
      <c r="N417" s="30">
        <f t="shared" ca="1" si="78"/>
        <v>0</v>
      </c>
      <c r="O417" s="10">
        <f t="shared" ca="1" si="79"/>
        <v>1553600</v>
      </c>
      <c r="P417" s="29">
        <f t="shared" ca="1" si="80"/>
        <v>-14000</v>
      </c>
      <c r="Q417" s="12">
        <f t="shared" ca="1" si="81"/>
        <v>-163100</v>
      </c>
      <c r="R417" s="10">
        <f t="shared" ca="1" si="82"/>
        <v>-0.90113285272914523</v>
      </c>
      <c r="S417" s="10">
        <f t="shared" ca="1" si="72"/>
        <v>-0.42377828107123677</v>
      </c>
      <c r="T417" s="14">
        <f t="shared" ca="1" si="73"/>
        <v>-0.18161948467759259</v>
      </c>
      <c r="U417" s="12">
        <f t="shared" ca="1" si="83"/>
        <v>7900</v>
      </c>
      <c r="V417" s="14">
        <f t="shared" ca="1" si="84"/>
        <v>-2164.5569620253164</v>
      </c>
      <c r="W417" s="12">
        <f t="shared" ca="1" si="74"/>
        <v>0</v>
      </c>
      <c r="X417" s="7">
        <f ca="1">AVERAGE(E417:OFFSET(F417,-$X$5+1,0))</f>
        <v>8028.3</v>
      </c>
      <c r="Y417" s="7">
        <f ca="1">AVERAGE(E417:OFFSET(F417,-$Y$5+1,0))</f>
        <v>7945.7</v>
      </c>
      <c r="Z417" s="7">
        <f t="shared" ca="1" si="76"/>
        <v>0</v>
      </c>
    </row>
    <row r="418" spans="1:26">
      <c r="A418" s="3" t="s">
        <v>43</v>
      </c>
      <c r="B418" s="4">
        <v>42258</v>
      </c>
      <c r="C418" s="3">
        <v>8221</v>
      </c>
      <c r="D418" s="3">
        <v>8295</v>
      </c>
      <c r="E418" s="3">
        <v>8202</v>
      </c>
      <c r="F418" s="3">
        <v>8263</v>
      </c>
      <c r="G418" s="3">
        <v>120481</v>
      </c>
      <c r="H418" s="3">
        <v>1.355</v>
      </c>
      <c r="I418" s="2">
        <f t="shared" si="85"/>
        <v>0</v>
      </c>
      <c r="J418" s="10">
        <f t="shared" si="87"/>
        <v>-41</v>
      </c>
      <c r="K418" s="10">
        <f t="shared" si="86"/>
        <v>42</v>
      </c>
      <c r="L418" s="10">
        <f t="shared" ca="1" si="75"/>
        <v>0</v>
      </c>
      <c r="M418" s="10">
        <f t="shared" ca="1" si="77"/>
        <v>1</v>
      </c>
      <c r="N418" s="30">
        <f t="shared" ca="1" si="78"/>
        <v>0</v>
      </c>
      <c r="O418" s="10">
        <f t="shared" ca="1" si="79"/>
        <v>1553600</v>
      </c>
      <c r="P418" s="29">
        <f t="shared" ca="1" si="80"/>
        <v>200</v>
      </c>
      <c r="Q418" s="12">
        <f t="shared" ca="1" si="81"/>
        <v>-162900</v>
      </c>
      <c r="R418" s="10">
        <f t="shared" ca="1" si="82"/>
        <v>1.2873326467559218E-2</v>
      </c>
      <c r="S418" s="10">
        <f t="shared" ca="1" si="72"/>
        <v>-0.42299999221711143</v>
      </c>
      <c r="T418" s="14">
        <f t="shared" ca="1" si="73"/>
        <v>-0.18154045676868183</v>
      </c>
      <c r="U418" s="12">
        <f t="shared" ca="1" si="83"/>
        <v>7900</v>
      </c>
      <c r="V418" s="14">
        <f t="shared" ca="1" si="84"/>
        <v>-2162.0253164556962</v>
      </c>
      <c r="W418" s="12">
        <f t="shared" ca="1" si="74"/>
        <v>0</v>
      </c>
      <c r="X418" s="7">
        <f ca="1">AVERAGE(E418:OFFSET(F418,-$X$5+1,0))</f>
        <v>8098.6</v>
      </c>
      <c r="Y418" s="7">
        <f ca="1">AVERAGE(E418:OFFSET(F418,-$Y$5+1,0))</f>
        <v>7985.6</v>
      </c>
      <c r="Z418" s="7">
        <f t="shared" ca="1" si="76"/>
        <v>0</v>
      </c>
    </row>
    <row r="419" spans="1:26">
      <c r="A419" s="3" t="s">
        <v>43</v>
      </c>
      <c r="B419" s="4">
        <v>42261</v>
      </c>
      <c r="C419" s="3">
        <v>8319</v>
      </c>
      <c r="D419" s="3">
        <v>8340</v>
      </c>
      <c r="E419" s="3">
        <v>8210</v>
      </c>
      <c r="F419" s="3">
        <v>8273</v>
      </c>
      <c r="G419" s="3">
        <v>149956</v>
      </c>
      <c r="H419" s="3">
        <v>1.355</v>
      </c>
      <c r="I419" s="2">
        <f t="shared" si="85"/>
        <v>0</v>
      </c>
      <c r="J419" s="10">
        <f t="shared" si="87"/>
        <v>56</v>
      </c>
      <c r="K419" s="10">
        <f t="shared" si="86"/>
        <v>-46</v>
      </c>
      <c r="L419" s="10">
        <f t="shared" ca="1" si="75"/>
        <v>0</v>
      </c>
      <c r="M419" s="10">
        <f t="shared" ca="1" si="77"/>
        <v>1</v>
      </c>
      <c r="N419" s="30">
        <f t="shared" ca="1" si="78"/>
        <v>0</v>
      </c>
      <c r="O419" s="10">
        <f t="shared" ca="1" si="79"/>
        <v>1553600</v>
      </c>
      <c r="P419" s="29">
        <f t="shared" ca="1" si="80"/>
        <v>2000</v>
      </c>
      <c r="Q419" s="12">
        <f t="shared" ca="1" si="81"/>
        <v>-160900</v>
      </c>
      <c r="R419" s="10">
        <f t="shared" ca="1" si="82"/>
        <v>0.12873326467559218</v>
      </c>
      <c r="S419" s="10">
        <f t="shared" ca="1" si="72"/>
        <v>-0.41521710367585823</v>
      </c>
      <c r="T419" s="14">
        <f t="shared" ca="1" si="73"/>
        <v>-0.18097596945462852</v>
      </c>
      <c r="U419" s="12">
        <f t="shared" ca="1" si="83"/>
        <v>7900</v>
      </c>
      <c r="V419" s="14">
        <f t="shared" ca="1" si="84"/>
        <v>-2136.7088607594937</v>
      </c>
      <c r="W419" s="12">
        <f t="shared" ca="1" si="74"/>
        <v>0</v>
      </c>
      <c r="X419" s="7">
        <f ca="1">AVERAGE(E419:OFFSET(F419,-$X$5+1,0))</f>
        <v>8169.4</v>
      </c>
      <c r="Y419" s="7">
        <f ca="1">AVERAGE(E419:OFFSET(F419,-$Y$5+1,0))</f>
        <v>8021.2</v>
      </c>
      <c r="Z419" s="7">
        <f t="shared" ca="1" si="76"/>
        <v>0</v>
      </c>
    </row>
    <row r="420" spans="1:26">
      <c r="A420" s="3" t="s">
        <v>43</v>
      </c>
      <c r="B420" s="4">
        <v>42262</v>
      </c>
      <c r="C420" s="3">
        <v>8300</v>
      </c>
      <c r="D420" s="3">
        <v>8333</v>
      </c>
      <c r="E420" s="3">
        <v>8230</v>
      </c>
      <c r="F420" s="3">
        <v>8237</v>
      </c>
      <c r="G420" s="3">
        <v>137170</v>
      </c>
      <c r="H420" s="3">
        <v>1.355</v>
      </c>
      <c r="I420" s="2">
        <f t="shared" si="85"/>
        <v>0</v>
      </c>
      <c r="J420" s="10">
        <f t="shared" si="87"/>
        <v>27</v>
      </c>
      <c r="K420" s="10">
        <f t="shared" si="86"/>
        <v>-63</v>
      </c>
      <c r="L420" s="10">
        <f t="shared" ca="1" si="75"/>
        <v>0</v>
      </c>
      <c r="M420" s="10">
        <f t="shared" ca="1" si="77"/>
        <v>1</v>
      </c>
      <c r="N420" s="30">
        <f t="shared" ca="1" si="78"/>
        <v>0</v>
      </c>
      <c r="O420" s="10">
        <f t="shared" ca="1" si="79"/>
        <v>1553600</v>
      </c>
      <c r="P420" s="29">
        <f t="shared" ca="1" si="80"/>
        <v>-7200</v>
      </c>
      <c r="Q420" s="12">
        <f t="shared" ca="1" si="81"/>
        <v>-168100</v>
      </c>
      <c r="R420" s="10">
        <f t="shared" ca="1" si="82"/>
        <v>-0.46343975283213185</v>
      </c>
      <c r="S420" s="10">
        <f t="shared" ca="1" si="72"/>
        <v>-0.44323550242436976</v>
      </c>
      <c r="T420" s="14">
        <f t="shared" ca="1" si="73"/>
        <v>-0.18370949839950723</v>
      </c>
      <c r="U420" s="12">
        <f t="shared" ca="1" si="83"/>
        <v>7900</v>
      </c>
      <c r="V420" s="14">
        <f t="shared" ca="1" si="84"/>
        <v>-2227.8481012658226</v>
      </c>
      <c r="W420" s="12">
        <f t="shared" ca="1" si="74"/>
        <v>0</v>
      </c>
      <c r="X420" s="7">
        <f ca="1">AVERAGE(E420:OFFSET(F420,-$X$5+1,0))</f>
        <v>8230.5</v>
      </c>
      <c r="Y420" s="7">
        <f ca="1">AVERAGE(E420:OFFSET(F420,-$Y$5+1,0))</f>
        <v>8062.75</v>
      </c>
      <c r="Z420" s="7">
        <f t="shared" ca="1" si="76"/>
        <v>0</v>
      </c>
    </row>
    <row r="421" spans="1:26">
      <c r="A421" s="3" t="s">
        <v>43</v>
      </c>
      <c r="B421" s="4">
        <v>42263</v>
      </c>
      <c r="C421" s="3">
        <v>8310</v>
      </c>
      <c r="D421" s="3">
        <v>8358</v>
      </c>
      <c r="E421" s="3">
        <v>8270</v>
      </c>
      <c r="F421" s="3">
        <v>8318</v>
      </c>
      <c r="G421" s="3">
        <v>80906</v>
      </c>
      <c r="H421" s="3">
        <v>1.355</v>
      </c>
      <c r="I421" s="2">
        <f t="shared" si="85"/>
        <v>1</v>
      </c>
      <c r="J421" s="10">
        <f t="shared" si="87"/>
        <v>73</v>
      </c>
      <c r="K421" s="10">
        <f t="shared" si="86"/>
        <v>8</v>
      </c>
      <c r="L421" s="10">
        <f t="shared" ca="1" si="75"/>
        <v>0</v>
      </c>
      <c r="M421" s="10">
        <f t="shared" si="77"/>
        <v>0</v>
      </c>
      <c r="N421" s="30">
        <f t="shared" si="78"/>
        <v>0</v>
      </c>
      <c r="O421" s="10">
        <f t="shared" si="79"/>
        <v>0</v>
      </c>
      <c r="P421" s="29">
        <f t="shared" ca="1" si="80"/>
        <v>14100</v>
      </c>
      <c r="Q421" s="12">
        <f t="shared" ca="1" si="81"/>
        <v>-154000</v>
      </c>
      <c r="R421" s="10">
        <f t="shared" ca="1" si="82"/>
        <v>0.90756951596292479</v>
      </c>
      <c r="S421" s="10">
        <f t="shared" ca="1" si="72"/>
        <v>-0.38836613820853472</v>
      </c>
      <c r="T421" s="14">
        <f t="shared" ca="1" si="73"/>
        <v>-0.17798620451550895</v>
      </c>
      <c r="U421" s="12">
        <f t="shared" ca="1" si="83"/>
        <v>7900</v>
      </c>
      <c r="V421" s="14">
        <f t="shared" ca="1" si="84"/>
        <v>-2049.3670886075947</v>
      </c>
      <c r="W421" s="12">
        <f t="shared" ca="1" si="74"/>
        <v>0</v>
      </c>
      <c r="X421" s="7">
        <f ca="1">AVERAGE(E421:OFFSET(F421,-$X$5+1,0))</f>
        <v>8245.7000000000007</v>
      </c>
      <c r="Y421" s="7">
        <f ca="1">AVERAGE(E421:OFFSET(F421,-$Y$5+1,0))</f>
        <v>8106.85</v>
      </c>
      <c r="Z421" s="7">
        <f t="shared" ca="1" si="76"/>
        <v>0</v>
      </c>
    </row>
    <row r="422" spans="1:26">
      <c r="A422" s="3" t="s">
        <v>44</v>
      </c>
      <c r="B422" s="4">
        <v>42264</v>
      </c>
      <c r="C422" s="3">
        <v>8368</v>
      </c>
      <c r="D422" s="3">
        <v>8478</v>
      </c>
      <c r="E422" s="3">
        <v>8364</v>
      </c>
      <c r="F422" s="3">
        <v>8437</v>
      </c>
      <c r="G422" s="3">
        <v>141074</v>
      </c>
      <c r="H422" s="3">
        <v>1.355</v>
      </c>
      <c r="I422" s="2">
        <f t="shared" si="85"/>
        <v>0</v>
      </c>
      <c r="J422" s="10">
        <f t="shared" si="87"/>
        <v>50</v>
      </c>
      <c r="K422" s="10">
        <f t="shared" si="86"/>
        <v>69</v>
      </c>
      <c r="L422" s="10">
        <f t="shared" ca="1" si="75"/>
        <v>0</v>
      </c>
      <c r="M422" s="10">
        <f t="shared" ca="1" si="77"/>
        <v>0</v>
      </c>
      <c r="N422" s="30">
        <f t="shared" ca="1" si="78"/>
        <v>0</v>
      </c>
      <c r="O422" s="10">
        <f t="shared" ca="1" si="79"/>
        <v>0</v>
      </c>
      <c r="P422" s="29">
        <f t="shared" ca="1" si="80"/>
        <v>0</v>
      </c>
      <c r="Q422" s="12">
        <f t="shared" ca="1" si="81"/>
        <v>-154000</v>
      </c>
      <c r="R422" s="10">
        <f t="shared" ca="1" si="82"/>
        <v>0</v>
      </c>
      <c r="S422" s="10">
        <f t="shared" ca="1" si="72"/>
        <v>-0.38836613820853472</v>
      </c>
      <c r="T422" s="14">
        <f t="shared" ca="1" si="73"/>
        <v>-0.17801938900763781</v>
      </c>
      <c r="U422" s="12">
        <f t="shared" ca="1" si="83"/>
        <v>7900</v>
      </c>
      <c r="V422" s="14">
        <f t="shared" ca="1" si="84"/>
        <v>-2049.3670886075947</v>
      </c>
      <c r="W422" s="12">
        <f t="shared" ca="1" si="74"/>
        <v>0</v>
      </c>
      <c r="X422" s="7">
        <f ca="1">AVERAGE(E422:OFFSET(F422,-$X$5+1,0))</f>
        <v>8280.4</v>
      </c>
      <c r="Y422" s="7">
        <f ca="1">AVERAGE(E422:OFFSET(F422,-$Y$5+1,0))</f>
        <v>8154.35</v>
      </c>
      <c r="Z422" s="7">
        <f t="shared" ca="1" si="76"/>
        <v>0</v>
      </c>
    </row>
    <row r="423" spans="1:26">
      <c r="A423" s="3" t="s">
        <v>44</v>
      </c>
      <c r="B423" s="4">
        <v>42265</v>
      </c>
      <c r="C423" s="3">
        <v>8418</v>
      </c>
      <c r="D423" s="3">
        <v>8459</v>
      </c>
      <c r="E423" s="3">
        <v>8383</v>
      </c>
      <c r="F423" s="3">
        <v>8437</v>
      </c>
      <c r="G423" s="3">
        <v>122478</v>
      </c>
      <c r="H423" s="3">
        <v>1.355</v>
      </c>
      <c r="I423" s="2">
        <f t="shared" si="85"/>
        <v>0</v>
      </c>
      <c r="J423" s="10">
        <f t="shared" si="87"/>
        <v>-19</v>
      </c>
      <c r="K423" s="10">
        <f t="shared" si="86"/>
        <v>19</v>
      </c>
      <c r="L423" s="10">
        <f t="shared" ca="1" si="75"/>
        <v>0</v>
      </c>
      <c r="M423" s="10">
        <f t="shared" ca="1" si="77"/>
        <v>0</v>
      </c>
      <c r="N423" s="30">
        <f t="shared" ca="1" si="78"/>
        <v>0</v>
      </c>
      <c r="O423" s="10">
        <f t="shared" ca="1" si="79"/>
        <v>0</v>
      </c>
      <c r="P423" s="29">
        <f t="shared" ca="1" si="80"/>
        <v>0</v>
      </c>
      <c r="Q423" s="12">
        <f t="shared" ca="1" si="81"/>
        <v>-154000</v>
      </c>
      <c r="R423" s="10">
        <f t="shared" ca="1" si="82"/>
        <v>0</v>
      </c>
      <c r="S423" s="10">
        <f t="shared" ca="1" si="72"/>
        <v>-0.38836613820853472</v>
      </c>
      <c r="T423" s="14">
        <f t="shared" ca="1" si="73"/>
        <v>-0.17804267218348377</v>
      </c>
      <c r="U423" s="12">
        <f t="shared" ca="1" si="83"/>
        <v>7900</v>
      </c>
      <c r="V423" s="14">
        <f t="shared" ca="1" si="84"/>
        <v>-2049.3670886075947</v>
      </c>
      <c r="W423" s="12">
        <f t="shared" ca="1" si="74"/>
        <v>0</v>
      </c>
      <c r="X423" s="7">
        <f ca="1">AVERAGE(E423:OFFSET(F423,-$X$5+1,0))</f>
        <v>8315.9</v>
      </c>
      <c r="Y423" s="7">
        <f ca="1">AVERAGE(E423:OFFSET(F423,-$Y$5+1,0))</f>
        <v>8207.25</v>
      </c>
      <c r="Z423" s="7">
        <f t="shared" ca="1" si="76"/>
        <v>0</v>
      </c>
    </row>
    <row r="424" spans="1:26">
      <c r="A424" s="3" t="s">
        <v>44</v>
      </c>
      <c r="B424" s="4">
        <v>42268</v>
      </c>
      <c r="C424" s="3">
        <v>8328</v>
      </c>
      <c r="D424" s="3">
        <v>8335</v>
      </c>
      <c r="E424" s="3">
        <v>8233</v>
      </c>
      <c r="F424" s="3">
        <v>8270</v>
      </c>
      <c r="G424" s="3">
        <v>126365</v>
      </c>
      <c r="H424" s="3">
        <v>1.355</v>
      </c>
      <c r="I424" s="2">
        <f t="shared" si="85"/>
        <v>0</v>
      </c>
      <c r="J424" s="10">
        <f t="shared" si="87"/>
        <v>-109</v>
      </c>
      <c r="K424" s="10">
        <f t="shared" si="86"/>
        <v>-58</v>
      </c>
      <c r="L424" s="10">
        <f t="shared" ca="1" si="75"/>
        <v>0</v>
      </c>
      <c r="M424" s="10">
        <f t="shared" ca="1" si="77"/>
        <v>0</v>
      </c>
      <c r="N424" s="30">
        <f t="shared" ca="1" si="78"/>
        <v>0</v>
      </c>
      <c r="O424" s="10">
        <f t="shared" ca="1" si="79"/>
        <v>0</v>
      </c>
      <c r="P424" s="29">
        <f t="shared" ca="1" si="80"/>
        <v>0</v>
      </c>
      <c r="Q424" s="12">
        <f t="shared" ca="1" si="81"/>
        <v>-154000</v>
      </c>
      <c r="R424" s="10">
        <f t="shared" ca="1" si="82"/>
        <v>0</v>
      </c>
      <c r="S424" s="10">
        <f t="shared" ca="1" si="72"/>
        <v>-0.38836613820853472</v>
      </c>
      <c r="T424" s="14">
        <f t="shared" ca="1" si="73"/>
        <v>-0.1780543986738489</v>
      </c>
      <c r="U424" s="12">
        <f t="shared" ca="1" si="83"/>
        <v>7900</v>
      </c>
      <c r="V424" s="14">
        <f t="shared" ca="1" si="84"/>
        <v>-2049.3670886075947</v>
      </c>
      <c r="W424" s="12">
        <f t="shared" ca="1" si="74"/>
        <v>0</v>
      </c>
      <c r="X424" s="7">
        <f ca="1">AVERAGE(E424:OFFSET(F424,-$X$5+1,0))</f>
        <v>8317.9</v>
      </c>
      <c r="Y424" s="7">
        <f ca="1">AVERAGE(E424:OFFSET(F424,-$Y$5+1,0))</f>
        <v>8243.65</v>
      </c>
      <c r="Z424" s="7">
        <f t="shared" ca="1" si="76"/>
        <v>0</v>
      </c>
    </row>
    <row r="425" spans="1:26">
      <c r="A425" s="3" t="s">
        <v>44</v>
      </c>
      <c r="B425" s="4">
        <v>42269</v>
      </c>
      <c r="C425" s="3">
        <v>8295</v>
      </c>
      <c r="D425" s="3">
        <v>8340</v>
      </c>
      <c r="E425" s="3">
        <v>8276</v>
      </c>
      <c r="F425" s="3">
        <v>8330</v>
      </c>
      <c r="G425" s="3">
        <v>99115</v>
      </c>
      <c r="H425" s="3">
        <v>1.355</v>
      </c>
      <c r="I425" s="2">
        <f t="shared" si="85"/>
        <v>0</v>
      </c>
      <c r="J425" s="10">
        <f t="shared" si="87"/>
        <v>25</v>
      </c>
      <c r="K425" s="10">
        <f t="shared" si="86"/>
        <v>35</v>
      </c>
      <c r="L425" s="10">
        <f t="shared" ca="1" si="75"/>
        <v>0</v>
      </c>
      <c r="M425" s="10">
        <f t="shared" ca="1" si="77"/>
        <v>0</v>
      </c>
      <c r="N425" s="30">
        <f t="shared" ca="1" si="78"/>
        <v>0</v>
      </c>
      <c r="O425" s="10">
        <f t="shared" ca="1" si="79"/>
        <v>0</v>
      </c>
      <c r="P425" s="29">
        <f t="shared" ca="1" si="80"/>
        <v>0</v>
      </c>
      <c r="Q425" s="12">
        <f t="shared" ca="1" si="81"/>
        <v>-154000</v>
      </c>
      <c r="R425" s="10">
        <f t="shared" ca="1" si="82"/>
        <v>0</v>
      </c>
      <c r="S425" s="10">
        <f t="shared" ca="1" si="72"/>
        <v>-0.38836613820853472</v>
      </c>
      <c r="T425" s="14">
        <f t="shared" ca="1" si="73"/>
        <v>-0.1780543986738489</v>
      </c>
      <c r="U425" s="12">
        <f t="shared" ca="1" si="83"/>
        <v>7900</v>
      </c>
      <c r="V425" s="14">
        <f t="shared" ca="1" si="84"/>
        <v>-2049.3670886075947</v>
      </c>
      <c r="W425" s="12">
        <f t="shared" ca="1" si="74"/>
        <v>0</v>
      </c>
      <c r="X425" s="7">
        <f ca="1">AVERAGE(E425:OFFSET(F425,-$X$5+1,0))</f>
        <v>8331.7999999999993</v>
      </c>
      <c r="Y425" s="7">
        <f ca="1">AVERAGE(E425:OFFSET(F425,-$Y$5+1,0))</f>
        <v>8281.15</v>
      </c>
      <c r="Z425" s="7">
        <f t="shared" ca="1" si="76"/>
        <v>0</v>
      </c>
    </row>
    <row r="426" spans="1:26">
      <c r="A426" s="3" t="s">
        <v>44</v>
      </c>
      <c r="B426" s="4">
        <v>42270</v>
      </c>
      <c r="C426" s="3">
        <v>8234</v>
      </c>
      <c r="D426" s="3">
        <v>8250</v>
      </c>
      <c r="E426" s="3">
        <v>8135</v>
      </c>
      <c r="F426" s="3">
        <v>8140</v>
      </c>
      <c r="G426" s="3">
        <v>138538</v>
      </c>
      <c r="H426" s="3">
        <v>1.355</v>
      </c>
      <c r="I426" s="2">
        <f t="shared" si="85"/>
        <v>0</v>
      </c>
      <c r="J426" s="10">
        <f t="shared" si="87"/>
        <v>-96</v>
      </c>
      <c r="K426" s="10">
        <f t="shared" si="86"/>
        <v>-94</v>
      </c>
      <c r="L426" s="10">
        <f t="shared" ca="1" si="75"/>
        <v>0</v>
      </c>
      <c r="M426" s="10">
        <f t="shared" ca="1" si="77"/>
        <v>0</v>
      </c>
      <c r="N426" s="30">
        <f t="shared" ca="1" si="78"/>
        <v>0</v>
      </c>
      <c r="O426" s="10">
        <f t="shared" ca="1" si="79"/>
        <v>0</v>
      </c>
      <c r="P426" s="29">
        <f t="shared" ca="1" si="80"/>
        <v>0</v>
      </c>
      <c r="Q426" s="12">
        <f t="shared" ca="1" si="81"/>
        <v>-154000</v>
      </c>
      <c r="R426" s="10">
        <f t="shared" ca="1" si="82"/>
        <v>0</v>
      </c>
      <c r="S426" s="10">
        <f t="shared" ca="1" si="72"/>
        <v>-0.38836613820853472</v>
      </c>
      <c r="T426" s="14">
        <f t="shared" ca="1" si="73"/>
        <v>-0.1780543986738489</v>
      </c>
      <c r="U426" s="12">
        <f t="shared" ca="1" si="83"/>
        <v>7900</v>
      </c>
      <c r="V426" s="14">
        <f t="shared" ca="1" si="84"/>
        <v>-2049.3670886075947</v>
      </c>
      <c r="W426" s="12">
        <f t="shared" ca="1" si="74"/>
        <v>0</v>
      </c>
      <c r="X426" s="7">
        <f ca="1">AVERAGE(E426:OFFSET(F426,-$X$5+1,0))</f>
        <v>8300.5</v>
      </c>
      <c r="Y426" s="7">
        <f ca="1">AVERAGE(E426:OFFSET(F426,-$Y$5+1,0))</f>
        <v>8273.1</v>
      </c>
      <c r="Z426" s="7">
        <f t="shared" ca="1" si="76"/>
        <v>0</v>
      </c>
    </row>
    <row r="427" spans="1:26">
      <c r="A427" s="3" t="s">
        <v>44</v>
      </c>
      <c r="B427" s="4">
        <v>42271</v>
      </c>
      <c r="C427" s="3">
        <v>8188</v>
      </c>
      <c r="D427" s="3">
        <v>8219</v>
      </c>
      <c r="E427" s="3">
        <v>8047</v>
      </c>
      <c r="F427" s="3">
        <v>8091</v>
      </c>
      <c r="G427" s="3">
        <v>163890</v>
      </c>
      <c r="H427" s="3">
        <v>1.355</v>
      </c>
      <c r="I427" s="2">
        <f t="shared" si="85"/>
        <v>0</v>
      </c>
      <c r="J427" s="10">
        <f t="shared" si="87"/>
        <v>48</v>
      </c>
      <c r="K427" s="10">
        <f t="shared" si="86"/>
        <v>-97</v>
      </c>
      <c r="L427" s="10">
        <f t="shared" ca="1" si="75"/>
        <v>-1</v>
      </c>
      <c r="M427" s="10">
        <f t="shared" ca="1" si="77"/>
        <v>0</v>
      </c>
      <c r="N427" s="30">
        <f t="shared" ca="1" si="78"/>
        <v>0</v>
      </c>
      <c r="O427" s="10">
        <f t="shared" ca="1" si="79"/>
        <v>0</v>
      </c>
      <c r="P427" s="29">
        <f t="shared" ca="1" si="80"/>
        <v>0</v>
      </c>
      <c r="Q427" s="12">
        <f t="shared" ca="1" si="81"/>
        <v>-154000</v>
      </c>
      <c r="R427" s="10">
        <f t="shared" ca="1" si="82"/>
        <v>0</v>
      </c>
      <c r="S427" s="10">
        <f t="shared" ca="1" si="72"/>
        <v>-0.38836613820853472</v>
      </c>
      <c r="T427" s="14">
        <f t="shared" ca="1" si="73"/>
        <v>-0.1780543986738489</v>
      </c>
      <c r="U427" s="12">
        <f t="shared" ca="1" si="83"/>
        <v>7900</v>
      </c>
      <c r="V427" s="14">
        <f t="shared" ca="1" si="84"/>
        <v>-2049.3670886075947</v>
      </c>
      <c r="W427" s="12">
        <f t="shared" ca="1" si="74"/>
        <v>0</v>
      </c>
      <c r="X427" s="7">
        <f ca="1">AVERAGE(E427:OFFSET(F427,-$X$5+1,0))</f>
        <v>8234.2000000000007</v>
      </c>
      <c r="Y427" s="7">
        <f ca="1">AVERAGE(E427:OFFSET(F427,-$Y$5+1,0))</f>
        <v>8257.2999999999993</v>
      </c>
      <c r="Z427" s="7">
        <f t="shared" ca="1" si="76"/>
        <v>-1</v>
      </c>
    </row>
    <row r="428" spans="1:26">
      <c r="A428" s="3" t="s">
        <v>44</v>
      </c>
      <c r="B428" s="4">
        <v>42272</v>
      </c>
      <c r="C428" s="3">
        <v>8142</v>
      </c>
      <c r="D428" s="3">
        <v>8152</v>
      </c>
      <c r="E428" s="3">
        <v>8033</v>
      </c>
      <c r="F428" s="3">
        <v>8120</v>
      </c>
      <c r="G428" s="3">
        <v>161413</v>
      </c>
      <c r="H428" s="3">
        <v>1.355</v>
      </c>
      <c r="I428" s="2">
        <f t="shared" si="85"/>
        <v>0</v>
      </c>
      <c r="J428" s="10">
        <f t="shared" si="87"/>
        <v>51</v>
      </c>
      <c r="K428" s="10">
        <f t="shared" si="86"/>
        <v>-22</v>
      </c>
      <c r="L428" s="10">
        <f t="shared" ca="1" si="75"/>
        <v>0</v>
      </c>
      <c r="M428" s="10">
        <f t="shared" ca="1" si="77"/>
        <v>-1</v>
      </c>
      <c r="N428" s="30">
        <f t="shared" ca="1" si="78"/>
        <v>0</v>
      </c>
      <c r="O428" s="10">
        <f t="shared" ca="1" si="79"/>
        <v>1628400</v>
      </c>
      <c r="P428" s="29">
        <f t="shared" ca="1" si="80"/>
        <v>3900</v>
      </c>
      <c r="Q428" s="12">
        <f t="shared" ca="1" si="81"/>
        <v>-150100</v>
      </c>
      <c r="R428" s="10">
        <f t="shared" ca="1" si="82"/>
        <v>0.23949889462048637</v>
      </c>
      <c r="S428" s="10">
        <f t="shared" ref="S428:S491" ca="1" si="88">100*SUM(P189:P428)/SUM(N189:N428)</f>
        <v>-0.37318950555309099</v>
      </c>
      <c r="T428" s="14">
        <f t="shared" ca="1" si="73"/>
        <v>-0.17645541490239505</v>
      </c>
      <c r="U428" s="12">
        <f t="shared" ca="1" si="83"/>
        <v>7900</v>
      </c>
      <c r="V428" s="14">
        <f t="shared" ca="1" si="84"/>
        <v>-2000</v>
      </c>
      <c r="W428" s="12">
        <f t="shared" ca="1" si="74"/>
        <v>0</v>
      </c>
      <c r="X428" s="7">
        <f ca="1">AVERAGE(E428:OFFSET(F428,-$X$5+1,0))</f>
        <v>8167.5</v>
      </c>
      <c r="Y428" s="7">
        <f ca="1">AVERAGE(E428:OFFSET(F428,-$Y$5+1,0))</f>
        <v>8241.7000000000007</v>
      </c>
      <c r="Z428" s="7">
        <f t="shared" ca="1" si="76"/>
        <v>0</v>
      </c>
    </row>
    <row r="429" spans="1:26">
      <c r="A429" s="3" t="s">
        <v>44</v>
      </c>
      <c r="B429" s="4">
        <v>42277</v>
      </c>
      <c r="C429" s="3">
        <v>8015</v>
      </c>
      <c r="D429" s="3">
        <v>8178</v>
      </c>
      <c r="E429" s="3">
        <v>7983</v>
      </c>
      <c r="F429" s="3">
        <v>8135</v>
      </c>
      <c r="G429" s="3">
        <v>165188</v>
      </c>
      <c r="H429" s="3">
        <v>1.2749999999999999</v>
      </c>
      <c r="I429" s="2">
        <f t="shared" si="85"/>
        <v>0</v>
      </c>
      <c r="J429" s="10">
        <f t="shared" si="87"/>
        <v>-105</v>
      </c>
      <c r="K429" s="10">
        <f t="shared" si="86"/>
        <v>120</v>
      </c>
      <c r="L429" s="10">
        <f t="shared" ca="1" si="75"/>
        <v>0</v>
      </c>
      <c r="M429" s="10">
        <f t="shared" ca="1" si="77"/>
        <v>-1</v>
      </c>
      <c r="N429" s="30">
        <f t="shared" ca="1" si="78"/>
        <v>0</v>
      </c>
      <c r="O429" s="10">
        <f t="shared" ca="1" si="79"/>
        <v>1628400</v>
      </c>
      <c r="P429" s="29">
        <f t="shared" ca="1" si="80"/>
        <v>-3000</v>
      </c>
      <c r="Q429" s="12">
        <f t="shared" ca="1" si="81"/>
        <v>-153100</v>
      </c>
      <c r="R429" s="10">
        <f t="shared" ca="1" si="82"/>
        <v>-0.18422991893883567</v>
      </c>
      <c r="S429" s="10">
        <f t="shared" ca="1" si="88"/>
        <v>-0.38486383836497079</v>
      </c>
      <c r="T429" s="14">
        <f t="shared" ref="T429:T492" ca="1" si="89">(S429-AVERAGE(H160:H429))/(_xlfn.STDEV.S(R160:R429)*SQRT(240))</f>
        <v>-0.17759054200790292</v>
      </c>
      <c r="U429" s="12">
        <f t="shared" ca="1" si="83"/>
        <v>7900</v>
      </c>
      <c r="V429" s="14">
        <f t="shared" ca="1" si="84"/>
        <v>-2037.9746835443038</v>
      </c>
      <c r="W429" s="12">
        <f t="shared" ref="W429:W492" ca="1" si="90">MAX(V190:V429)</f>
        <v>0</v>
      </c>
      <c r="X429" s="7">
        <f ca="1">AVERAGE(E429:OFFSET(F429,-$X$5+1,0))</f>
        <v>8129</v>
      </c>
      <c r="Y429" s="7">
        <f ca="1">AVERAGE(E429:OFFSET(F429,-$Y$5+1,0))</f>
        <v>8223.4500000000007</v>
      </c>
      <c r="Z429" s="7">
        <f t="shared" ca="1" si="76"/>
        <v>0</v>
      </c>
    </row>
    <row r="430" spans="1:26">
      <c r="A430" s="3" t="s">
        <v>44</v>
      </c>
      <c r="B430" s="4">
        <v>42278</v>
      </c>
      <c r="C430" s="3">
        <v>8174</v>
      </c>
      <c r="D430" s="3">
        <v>8330</v>
      </c>
      <c r="E430" s="3">
        <v>8116</v>
      </c>
      <c r="F430" s="3">
        <v>8309</v>
      </c>
      <c r="G430" s="3">
        <v>178858</v>
      </c>
      <c r="H430" s="3">
        <v>1.2749999999999999</v>
      </c>
      <c r="I430" s="2">
        <f t="shared" si="85"/>
        <v>0</v>
      </c>
      <c r="J430" s="10">
        <f t="shared" si="87"/>
        <v>39</v>
      </c>
      <c r="K430" s="10">
        <f t="shared" si="86"/>
        <v>135</v>
      </c>
      <c r="L430" s="10">
        <f t="shared" ca="1" si="75"/>
        <v>0</v>
      </c>
      <c r="M430" s="10">
        <f t="shared" ca="1" si="77"/>
        <v>-1</v>
      </c>
      <c r="N430" s="30">
        <f t="shared" ca="1" si="78"/>
        <v>0</v>
      </c>
      <c r="O430" s="10">
        <f t="shared" ca="1" si="79"/>
        <v>1628400</v>
      </c>
      <c r="P430" s="29">
        <f t="shared" ca="1" si="80"/>
        <v>-34800</v>
      </c>
      <c r="Q430" s="12">
        <f t="shared" ca="1" si="81"/>
        <v>-187900</v>
      </c>
      <c r="R430" s="10">
        <f t="shared" ca="1" si="82"/>
        <v>-2.1370670596904939</v>
      </c>
      <c r="S430" s="10">
        <f t="shared" ca="1" si="88"/>
        <v>-0.51296641869105697</v>
      </c>
      <c r="T430" s="14">
        <f t="shared" ca="1" si="89"/>
        <v>-0.18674657241963705</v>
      </c>
      <c r="U430" s="12">
        <f t="shared" ca="1" si="83"/>
        <v>7900</v>
      </c>
      <c r="V430" s="14">
        <f t="shared" ca="1" si="84"/>
        <v>-2478.4810126582279</v>
      </c>
      <c r="W430" s="12">
        <f t="shared" ca="1" si="90"/>
        <v>0</v>
      </c>
      <c r="X430" s="7">
        <f ca="1">AVERAGE(E430:OFFSET(F430,-$X$5+1,0))</f>
        <v>8110.9</v>
      </c>
      <c r="Y430" s="7">
        <f ca="1">AVERAGE(E430:OFFSET(F430,-$Y$5+1,0))</f>
        <v>8221.35</v>
      </c>
      <c r="Z430" s="7">
        <f t="shared" ca="1" si="76"/>
        <v>0</v>
      </c>
    </row>
    <row r="431" spans="1:26">
      <c r="A431" s="3" t="s">
        <v>44</v>
      </c>
      <c r="B431" s="4">
        <v>42279</v>
      </c>
      <c r="C431" s="3">
        <v>8283</v>
      </c>
      <c r="D431" s="3">
        <v>8319</v>
      </c>
      <c r="E431" s="3">
        <v>8254</v>
      </c>
      <c r="F431" s="3">
        <v>8277</v>
      </c>
      <c r="G431" s="3">
        <v>104901</v>
      </c>
      <c r="H431" s="3">
        <v>1.2749999999999999</v>
      </c>
      <c r="I431" s="2">
        <f t="shared" si="85"/>
        <v>0</v>
      </c>
      <c r="J431" s="10">
        <f t="shared" si="87"/>
        <v>-26</v>
      </c>
      <c r="K431" s="10">
        <f t="shared" si="86"/>
        <v>-6</v>
      </c>
      <c r="L431" s="10">
        <f t="shared" ca="1" si="75"/>
        <v>0</v>
      </c>
      <c r="M431" s="10">
        <f t="shared" ca="1" si="77"/>
        <v>-1</v>
      </c>
      <c r="N431" s="30">
        <f t="shared" ca="1" si="78"/>
        <v>0</v>
      </c>
      <c r="O431" s="10">
        <f t="shared" ca="1" si="79"/>
        <v>1628400</v>
      </c>
      <c r="P431" s="29">
        <f t="shared" ca="1" si="80"/>
        <v>6400</v>
      </c>
      <c r="Q431" s="12">
        <f t="shared" ca="1" si="81"/>
        <v>-181500</v>
      </c>
      <c r="R431" s="10">
        <f t="shared" ca="1" si="82"/>
        <v>0.39302382706951611</v>
      </c>
      <c r="S431" s="10">
        <f t="shared" ca="1" si="88"/>
        <v>-0.52635542798805035</v>
      </c>
      <c r="T431" s="14">
        <f t="shared" ca="1" si="89"/>
        <v>-0.18791843696417887</v>
      </c>
      <c r="U431" s="12">
        <f t="shared" ca="1" si="83"/>
        <v>7900</v>
      </c>
      <c r="V431" s="14">
        <f t="shared" ca="1" si="84"/>
        <v>-2397.4683544303798</v>
      </c>
      <c r="W431" s="12">
        <f t="shared" ca="1" si="90"/>
        <v>0</v>
      </c>
      <c r="X431" s="7">
        <f ca="1">AVERAGE(E431:OFFSET(F431,-$X$5+1,0))</f>
        <v>8136.5</v>
      </c>
      <c r="Y431" s="7">
        <f ca="1">AVERAGE(E431:OFFSET(F431,-$Y$5+1,0))</f>
        <v>8218.5</v>
      </c>
      <c r="Z431" s="7">
        <f t="shared" ca="1" si="76"/>
        <v>0</v>
      </c>
    </row>
    <row r="432" spans="1:26">
      <c r="A432" s="3" t="s">
        <v>44</v>
      </c>
      <c r="B432" s="4">
        <v>42282</v>
      </c>
      <c r="C432" s="3">
        <v>8358</v>
      </c>
      <c r="D432" s="3">
        <v>8377</v>
      </c>
      <c r="E432" s="3">
        <v>8275</v>
      </c>
      <c r="F432" s="3">
        <v>8335</v>
      </c>
      <c r="G432" s="3">
        <v>131099</v>
      </c>
      <c r="H432" s="3">
        <v>1.2749999999999999</v>
      </c>
      <c r="I432" s="2">
        <f t="shared" si="85"/>
        <v>0</v>
      </c>
      <c r="J432" s="10">
        <f t="shared" si="87"/>
        <v>81</v>
      </c>
      <c r="K432" s="10">
        <f t="shared" si="86"/>
        <v>-23</v>
      </c>
      <c r="L432" s="10">
        <f t="shared" ca="1" si="75"/>
        <v>0</v>
      </c>
      <c r="M432" s="10">
        <f t="shared" ca="1" si="77"/>
        <v>-1</v>
      </c>
      <c r="N432" s="30">
        <f t="shared" ca="1" si="78"/>
        <v>0</v>
      </c>
      <c r="O432" s="10">
        <f t="shared" ca="1" si="79"/>
        <v>1628400</v>
      </c>
      <c r="P432" s="29">
        <f t="shared" ca="1" si="80"/>
        <v>-11600</v>
      </c>
      <c r="Q432" s="12">
        <f t="shared" ca="1" si="81"/>
        <v>-193100</v>
      </c>
      <c r="R432" s="10">
        <f t="shared" ca="1" si="82"/>
        <v>-0.7123556865634979</v>
      </c>
      <c r="S432" s="10">
        <f t="shared" ca="1" si="88"/>
        <v>-0.34978786788395078</v>
      </c>
      <c r="T432" s="14">
        <f t="shared" ca="1" si="89"/>
        <v>-0.16987424644204308</v>
      </c>
      <c r="U432" s="12">
        <f t="shared" ca="1" si="83"/>
        <v>7900</v>
      </c>
      <c r="V432" s="14">
        <f t="shared" ca="1" si="84"/>
        <v>-2544.3037974683543</v>
      </c>
      <c r="W432" s="12">
        <f t="shared" ca="1" si="90"/>
        <v>0</v>
      </c>
      <c r="X432" s="7">
        <f ca="1">AVERAGE(E432:OFFSET(F432,-$X$5+1,0))</f>
        <v>8183.7</v>
      </c>
      <c r="Y432" s="7">
        <f ca="1">AVERAGE(E432:OFFSET(F432,-$Y$5+1,0))</f>
        <v>8208.9500000000007</v>
      </c>
      <c r="Z432" s="7">
        <f t="shared" ca="1" si="76"/>
        <v>0</v>
      </c>
    </row>
    <row r="433" spans="1:26">
      <c r="A433" s="3" t="s">
        <v>44</v>
      </c>
      <c r="B433" s="4">
        <v>42283</v>
      </c>
      <c r="C433" s="3">
        <v>8431</v>
      </c>
      <c r="D433" s="3">
        <v>8478</v>
      </c>
      <c r="E433" s="3">
        <v>8365</v>
      </c>
      <c r="F433" s="3">
        <v>8370</v>
      </c>
      <c r="G433" s="3">
        <v>147140</v>
      </c>
      <c r="H433" s="3">
        <v>1.2749999999999999</v>
      </c>
      <c r="I433" s="2">
        <f t="shared" si="85"/>
        <v>0</v>
      </c>
      <c r="J433" s="10">
        <f t="shared" si="87"/>
        <v>96</v>
      </c>
      <c r="K433" s="10">
        <f t="shared" si="86"/>
        <v>-61</v>
      </c>
      <c r="L433" s="10">
        <f t="shared" ca="1" si="75"/>
        <v>1</v>
      </c>
      <c r="M433" s="10">
        <f t="shared" ca="1" si="77"/>
        <v>-1</v>
      </c>
      <c r="N433" s="30">
        <f t="shared" ca="1" si="78"/>
        <v>0</v>
      </c>
      <c r="O433" s="10">
        <f t="shared" ca="1" si="79"/>
        <v>1628400</v>
      </c>
      <c r="P433" s="29">
        <f t="shared" ca="1" si="80"/>
        <v>-7000</v>
      </c>
      <c r="Q433" s="12">
        <f t="shared" ca="1" si="81"/>
        <v>-200100</v>
      </c>
      <c r="R433" s="10">
        <f t="shared" ca="1" si="82"/>
        <v>-0.42986981085728321</v>
      </c>
      <c r="S433" s="10">
        <f t="shared" ca="1" si="88"/>
        <v>-0.39204692847758599</v>
      </c>
      <c r="T433" s="14">
        <f t="shared" ca="1" si="89"/>
        <v>-0.17392591139854804</v>
      </c>
      <c r="U433" s="12">
        <f t="shared" ca="1" si="83"/>
        <v>7900</v>
      </c>
      <c r="V433" s="14">
        <f t="shared" ca="1" si="84"/>
        <v>-2632.9113924050635</v>
      </c>
      <c r="W433" s="12">
        <f t="shared" ca="1" si="90"/>
        <v>0</v>
      </c>
      <c r="X433" s="7">
        <f ca="1">AVERAGE(E433:OFFSET(F433,-$X$5+1,0))</f>
        <v>8241.9</v>
      </c>
      <c r="Y433" s="7">
        <f ca="1">AVERAGE(E433:OFFSET(F433,-$Y$5+1,0))</f>
        <v>8204.7000000000007</v>
      </c>
      <c r="Z433" s="7">
        <f t="shared" ca="1" si="76"/>
        <v>1</v>
      </c>
    </row>
    <row r="434" spans="1:26">
      <c r="A434" s="3" t="s">
        <v>44</v>
      </c>
      <c r="B434" s="4">
        <v>42284</v>
      </c>
      <c r="C434" s="3">
        <v>8377</v>
      </c>
      <c r="D434" s="3">
        <v>8497</v>
      </c>
      <c r="E434" s="3">
        <v>8357</v>
      </c>
      <c r="F434" s="3">
        <v>8492</v>
      </c>
      <c r="G434" s="3">
        <v>140147</v>
      </c>
      <c r="H434" s="3">
        <v>1.2749999999999999</v>
      </c>
      <c r="I434" s="2">
        <f t="shared" si="85"/>
        <v>0</v>
      </c>
      <c r="J434" s="10">
        <f t="shared" si="87"/>
        <v>7</v>
      </c>
      <c r="K434" s="10">
        <f t="shared" si="86"/>
        <v>115</v>
      </c>
      <c r="L434" s="10">
        <f t="shared" ca="1" si="75"/>
        <v>0</v>
      </c>
      <c r="M434" s="10">
        <f t="shared" ca="1" si="77"/>
        <v>0</v>
      </c>
      <c r="N434" s="30">
        <f t="shared" ca="1" si="78"/>
        <v>0</v>
      </c>
      <c r="O434" s="10">
        <f t="shared" ca="1" si="79"/>
        <v>0</v>
      </c>
      <c r="P434" s="29">
        <f t="shared" ca="1" si="80"/>
        <v>-1900</v>
      </c>
      <c r="Q434" s="12">
        <f t="shared" ca="1" si="81"/>
        <v>-202000</v>
      </c>
      <c r="R434" s="10">
        <f t="shared" ca="1" si="82"/>
        <v>-0.11667894866126259</v>
      </c>
      <c r="S434" s="10">
        <f t="shared" ca="1" si="88"/>
        <v>-0.39999665274767576</v>
      </c>
      <c r="T434" s="14">
        <f t="shared" ca="1" si="89"/>
        <v>-0.17468082528305415</v>
      </c>
      <c r="U434" s="12">
        <f t="shared" ca="1" si="83"/>
        <v>7900</v>
      </c>
      <c r="V434" s="14">
        <f t="shared" ca="1" si="84"/>
        <v>-2656.9620253164558</v>
      </c>
      <c r="W434" s="12">
        <f t="shared" ca="1" si="90"/>
        <v>0</v>
      </c>
      <c r="X434" s="7">
        <f ca="1">AVERAGE(E434:OFFSET(F434,-$X$5+1,0))</f>
        <v>8315</v>
      </c>
      <c r="Y434" s="7">
        <f ca="1">AVERAGE(E434:OFFSET(F434,-$Y$5+1,0))</f>
        <v>8222</v>
      </c>
      <c r="Z434" s="7">
        <f t="shared" ca="1" si="76"/>
        <v>0</v>
      </c>
    </row>
    <row r="435" spans="1:26">
      <c r="A435" s="3" t="s">
        <v>44</v>
      </c>
      <c r="B435" s="4">
        <v>42285</v>
      </c>
      <c r="C435" s="3">
        <v>8534</v>
      </c>
      <c r="D435" s="3">
        <v>8544</v>
      </c>
      <c r="E435" s="3">
        <v>8422</v>
      </c>
      <c r="F435" s="3">
        <v>8441</v>
      </c>
      <c r="G435" s="3">
        <v>142571</v>
      </c>
      <c r="H435" s="3">
        <v>1.2749999999999999</v>
      </c>
      <c r="I435" s="2">
        <f t="shared" si="85"/>
        <v>0</v>
      </c>
      <c r="J435" s="10">
        <f t="shared" si="87"/>
        <v>42</v>
      </c>
      <c r="K435" s="10">
        <f t="shared" si="86"/>
        <v>-93</v>
      </c>
      <c r="L435" s="10">
        <f t="shared" ca="1" si="75"/>
        <v>0</v>
      </c>
      <c r="M435" s="10">
        <f t="shared" ca="1" si="77"/>
        <v>0</v>
      </c>
      <c r="N435" s="30">
        <f t="shared" ca="1" si="78"/>
        <v>0</v>
      </c>
      <c r="O435" s="10">
        <f t="shared" ca="1" si="79"/>
        <v>0</v>
      </c>
      <c r="P435" s="29">
        <f t="shared" ca="1" si="80"/>
        <v>0</v>
      </c>
      <c r="Q435" s="12">
        <f t="shared" ca="1" si="81"/>
        <v>-202000</v>
      </c>
      <c r="R435" s="10">
        <f t="shared" ca="1" si="82"/>
        <v>0</v>
      </c>
      <c r="S435" s="10">
        <f t="shared" ca="1" si="88"/>
        <v>-0.39999665274767576</v>
      </c>
      <c r="T435" s="14">
        <f t="shared" ca="1" si="89"/>
        <v>-0.17465130399378201</v>
      </c>
      <c r="U435" s="12">
        <f t="shared" ca="1" si="83"/>
        <v>7900</v>
      </c>
      <c r="V435" s="14">
        <f t="shared" ca="1" si="84"/>
        <v>-2656.9620253164558</v>
      </c>
      <c r="W435" s="12">
        <f t="shared" ca="1" si="90"/>
        <v>0</v>
      </c>
      <c r="X435" s="7">
        <f ca="1">AVERAGE(E435:OFFSET(F435,-$X$5+1,0))</f>
        <v>8358.7999999999993</v>
      </c>
      <c r="Y435" s="7">
        <f ca="1">AVERAGE(E435:OFFSET(F435,-$Y$5+1,0))</f>
        <v>8234.85</v>
      </c>
      <c r="Z435" s="7">
        <f t="shared" ca="1" si="76"/>
        <v>0</v>
      </c>
    </row>
    <row r="436" spans="1:26">
      <c r="A436" s="3" t="s">
        <v>44</v>
      </c>
      <c r="B436" s="4">
        <v>42289</v>
      </c>
      <c r="C436" s="3">
        <v>8494</v>
      </c>
      <c r="D436" s="3">
        <v>8580</v>
      </c>
      <c r="E436" s="3">
        <v>8464</v>
      </c>
      <c r="F436" s="3">
        <v>8552</v>
      </c>
      <c r="G436" s="3">
        <v>125543</v>
      </c>
      <c r="H436" s="3">
        <v>1.2749999999999999</v>
      </c>
      <c r="I436" s="2">
        <f t="shared" si="85"/>
        <v>0</v>
      </c>
      <c r="J436" s="10">
        <f t="shared" si="87"/>
        <v>53</v>
      </c>
      <c r="K436" s="10">
        <f t="shared" si="86"/>
        <v>58</v>
      </c>
      <c r="L436" s="10">
        <f t="shared" ca="1" si="75"/>
        <v>0</v>
      </c>
      <c r="M436" s="10">
        <f t="shared" ca="1" si="77"/>
        <v>0</v>
      </c>
      <c r="N436" s="30">
        <f t="shared" ca="1" si="78"/>
        <v>0</v>
      </c>
      <c r="O436" s="10">
        <f t="shared" ca="1" si="79"/>
        <v>0</v>
      </c>
      <c r="P436" s="29">
        <f t="shared" ca="1" si="80"/>
        <v>0</v>
      </c>
      <c r="Q436" s="12">
        <f t="shared" ca="1" si="81"/>
        <v>-202000</v>
      </c>
      <c r="R436" s="10">
        <f t="shared" ca="1" si="82"/>
        <v>0</v>
      </c>
      <c r="S436" s="10">
        <f t="shared" ca="1" si="88"/>
        <v>-0.39999665274767576</v>
      </c>
      <c r="T436" s="14">
        <f t="shared" ca="1" si="89"/>
        <v>-0.17462178270450987</v>
      </c>
      <c r="U436" s="12">
        <f t="shared" ca="1" si="83"/>
        <v>7900</v>
      </c>
      <c r="V436" s="14">
        <f t="shared" ca="1" si="84"/>
        <v>-2656.9620253164558</v>
      </c>
      <c r="W436" s="12">
        <f t="shared" ca="1" si="90"/>
        <v>0</v>
      </c>
      <c r="X436" s="7">
        <f ca="1">AVERAGE(E436:OFFSET(F436,-$X$5+1,0))</f>
        <v>8407.2999999999993</v>
      </c>
      <c r="Y436" s="7">
        <f ca="1">AVERAGE(E436:OFFSET(F436,-$Y$5+1,0))</f>
        <v>8271.9</v>
      </c>
      <c r="Z436" s="7">
        <f t="shared" ca="1" si="76"/>
        <v>0</v>
      </c>
    </row>
    <row r="437" spans="1:26">
      <c r="A437" s="3" t="s">
        <v>44</v>
      </c>
      <c r="B437" s="4">
        <v>42290</v>
      </c>
      <c r="C437" s="3">
        <v>8554</v>
      </c>
      <c r="D437" s="3">
        <v>8575</v>
      </c>
      <c r="E437" s="3">
        <v>8511</v>
      </c>
      <c r="F437" s="3">
        <v>8553</v>
      </c>
      <c r="G437" s="3">
        <v>99975</v>
      </c>
      <c r="H437" s="3">
        <v>1.2749999999999999</v>
      </c>
      <c r="I437" s="2">
        <f t="shared" si="85"/>
        <v>0</v>
      </c>
      <c r="J437" s="10">
        <f t="shared" si="87"/>
        <v>2</v>
      </c>
      <c r="K437" s="10">
        <f t="shared" si="86"/>
        <v>-1</v>
      </c>
      <c r="L437" s="10">
        <f t="shared" ca="1" si="75"/>
        <v>0</v>
      </c>
      <c r="M437" s="10">
        <f t="shared" ca="1" si="77"/>
        <v>0</v>
      </c>
      <c r="N437" s="30">
        <f t="shared" ca="1" si="78"/>
        <v>0</v>
      </c>
      <c r="O437" s="10">
        <f t="shared" ca="1" si="79"/>
        <v>0</v>
      </c>
      <c r="P437" s="29">
        <f t="shared" ca="1" si="80"/>
        <v>0</v>
      </c>
      <c r="Q437" s="12">
        <f t="shared" ca="1" si="81"/>
        <v>-202000</v>
      </c>
      <c r="R437" s="10">
        <f t="shared" ca="1" si="82"/>
        <v>0</v>
      </c>
      <c r="S437" s="10">
        <f t="shared" ca="1" si="88"/>
        <v>-0.39999665274767576</v>
      </c>
      <c r="T437" s="14">
        <f t="shared" ca="1" si="89"/>
        <v>-0.1745922614152377</v>
      </c>
      <c r="U437" s="12">
        <f t="shared" ca="1" si="83"/>
        <v>7900</v>
      </c>
      <c r="V437" s="14">
        <f t="shared" ca="1" si="84"/>
        <v>-2656.9620253164558</v>
      </c>
      <c r="W437" s="12">
        <f t="shared" ca="1" si="90"/>
        <v>0</v>
      </c>
      <c r="X437" s="7">
        <f ca="1">AVERAGE(E437:OFFSET(F437,-$X$5+1,0))</f>
        <v>8452.7000000000007</v>
      </c>
      <c r="Y437" s="7">
        <f ca="1">AVERAGE(E437:OFFSET(F437,-$Y$5+1,0))</f>
        <v>8318.2000000000007</v>
      </c>
      <c r="Z437" s="7">
        <f t="shared" ca="1" si="76"/>
        <v>0</v>
      </c>
    </row>
    <row r="438" spans="1:26">
      <c r="A438" s="3" t="s">
        <v>44</v>
      </c>
      <c r="B438" s="4">
        <v>42291</v>
      </c>
      <c r="C438" s="3">
        <v>8521</v>
      </c>
      <c r="D438" s="3">
        <v>8554</v>
      </c>
      <c r="E438" s="3">
        <v>8492</v>
      </c>
      <c r="F438" s="3">
        <v>8519</v>
      </c>
      <c r="G438" s="3">
        <v>108262</v>
      </c>
      <c r="H438" s="3">
        <v>1.2749999999999999</v>
      </c>
      <c r="I438" s="2">
        <f t="shared" si="85"/>
        <v>0</v>
      </c>
      <c r="J438" s="10">
        <f t="shared" si="87"/>
        <v>-32</v>
      </c>
      <c r="K438" s="10">
        <f t="shared" si="86"/>
        <v>-2</v>
      </c>
      <c r="L438" s="10">
        <f t="shared" ca="1" si="75"/>
        <v>0</v>
      </c>
      <c r="M438" s="10">
        <f t="shared" ca="1" si="77"/>
        <v>0</v>
      </c>
      <c r="N438" s="30">
        <f t="shared" ca="1" si="78"/>
        <v>0</v>
      </c>
      <c r="O438" s="10">
        <f t="shared" ca="1" si="79"/>
        <v>0</v>
      </c>
      <c r="P438" s="29">
        <f t="shared" ca="1" si="80"/>
        <v>0</v>
      </c>
      <c r="Q438" s="12">
        <f t="shared" ca="1" si="81"/>
        <v>-202000</v>
      </c>
      <c r="R438" s="10">
        <f t="shared" ca="1" si="82"/>
        <v>0</v>
      </c>
      <c r="S438" s="10">
        <f t="shared" ca="1" si="88"/>
        <v>-0.39999665274767576</v>
      </c>
      <c r="T438" s="14">
        <f t="shared" ca="1" si="89"/>
        <v>-0.17456274012596557</v>
      </c>
      <c r="U438" s="12">
        <f t="shared" ca="1" si="83"/>
        <v>7900</v>
      </c>
      <c r="V438" s="14">
        <f t="shared" ca="1" si="84"/>
        <v>-2656.9620253164558</v>
      </c>
      <c r="W438" s="12">
        <f t="shared" ca="1" si="90"/>
        <v>0</v>
      </c>
      <c r="X438" s="7">
        <f ca="1">AVERAGE(E438:OFFSET(F438,-$X$5+1,0))</f>
        <v>8480.2999999999993</v>
      </c>
      <c r="Y438" s="7">
        <f ca="1">AVERAGE(E438:OFFSET(F438,-$Y$5+1,0))</f>
        <v>8361.1</v>
      </c>
      <c r="Z438" s="7">
        <f t="shared" ca="1" si="76"/>
        <v>0</v>
      </c>
    </row>
    <row r="439" spans="1:26">
      <c r="A439" s="3" t="s">
        <v>44</v>
      </c>
      <c r="B439" s="4">
        <v>42292</v>
      </c>
      <c r="C439" s="3">
        <v>8565</v>
      </c>
      <c r="D439" s="3">
        <v>8668</v>
      </c>
      <c r="E439" s="3">
        <v>8565</v>
      </c>
      <c r="F439" s="3">
        <v>8608</v>
      </c>
      <c r="G439" s="3">
        <v>138824</v>
      </c>
      <c r="H439" s="3">
        <v>1.2749999999999999</v>
      </c>
      <c r="I439" s="2">
        <f t="shared" si="85"/>
        <v>0</v>
      </c>
      <c r="J439" s="10">
        <f t="shared" si="87"/>
        <v>46</v>
      </c>
      <c r="K439" s="10">
        <f t="shared" si="86"/>
        <v>43</v>
      </c>
      <c r="L439" s="10">
        <f t="shared" ca="1" si="75"/>
        <v>0</v>
      </c>
      <c r="M439" s="10">
        <f t="shared" ca="1" si="77"/>
        <v>0</v>
      </c>
      <c r="N439" s="30">
        <f t="shared" ca="1" si="78"/>
        <v>0</v>
      </c>
      <c r="O439" s="10">
        <f t="shared" ca="1" si="79"/>
        <v>0</v>
      </c>
      <c r="P439" s="29">
        <f t="shared" ca="1" si="80"/>
        <v>0</v>
      </c>
      <c r="Q439" s="12">
        <f t="shared" ca="1" si="81"/>
        <v>-202000</v>
      </c>
      <c r="R439" s="10">
        <f t="shared" ca="1" si="82"/>
        <v>0</v>
      </c>
      <c r="S439" s="10">
        <f t="shared" ca="1" si="88"/>
        <v>-0.39999665274767576</v>
      </c>
      <c r="T439" s="14">
        <f t="shared" ca="1" si="89"/>
        <v>-0.17453379857790791</v>
      </c>
      <c r="U439" s="12">
        <f t="shared" ca="1" si="83"/>
        <v>7900</v>
      </c>
      <c r="V439" s="14">
        <f t="shared" ca="1" si="84"/>
        <v>-2656.9620253164558</v>
      </c>
      <c r="W439" s="12">
        <f t="shared" ca="1" si="90"/>
        <v>0</v>
      </c>
      <c r="X439" s="7">
        <f ca="1">AVERAGE(E439:OFFSET(F439,-$X$5+1,0))</f>
        <v>8512.7000000000007</v>
      </c>
      <c r="Y439" s="7">
        <f ca="1">AVERAGE(E439:OFFSET(F439,-$Y$5+1,0))</f>
        <v>8413.85</v>
      </c>
      <c r="Z439" s="7">
        <f t="shared" ca="1" si="76"/>
        <v>0</v>
      </c>
    </row>
    <row r="440" spans="1:26">
      <c r="A440" s="3" t="s">
        <v>44</v>
      </c>
      <c r="B440" s="4">
        <v>42293</v>
      </c>
      <c r="C440" s="3">
        <v>8588</v>
      </c>
      <c r="D440" s="3">
        <v>8627</v>
      </c>
      <c r="E440" s="3">
        <v>8571</v>
      </c>
      <c r="F440" s="3">
        <v>8607</v>
      </c>
      <c r="G440" s="3">
        <v>98558</v>
      </c>
      <c r="H440" s="3">
        <v>1.2749999999999999</v>
      </c>
      <c r="I440" s="2">
        <f t="shared" si="85"/>
        <v>0</v>
      </c>
      <c r="J440" s="10">
        <f t="shared" si="87"/>
        <v>-20</v>
      </c>
      <c r="K440" s="10">
        <f t="shared" si="86"/>
        <v>19</v>
      </c>
      <c r="L440" s="10">
        <f t="shared" ca="1" si="75"/>
        <v>0</v>
      </c>
      <c r="M440" s="10">
        <f t="shared" ca="1" si="77"/>
        <v>0</v>
      </c>
      <c r="N440" s="30">
        <f t="shared" ca="1" si="78"/>
        <v>0</v>
      </c>
      <c r="O440" s="10">
        <f t="shared" ca="1" si="79"/>
        <v>0</v>
      </c>
      <c r="P440" s="29">
        <f t="shared" ca="1" si="80"/>
        <v>0</v>
      </c>
      <c r="Q440" s="12">
        <f t="shared" ca="1" si="81"/>
        <v>-202000</v>
      </c>
      <c r="R440" s="10">
        <f t="shared" ca="1" si="82"/>
        <v>0</v>
      </c>
      <c r="S440" s="10">
        <f t="shared" ca="1" si="88"/>
        <v>-0.39999665274767576</v>
      </c>
      <c r="T440" s="14">
        <f t="shared" ca="1" si="89"/>
        <v>-0.17510124384038198</v>
      </c>
      <c r="U440" s="12">
        <f t="shared" ca="1" si="83"/>
        <v>7900</v>
      </c>
      <c r="V440" s="14">
        <f t="shared" ca="1" si="84"/>
        <v>-2656.9620253164558</v>
      </c>
      <c r="W440" s="12">
        <f t="shared" ca="1" si="90"/>
        <v>0</v>
      </c>
      <c r="X440" s="7">
        <f ca="1">AVERAGE(E440:OFFSET(F440,-$X$5+1,0))</f>
        <v>8544.2000000000007</v>
      </c>
      <c r="Y440" s="7">
        <f ca="1">AVERAGE(E440:OFFSET(F440,-$Y$5+1,0))</f>
        <v>8451.5</v>
      </c>
      <c r="Z440" s="7">
        <f t="shared" ca="1" si="76"/>
        <v>0</v>
      </c>
    </row>
    <row r="441" spans="1:26">
      <c r="A441" s="3" t="s">
        <v>44</v>
      </c>
      <c r="B441" s="4">
        <v>42296</v>
      </c>
      <c r="C441" s="3">
        <v>8627</v>
      </c>
      <c r="D441" s="3">
        <v>8670</v>
      </c>
      <c r="E441" s="3">
        <v>8588</v>
      </c>
      <c r="F441" s="3">
        <v>8624</v>
      </c>
      <c r="G441" s="3">
        <v>117062</v>
      </c>
      <c r="H441" s="3">
        <v>1.2749999999999999</v>
      </c>
      <c r="I441" s="2">
        <f t="shared" si="85"/>
        <v>0</v>
      </c>
      <c r="J441" s="10">
        <f t="shared" si="87"/>
        <v>20</v>
      </c>
      <c r="K441" s="10">
        <f t="shared" si="86"/>
        <v>-3</v>
      </c>
      <c r="L441" s="10">
        <f t="shared" ca="1" si="75"/>
        <v>0</v>
      </c>
      <c r="M441" s="10">
        <f t="shared" ca="1" si="77"/>
        <v>0</v>
      </c>
      <c r="N441" s="30">
        <f t="shared" ca="1" si="78"/>
        <v>0</v>
      </c>
      <c r="O441" s="10">
        <f t="shared" ca="1" si="79"/>
        <v>0</v>
      </c>
      <c r="P441" s="29">
        <f t="shared" ca="1" si="80"/>
        <v>0</v>
      </c>
      <c r="Q441" s="12">
        <f t="shared" ca="1" si="81"/>
        <v>-202000</v>
      </c>
      <c r="R441" s="10">
        <f t="shared" ca="1" si="82"/>
        <v>0</v>
      </c>
      <c r="S441" s="10">
        <f t="shared" ca="1" si="88"/>
        <v>-0.39999665274767576</v>
      </c>
      <c r="T441" s="14">
        <f t="shared" ca="1" si="89"/>
        <v>-0.17526475245076301</v>
      </c>
      <c r="U441" s="12">
        <f t="shared" ca="1" si="83"/>
        <v>7900</v>
      </c>
      <c r="V441" s="14">
        <f t="shared" ca="1" si="84"/>
        <v>-2656.9620253164558</v>
      </c>
      <c r="W441" s="12">
        <f t="shared" ca="1" si="90"/>
        <v>0</v>
      </c>
      <c r="X441" s="7">
        <f ca="1">AVERAGE(E441:OFFSET(F441,-$X$5+1,0))</f>
        <v>8563.7999999999993</v>
      </c>
      <c r="Y441" s="7">
        <f ca="1">AVERAGE(E441:OFFSET(F441,-$Y$5+1,0))</f>
        <v>8485.5499999999993</v>
      </c>
      <c r="Z441" s="7">
        <f t="shared" ca="1" si="76"/>
        <v>0</v>
      </c>
    </row>
    <row r="442" spans="1:26">
      <c r="A442" s="3" t="s">
        <v>44</v>
      </c>
      <c r="B442" s="4">
        <v>42297</v>
      </c>
      <c r="C442" s="3">
        <v>8644</v>
      </c>
      <c r="D442" s="3">
        <v>8663</v>
      </c>
      <c r="E442" s="3">
        <v>8629</v>
      </c>
      <c r="F442" s="3">
        <v>8659</v>
      </c>
      <c r="G442" s="3">
        <v>83770</v>
      </c>
      <c r="H442" s="3">
        <v>1.2749999999999999</v>
      </c>
      <c r="I442" s="2">
        <f t="shared" si="85"/>
        <v>0</v>
      </c>
      <c r="J442" s="10">
        <f t="shared" si="87"/>
        <v>20</v>
      </c>
      <c r="K442" s="10">
        <f t="shared" si="86"/>
        <v>15</v>
      </c>
      <c r="L442" s="10">
        <f t="shared" ca="1" si="75"/>
        <v>0</v>
      </c>
      <c r="M442" s="10">
        <f t="shared" ca="1" si="77"/>
        <v>0</v>
      </c>
      <c r="N442" s="30">
        <f t="shared" ca="1" si="78"/>
        <v>0</v>
      </c>
      <c r="O442" s="10">
        <f t="shared" ca="1" si="79"/>
        <v>0</v>
      </c>
      <c r="P442" s="29">
        <f t="shared" ca="1" si="80"/>
        <v>0</v>
      </c>
      <c r="Q442" s="12">
        <f t="shared" ca="1" si="81"/>
        <v>-202000</v>
      </c>
      <c r="R442" s="10">
        <f t="shared" ca="1" si="82"/>
        <v>0</v>
      </c>
      <c r="S442" s="10">
        <f t="shared" ca="1" si="88"/>
        <v>-0.39927453846570299</v>
      </c>
      <c r="T442" s="14">
        <f t="shared" ca="1" si="89"/>
        <v>-0.17547068412183081</v>
      </c>
      <c r="U442" s="12">
        <f t="shared" ca="1" si="83"/>
        <v>7900</v>
      </c>
      <c r="V442" s="14">
        <f t="shared" ca="1" si="84"/>
        <v>-2656.9620253164558</v>
      </c>
      <c r="W442" s="12">
        <f t="shared" ca="1" si="90"/>
        <v>0</v>
      </c>
      <c r="X442" s="7">
        <f ca="1">AVERAGE(E442:OFFSET(F442,-$X$5+1,0))</f>
        <v>8586.2000000000007</v>
      </c>
      <c r="Y442" s="7">
        <f ca="1">AVERAGE(E442:OFFSET(F442,-$Y$5+1,0))</f>
        <v>8519.4500000000007</v>
      </c>
      <c r="Z442" s="7">
        <f t="shared" ca="1" si="76"/>
        <v>0</v>
      </c>
    </row>
    <row r="443" spans="1:26">
      <c r="A443" s="3" t="s">
        <v>44</v>
      </c>
      <c r="B443" s="4">
        <v>42298</v>
      </c>
      <c r="C443" s="3">
        <v>8690</v>
      </c>
      <c r="D443" s="3">
        <v>8704</v>
      </c>
      <c r="E443" s="3">
        <v>8593</v>
      </c>
      <c r="F443" s="3">
        <v>8617</v>
      </c>
      <c r="G443" s="3">
        <v>71803</v>
      </c>
      <c r="H443" s="3">
        <v>1.2749999999999999</v>
      </c>
      <c r="I443" s="2">
        <f t="shared" si="85"/>
        <v>1</v>
      </c>
      <c r="J443" s="10">
        <f t="shared" si="87"/>
        <v>31</v>
      </c>
      <c r="K443" s="10">
        <f t="shared" si="86"/>
        <v>-73</v>
      </c>
      <c r="L443" s="10">
        <f t="shared" ca="1" si="75"/>
        <v>0</v>
      </c>
      <c r="M443" s="10">
        <f t="shared" si="77"/>
        <v>0</v>
      </c>
      <c r="N443" s="30">
        <f t="shared" si="78"/>
        <v>0</v>
      </c>
      <c r="O443" s="10">
        <f t="shared" si="79"/>
        <v>0</v>
      </c>
      <c r="P443" s="29">
        <f t="shared" ca="1" si="80"/>
        <v>0</v>
      </c>
      <c r="Q443" s="12">
        <f t="shared" ca="1" si="81"/>
        <v>-202000</v>
      </c>
      <c r="R443" s="10">
        <f t="shared" ca="1" si="82"/>
        <v>0</v>
      </c>
      <c r="S443" s="10">
        <f t="shared" ca="1" si="88"/>
        <v>-0.53552415498168304</v>
      </c>
      <c r="T443" s="14">
        <f t="shared" ca="1" si="89"/>
        <v>-0.18918271513677465</v>
      </c>
      <c r="U443" s="12">
        <f t="shared" ca="1" si="83"/>
        <v>7900</v>
      </c>
      <c r="V443" s="14">
        <f t="shared" ca="1" si="84"/>
        <v>-2656.9620253164558</v>
      </c>
      <c r="W443" s="12">
        <f t="shared" ca="1" si="90"/>
        <v>0</v>
      </c>
      <c r="X443" s="7">
        <f ca="1">AVERAGE(E443:OFFSET(F443,-$X$5+1,0))</f>
        <v>8606.1</v>
      </c>
      <c r="Y443" s="7">
        <f ca="1">AVERAGE(E443:OFFSET(F443,-$Y$5+1,0))</f>
        <v>8543.2000000000007</v>
      </c>
      <c r="Z443" s="7">
        <f t="shared" ca="1" si="76"/>
        <v>0</v>
      </c>
    </row>
    <row r="444" spans="1:26">
      <c r="A444" s="3" t="s">
        <v>45</v>
      </c>
      <c r="B444" s="4">
        <v>42299</v>
      </c>
      <c r="C444" s="3">
        <v>8588</v>
      </c>
      <c r="D444" s="3">
        <v>8633</v>
      </c>
      <c r="E444" s="3">
        <v>8566</v>
      </c>
      <c r="F444" s="3">
        <v>8595</v>
      </c>
      <c r="G444" s="3">
        <v>97736</v>
      </c>
      <c r="H444" s="3">
        <v>1.2749999999999999</v>
      </c>
      <c r="I444" s="2">
        <f t="shared" si="85"/>
        <v>0</v>
      </c>
      <c r="J444" s="10">
        <f t="shared" si="87"/>
        <v>-29</v>
      </c>
      <c r="K444" s="10">
        <f t="shared" si="86"/>
        <v>7</v>
      </c>
      <c r="L444" s="10">
        <f t="shared" ca="1" si="75"/>
        <v>0</v>
      </c>
      <c r="M444" s="10">
        <f t="shared" ca="1" si="77"/>
        <v>0</v>
      </c>
      <c r="N444" s="30">
        <f t="shared" ca="1" si="78"/>
        <v>0</v>
      </c>
      <c r="O444" s="10">
        <f t="shared" ca="1" si="79"/>
        <v>0</v>
      </c>
      <c r="P444" s="29">
        <f t="shared" ca="1" si="80"/>
        <v>0</v>
      </c>
      <c r="Q444" s="12">
        <f t="shared" ca="1" si="81"/>
        <v>-202000</v>
      </c>
      <c r="R444" s="10">
        <f t="shared" ca="1" si="82"/>
        <v>0</v>
      </c>
      <c r="S444" s="10">
        <f t="shared" ca="1" si="88"/>
        <v>-0.61312327432191005</v>
      </c>
      <c r="T444" s="14">
        <f t="shared" ca="1" si="89"/>
        <v>-0.1973760262758604</v>
      </c>
      <c r="U444" s="12">
        <f t="shared" ca="1" si="83"/>
        <v>7900</v>
      </c>
      <c r="V444" s="14">
        <f t="shared" ca="1" si="84"/>
        <v>-2656.9620253164558</v>
      </c>
      <c r="W444" s="12">
        <f t="shared" ca="1" si="90"/>
        <v>0</v>
      </c>
      <c r="X444" s="7">
        <f ca="1">AVERAGE(E444:OFFSET(F444,-$X$5+1,0))</f>
        <v>8604.9</v>
      </c>
      <c r="Y444" s="7">
        <f ca="1">AVERAGE(E444:OFFSET(F444,-$Y$5+1,0))</f>
        <v>8558.7999999999993</v>
      </c>
      <c r="Z444" s="7">
        <f t="shared" ca="1" si="76"/>
        <v>0</v>
      </c>
    </row>
    <row r="445" spans="1:26">
      <c r="A445" s="3" t="s">
        <v>45</v>
      </c>
      <c r="B445" s="4">
        <v>42300</v>
      </c>
      <c r="C445" s="3">
        <v>8742</v>
      </c>
      <c r="D445" s="3">
        <v>8752</v>
      </c>
      <c r="E445" s="3">
        <v>8669</v>
      </c>
      <c r="F445" s="3">
        <v>8692</v>
      </c>
      <c r="G445" s="3">
        <v>108905</v>
      </c>
      <c r="H445" s="3">
        <v>1.2749999999999999</v>
      </c>
      <c r="I445" s="2">
        <f t="shared" si="85"/>
        <v>0</v>
      </c>
      <c r="J445" s="10">
        <f t="shared" si="87"/>
        <v>147</v>
      </c>
      <c r="K445" s="10">
        <f t="shared" si="86"/>
        <v>-50</v>
      </c>
      <c r="L445" s="10">
        <f t="shared" ref="L445:L508" ca="1" si="91">Z445</f>
        <v>0</v>
      </c>
      <c r="M445" s="10">
        <f t="shared" ca="1" si="77"/>
        <v>0</v>
      </c>
      <c r="N445" s="30">
        <f t="shared" ca="1" si="78"/>
        <v>0</v>
      </c>
      <c r="O445" s="10">
        <f t="shared" ca="1" si="79"/>
        <v>0</v>
      </c>
      <c r="P445" s="29">
        <f t="shared" ca="1" si="80"/>
        <v>0</v>
      </c>
      <c r="Q445" s="12">
        <f t="shared" ca="1" si="81"/>
        <v>-202000</v>
      </c>
      <c r="R445" s="10">
        <f t="shared" ca="1" si="82"/>
        <v>0</v>
      </c>
      <c r="S445" s="10">
        <f t="shared" ca="1" si="88"/>
        <v>-0.61492790500424088</v>
      </c>
      <c r="T445" s="14">
        <f t="shared" ca="1" si="89"/>
        <v>-0.1976962893543599</v>
      </c>
      <c r="U445" s="12">
        <f t="shared" ca="1" si="83"/>
        <v>7900</v>
      </c>
      <c r="V445" s="14">
        <f t="shared" ca="1" si="84"/>
        <v>-2656.9620253164558</v>
      </c>
      <c r="W445" s="12">
        <f t="shared" ca="1" si="90"/>
        <v>0</v>
      </c>
      <c r="X445" s="7">
        <f ca="1">AVERAGE(E445:OFFSET(F445,-$X$5+1,0))</f>
        <v>8623.2000000000007</v>
      </c>
      <c r="Y445" s="7">
        <f ca="1">AVERAGE(E445:OFFSET(F445,-$Y$5+1,0))</f>
        <v>8583.7000000000007</v>
      </c>
      <c r="Z445" s="7">
        <f t="shared" ref="Z445:Z508" ca="1" si="92">IF(AND(X444&lt;=Y444,X445&gt;Y445),1,IF(AND(X444&gt;Y444,X445&lt;=Y445),-1,0))</f>
        <v>0</v>
      </c>
    </row>
    <row r="446" spans="1:26">
      <c r="A446" s="3" t="s">
        <v>45</v>
      </c>
      <c r="B446" s="4">
        <v>42303</v>
      </c>
      <c r="C446" s="3">
        <v>8730</v>
      </c>
      <c r="D446" s="3">
        <v>8765</v>
      </c>
      <c r="E446" s="3">
        <v>8716</v>
      </c>
      <c r="F446" s="3">
        <v>8736</v>
      </c>
      <c r="G446" s="3">
        <v>79592</v>
      </c>
      <c r="H446" s="3">
        <v>1.2749999999999999</v>
      </c>
      <c r="I446" s="2">
        <f t="shared" si="85"/>
        <v>0</v>
      </c>
      <c r="J446" s="10">
        <f t="shared" si="87"/>
        <v>38</v>
      </c>
      <c r="K446" s="10">
        <f t="shared" si="86"/>
        <v>6</v>
      </c>
      <c r="L446" s="10">
        <f t="shared" ca="1" si="91"/>
        <v>0</v>
      </c>
      <c r="M446" s="10">
        <f t="shared" ref="M446:M509" ca="1" si="93">IF(I446=1,0,IF(M445+L445&gt;=$M$5,$M$5,IF(M445+L445&lt;=$M$7,$M$7,M445+L445)))</f>
        <v>0</v>
      </c>
      <c r="N446" s="30">
        <f t="shared" ref="N446:N509" ca="1" si="94">IF(M446=0,0,IF(M446&gt;M445,(C446+N445*M445)*$S$5,0))</f>
        <v>0</v>
      </c>
      <c r="O446" s="10">
        <f t="shared" ref="O446:O509" ca="1" si="95">IF(M446=0,0,IF(M446=M445,O445,((M446-M445)*C446+N445*M445)*$S$5/M446))</f>
        <v>0</v>
      </c>
      <c r="P446" s="29">
        <f t="shared" ref="P446:P509" ca="1" si="96">IF(M445=M446,(M445*J446+M446*K446)*$S$5,(M445*J446+M446*K446)*$S$5-$S$6)</f>
        <v>0</v>
      </c>
      <c r="Q446" s="12">
        <f t="shared" ref="Q446:Q509" ca="1" si="97">P446+Q445</f>
        <v>-202000</v>
      </c>
      <c r="R446" s="10">
        <f t="shared" ref="R446:R509" ca="1" si="98">IF(P446=0,0,IF(O446=0,100*P446/O445,100*P446/O446))</f>
        <v>0</v>
      </c>
      <c r="S446" s="10">
        <f t="shared" ca="1" si="88"/>
        <v>-0.70245249309728763</v>
      </c>
      <c r="T446" s="14">
        <f t="shared" ca="1" si="89"/>
        <v>-0.20647271042489881</v>
      </c>
      <c r="U446" s="12">
        <f t="shared" ref="U446:U509" ca="1" si="99">IF(Q446&gt;U445,Q446,U445)</f>
        <v>7900</v>
      </c>
      <c r="V446" s="14">
        <f t="shared" ref="V446:V509" ca="1" si="100">IF(U446=0,0,100*(Q446-U446)/U446)</f>
        <v>-2656.9620253164558</v>
      </c>
      <c r="W446" s="12">
        <f t="shared" ca="1" si="90"/>
        <v>0</v>
      </c>
      <c r="X446" s="7">
        <f ca="1">AVERAGE(E446:OFFSET(F446,-$X$5+1,0))</f>
        <v>8647.2000000000007</v>
      </c>
      <c r="Y446" s="7">
        <f ca="1">AVERAGE(E446:OFFSET(F446,-$Y$5+1,0))</f>
        <v>8605.5</v>
      </c>
      <c r="Z446" s="7">
        <f t="shared" ca="1" si="92"/>
        <v>0</v>
      </c>
    </row>
    <row r="447" spans="1:26">
      <c r="A447" s="3" t="s">
        <v>45</v>
      </c>
      <c r="B447" s="4">
        <v>42304</v>
      </c>
      <c r="C447" s="3">
        <v>8722</v>
      </c>
      <c r="D447" s="3">
        <v>8728</v>
      </c>
      <c r="E447" s="3">
        <v>8655</v>
      </c>
      <c r="F447" s="3">
        <v>8691</v>
      </c>
      <c r="G447" s="3">
        <v>99136</v>
      </c>
      <c r="H447" s="3">
        <v>1.2749999999999999</v>
      </c>
      <c r="I447" s="2">
        <f t="shared" si="85"/>
        <v>0</v>
      </c>
      <c r="J447" s="10">
        <f t="shared" si="87"/>
        <v>-14</v>
      </c>
      <c r="K447" s="10">
        <f t="shared" si="86"/>
        <v>-31</v>
      </c>
      <c r="L447" s="10">
        <f t="shared" ca="1" si="91"/>
        <v>0</v>
      </c>
      <c r="M447" s="10">
        <f t="shared" ca="1" si="93"/>
        <v>0</v>
      </c>
      <c r="N447" s="30">
        <f t="shared" ca="1" si="94"/>
        <v>0</v>
      </c>
      <c r="O447" s="10">
        <f t="shared" ca="1" si="95"/>
        <v>0</v>
      </c>
      <c r="P447" s="29">
        <f t="shared" ca="1" si="96"/>
        <v>0</v>
      </c>
      <c r="Q447" s="12">
        <f t="shared" ca="1" si="97"/>
        <v>-202000</v>
      </c>
      <c r="R447" s="10">
        <f t="shared" ca="1" si="98"/>
        <v>0</v>
      </c>
      <c r="S447" s="10">
        <f t="shared" ca="1" si="88"/>
        <v>-0.70606175446194941</v>
      </c>
      <c r="T447" s="14">
        <f t="shared" ca="1" si="89"/>
        <v>-0.20680604237297492</v>
      </c>
      <c r="U447" s="12">
        <f t="shared" ca="1" si="99"/>
        <v>7900</v>
      </c>
      <c r="V447" s="14">
        <f t="shared" ca="1" si="100"/>
        <v>-2656.9620253164558</v>
      </c>
      <c r="W447" s="12">
        <f t="shared" ca="1" si="90"/>
        <v>0</v>
      </c>
      <c r="X447" s="7">
        <f ca="1">AVERAGE(E447:OFFSET(F447,-$X$5+1,0))</f>
        <v>8653</v>
      </c>
      <c r="Y447" s="7">
        <f ca="1">AVERAGE(E447:OFFSET(F447,-$Y$5+1,0))</f>
        <v>8619.6</v>
      </c>
      <c r="Z447" s="7">
        <f t="shared" ca="1" si="92"/>
        <v>0</v>
      </c>
    </row>
    <row r="448" spans="1:26">
      <c r="A448" s="3" t="s">
        <v>45</v>
      </c>
      <c r="B448" s="4">
        <v>42305</v>
      </c>
      <c r="C448" s="3">
        <v>8685</v>
      </c>
      <c r="D448" s="3">
        <v>8710</v>
      </c>
      <c r="E448" s="3">
        <v>8613</v>
      </c>
      <c r="F448" s="3">
        <v>8638</v>
      </c>
      <c r="G448" s="3">
        <v>115433</v>
      </c>
      <c r="H448" s="3">
        <v>1.2749999999999999</v>
      </c>
      <c r="I448" s="2">
        <f t="shared" si="85"/>
        <v>0</v>
      </c>
      <c r="J448" s="10">
        <f t="shared" si="87"/>
        <v>-6</v>
      </c>
      <c r="K448" s="10">
        <f t="shared" si="86"/>
        <v>-47</v>
      </c>
      <c r="L448" s="10">
        <f t="shared" ca="1" si="91"/>
        <v>0</v>
      </c>
      <c r="M448" s="10">
        <f t="shared" ca="1" si="93"/>
        <v>0</v>
      </c>
      <c r="N448" s="30">
        <f t="shared" ca="1" si="94"/>
        <v>0</v>
      </c>
      <c r="O448" s="10">
        <f t="shared" ca="1" si="95"/>
        <v>0</v>
      </c>
      <c r="P448" s="29">
        <f t="shared" ca="1" si="96"/>
        <v>0</v>
      </c>
      <c r="Q448" s="12">
        <f t="shared" ca="1" si="97"/>
        <v>-202000</v>
      </c>
      <c r="R448" s="10">
        <f t="shared" ca="1" si="98"/>
        <v>0</v>
      </c>
      <c r="S448" s="10">
        <f t="shared" ca="1" si="88"/>
        <v>-0.71508490787360368</v>
      </c>
      <c r="T448" s="14">
        <f t="shared" ca="1" si="89"/>
        <v>-0.20768408974830666</v>
      </c>
      <c r="U448" s="12">
        <f t="shared" ca="1" si="99"/>
        <v>7900</v>
      </c>
      <c r="V448" s="14">
        <f t="shared" ca="1" si="100"/>
        <v>-2656.9620253164558</v>
      </c>
      <c r="W448" s="12">
        <f t="shared" ca="1" si="90"/>
        <v>0</v>
      </c>
      <c r="X448" s="7">
        <f ca="1">AVERAGE(E448:OFFSET(F448,-$X$5+1,0))</f>
        <v>8657.1</v>
      </c>
      <c r="Y448" s="7">
        <f ca="1">AVERAGE(E448:OFFSET(F448,-$Y$5+1,0))</f>
        <v>8631.6</v>
      </c>
      <c r="Z448" s="7">
        <f t="shared" ca="1" si="92"/>
        <v>0</v>
      </c>
    </row>
    <row r="449" spans="1:26">
      <c r="A449" s="3" t="s">
        <v>45</v>
      </c>
      <c r="B449" s="4">
        <v>42306</v>
      </c>
      <c r="C449" s="3">
        <v>8681</v>
      </c>
      <c r="D449" s="3">
        <v>8685</v>
      </c>
      <c r="E449" s="3">
        <v>8545</v>
      </c>
      <c r="F449" s="3">
        <v>8550</v>
      </c>
      <c r="G449" s="3">
        <v>142670</v>
      </c>
      <c r="H449" s="3">
        <v>1.2749999999999999</v>
      </c>
      <c r="I449" s="2">
        <f t="shared" si="85"/>
        <v>0</v>
      </c>
      <c r="J449" s="10">
        <f t="shared" si="87"/>
        <v>43</v>
      </c>
      <c r="K449" s="10">
        <f t="shared" si="86"/>
        <v>-131</v>
      </c>
      <c r="L449" s="10">
        <f t="shared" ca="1" si="91"/>
        <v>0</v>
      </c>
      <c r="M449" s="10">
        <f t="shared" ca="1" si="93"/>
        <v>0</v>
      </c>
      <c r="N449" s="30">
        <f t="shared" ca="1" si="94"/>
        <v>0</v>
      </c>
      <c r="O449" s="10">
        <f t="shared" ca="1" si="95"/>
        <v>0</v>
      </c>
      <c r="P449" s="29">
        <f t="shared" ca="1" si="96"/>
        <v>0</v>
      </c>
      <c r="Q449" s="12">
        <f t="shared" ca="1" si="97"/>
        <v>-202000</v>
      </c>
      <c r="R449" s="10">
        <f t="shared" ca="1" si="98"/>
        <v>0</v>
      </c>
      <c r="S449" s="10">
        <f t="shared" ca="1" si="88"/>
        <v>-0.70786638514428024</v>
      </c>
      <c r="T449" s="14">
        <f t="shared" ca="1" si="89"/>
        <v>-0.20692799084187144</v>
      </c>
      <c r="U449" s="12">
        <f t="shared" ca="1" si="99"/>
        <v>7900</v>
      </c>
      <c r="V449" s="14">
        <f t="shared" ca="1" si="100"/>
        <v>-2656.9620253164558</v>
      </c>
      <c r="W449" s="12">
        <f t="shared" ca="1" si="90"/>
        <v>0</v>
      </c>
      <c r="X449" s="7">
        <f ca="1">AVERAGE(E449:OFFSET(F449,-$X$5+1,0))</f>
        <v>8650.5</v>
      </c>
      <c r="Y449" s="7">
        <f ca="1">AVERAGE(E449:OFFSET(F449,-$Y$5+1,0))</f>
        <v>8627.7000000000007</v>
      </c>
      <c r="Z449" s="7">
        <f t="shared" ca="1" si="92"/>
        <v>0</v>
      </c>
    </row>
    <row r="450" spans="1:26">
      <c r="A450" s="3" t="s">
        <v>45</v>
      </c>
      <c r="B450" s="4">
        <v>42307</v>
      </c>
      <c r="C450" s="3">
        <v>8560</v>
      </c>
      <c r="D450" s="3">
        <v>8600</v>
      </c>
      <c r="E450" s="3">
        <v>8484</v>
      </c>
      <c r="F450" s="3">
        <v>8568</v>
      </c>
      <c r="G450" s="3">
        <v>155466</v>
      </c>
      <c r="H450" s="3">
        <v>1.2749999999999999</v>
      </c>
      <c r="I450" s="2">
        <f t="shared" si="85"/>
        <v>0</v>
      </c>
      <c r="J450" s="10">
        <f t="shared" si="87"/>
        <v>10</v>
      </c>
      <c r="K450" s="10">
        <f t="shared" si="86"/>
        <v>8</v>
      </c>
      <c r="L450" s="10">
        <f t="shared" ca="1" si="91"/>
        <v>-1</v>
      </c>
      <c r="M450" s="10">
        <f t="shared" ca="1" si="93"/>
        <v>0</v>
      </c>
      <c r="N450" s="30">
        <f t="shared" ca="1" si="94"/>
        <v>0</v>
      </c>
      <c r="O450" s="10">
        <f t="shared" ca="1" si="95"/>
        <v>0</v>
      </c>
      <c r="P450" s="29">
        <f t="shared" ca="1" si="96"/>
        <v>0</v>
      </c>
      <c r="Q450" s="12">
        <f t="shared" ca="1" si="97"/>
        <v>-202000</v>
      </c>
      <c r="R450" s="10">
        <f t="shared" ca="1" si="98"/>
        <v>0</v>
      </c>
      <c r="S450" s="10">
        <f t="shared" ca="1" si="88"/>
        <v>-0.6338765271687149</v>
      </c>
      <c r="T450" s="14">
        <f t="shared" ca="1" si="89"/>
        <v>-0.19945373499928296</v>
      </c>
      <c r="U450" s="12">
        <f t="shared" ca="1" si="99"/>
        <v>7900</v>
      </c>
      <c r="V450" s="14">
        <f t="shared" ca="1" si="100"/>
        <v>-2656.9620253164558</v>
      </c>
      <c r="W450" s="12">
        <f t="shared" ca="1" si="90"/>
        <v>0</v>
      </c>
      <c r="X450" s="7">
        <f ca="1">AVERAGE(E450:OFFSET(F450,-$X$5+1,0))</f>
        <v>8619.6</v>
      </c>
      <c r="Y450" s="7">
        <f ca="1">AVERAGE(E450:OFFSET(F450,-$Y$5+1,0))</f>
        <v>8621.4</v>
      </c>
      <c r="Z450" s="7">
        <f t="shared" ca="1" si="92"/>
        <v>-1</v>
      </c>
    </row>
    <row r="451" spans="1:26">
      <c r="A451" s="3" t="s">
        <v>45</v>
      </c>
      <c r="B451" s="4">
        <v>42310</v>
      </c>
      <c r="C451" s="3">
        <v>8535</v>
      </c>
      <c r="D451" s="3">
        <v>8598</v>
      </c>
      <c r="E451" s="3">
        <v>8502</v>
      </c>
      <c r="F451" s="3">
        <v>8583</v>
      </c>
      <c r="G451" s="3">
        <v>114793</v>
      </c>
      <c r="H451" s="3">
        <v>1.2749999999999999</v>
      </c>
      <c r="I451" s="2">
        <f t="shared" si="85"/>
        <v>0</v>
      </c>
      <c r="J451" s="10">
        <f t="shared" si="87"/>
        <v>-33</v>
      </c>
      <c r="K451" s="10">
        <f t="shared" si="86"/>
        <v>48</v>
      </c>
      <c r="L451" s="10">
        <f t="shared" ca="1" si="91"/>
        <v>0</v>
      </c>
      <c r="M451" s="10">
        <f t="shared" ca="1" si="93"/>
        <v>-1</v>
      </c>
      <c r="N451" s="30">
        <f t="shared" ca="1" si="94"/>
        <v>0</v>
      </c>
      <c r="O451" s="10">
        <f t="shared" ca="1" si="95"/>
        <v>1707000</v>
      </c>
      <c r="P451" s="29">
        <f t="shared" ca="1" si="96"/>
        <v>-10100</v>
      </c>
      <c r="Q451" s="12">
        <f t="shared" ca="1" si="97"/>
        <v>-212100</v>
      </c>
      <c r="R451" s="10">
        <f t="shared" ca="1" si="98"/>
        <v>-0.59168131224370235</v>
      </c>
      <c r="S451" s="10">
        <f t="shared" ca="1" si="88"/>
        <v>-0.71282911952069006</v>
      </c>
      <c r="T451" s="14">
        <f t="shared" ca="1" si="89"/>
        <v>-0.20706939140846878</v>
      </c>
      <c r="U451" s="12">
        <f t="shared" ca="1" si="99"/>
        <v>7900</v>
      </c>
      <c r="V451" s="14">
        <f t="shared" ca="1" si="100"/>
        <v>-2784.8101265822784</v>
      </c>
      <c r="W451" s="12">
        <f t="shared" ca="1" si="90"/>
        <v>0</v>
      </c>
      <c r="X451" s="7">
        <f ca="1">AVERAGE(E451:OFFSET(F451,-$X$5+1,0))</f>
        <v>8582.9</v>
      </c>
      <c r="Y451" s="7">
        <f ca="1">AVERAGE(E451:OFFSET(F451,-$Y$5+1,0))</f>
        <v>8615.0499999999993</v>
      </c>
      <c r="Z451" s="7">
        <f t="shared" ca="1" si="92"/>
        <v>0</v>
      </c>
    </row>
    <row r="452" spans="1:26">
      <c r="A452" s="3" t="s">
        <v>45</v>
      </c>
      <c r="B452" s="4">
        <v>42311</v>
      </c>
      <c r="C452" s="3">
        <v>8665</v>
      </c>
      <c r="D452" s="3">
        <v>8740</v>
      </c>
      <c r="E452" s="3">
        <v>8645</v>
      </c>
      <c r="F452" s="3">
        <v>8721</v>
      </c>
      <c r="G452" s="3">
        <v>123033</v>
      </c>
      <c r="H452" s="3">
        <v>1.2749999999999999</v>
      </c>
      <c r="I452" s="2">
        <f t="shared" ref="I452:I515" si="101">IF(A452=A453,0,1)</f>
        <v>0</v>
      </c>
      <c r="J452" s="10">
        <f t="shared" si="87"/>
        <v>82</v>
      </c>
      <c r="K452" s="10">
        <f t="shared" ref="K452:K515" si="102">F452-C452</f>
        <v>56</v>
      </c>
      <c r="L452" s="10">
        <f t="shared" ca="1" si="91"/>
        <v>0</v>
      </c>
      <c r="M452" s="10">
        <f t="shared" ca="1" si="93"/>
        <v>-1</v>
      </c>
      <c r="N452" s="30">
        <f t="shared" ca="1" si="94"/>
        <v>0</v>
      </c>
      <c r="O452" s="10">
        <f t="shared" ca="1" si="95"/>
        <v>1707000</v>
      </c>
      <c r="P452" s="29">
        <f t="shared" ca="1" si="96"/>
        <v>-27600</v>
      </c>
      <c r="Q452" s="12">
        <f t="shared" ca="1" si="97"/>
        <v>-239700</v>
      </c>
      <c r="R452" s="10">
        <f t="shared" ca="1" si="98"/>
        <v>-1.6168717047451671</v>
      </c>
      <c r="S452" s="10">
        <f t="shared" ca="1" si="88"/>
        <v>-0.9591612076588526</v>
      </c>
      <c r="T452" s="14">
        <f t="shared" ca="1" si="89"/>
        <v>-0.22920555939937534</v>
      </c>
      <c r="U452" s="12">
        <f t="shared" ca="1" si="99"/>
        <v>7900</v>
      </c>
      <c r="V452" s="14">
        <f t="shared" ca="1" si="100"/>
        <v>-3134.1772151898736</v>
      </c>
      <c r="W452" s="12">
        <f t="shared" ca="1" si="90"/>
        <v>0</v>
      </c>
      <c r="X452" s="7">
        <f ca="1">AVERAGE(E452:OFFSET(F452,-$X$5+1,0))</f>
        <v>8584.9</v>
      </c>
      <c r="Y452" s="7">
        <f ca="1">AVERAGE(E452:OFFSET(F452,-$Y$5+1,0))</f>
        <v>8618.9500000000007</v>
      </c>
      <c r="Z452" s="7">
        <f t="shared" ca="1" si="92"/>
        <v>0</v>
      </c>
    </row>
    <row r="453" spans="1:26">
      <c r="A453" s="3" t="s">
        <v>45</v>
      </c>
      <c r="B453" s="4">
        <v>42312</v>
      </c>
      <c r="C453" s="3">
        <v>8765</v>
      </c>
      <c r="D453" s="3">
        <v>8900</v>
      </c>
      <c r="E453" s="3">
        <v>8751</v>
      </c>
      <c r="F453" s="3">
        <v>8882</v>
      </c>
      <c r="G453" s="3">
        <v>160402</v>
      </c>
      <c r="H453" s="3">
        <v>1.2749999999999999</v>
      </c>
      <c r="I453" s="2">
        <f t="shared" si="101"/>
        <v>0</v>
      </c>
      <c r="J453" s="10">
        <f t="shared" ref="J453:J516" si="103">C453-F452</f>
        <v>44</v>
      </c>
      <c r="K453" s="10">
        <f t="shared" si="102"/>
        <v>117</v>
      </c>
      <c r="L453" s="10">
        <f t="shared" ca="1" si="91"/>
        <v>0</v>
      </c>
      <c r="M453" s="10">
        <f t="shared" ca="1" si="93"/>
        <v>-1</v>
      </c>
      <c r="N453" s="30">
        <f t="shared" ca="1" si="94"/>
        <v>0</v>
      </c>
      <c r="O453" s="10">
        <f t="shared" ca="1" si="95"/>
        <v>1707000</v>
      </c>
      <c r="P453" s="29">
        <f t="shared" ca="1" si="96"/>
        <v>-32200</v>
      </c>
      <c r="Q453" s="12">
        <f t="shared" ca="1" si="97"/>
        <v>-271900</v>
      </c>
      <c r="R453" s="10">
        <f t="shared" ca="1" si="98"/>
        <v>-1.8863503222026947</v>
      </c>
      <c r="S453" s="10">
        <f t="shared" ca="1" si="88"/>
        <v>-1.0945085088336672</v>
      </c>
      <c r="T453" s="14">
        <f t="shared" ca="1" si="89"/>
        <v>-0.23904975122537689</v>
      </c>
      <c r="U453" s="12">
        <f t="shared" ca="1" si="99"/>
        <v>7900</v>
      </c>
      <c r="V453" s="14">
        <f t="shared" ca="1" si="100"/>
        <v>-3541.7721518987341</v>
      </c>
      <c r="W453" s="12">
        <f t="shared" ca="1" si="90"/>
        <v>0</v>
      </c>
      <c r="X453" s="7">
        <f ca="1">AVERAGE(E453:OFFSET(F453,-$X$5+1,0))</f>
        <v>8623.1</v>
      </c>
      <c r="Y453" s="7">
        <f ca="1">AVERAGE(E453:OFFSET(F453,-$Y$5+1,0))</f>
        <v>8640.1</v>
      </c>
      <c r="Z453" s="7">
        <f t="shared" ca="1" si="92"/>
        <v>0</v>
      </c>
    </row>
    <row r="454" spans="1:26">
      <c r="A454" s="3" t="s">
        <v>45</v>
      </c>
      <c r="B454" s="4">
        <v>42313</v>
      </c>
      <c r="C454" s="3">
        <v>8879</v>
      </c>
      <c r="D454" s="3">
        <v>8899</v>
      </c>
      <c r="E454" s="3">
        <v>8832</v>
      </c>
      <c r="F454" s="3">
        <v>8870</v>
      </c>
      <c r="G454" s="3">
        <v>96100</v>
      </c>
      <c r="H454" s="3">
        <v>1.2749999999999999</v>
      </c>
      <c r="I454" s="2">
        <f t="shared" si="101"/>
        <v>0</v>
      </c>
      <c r="J454" s="10">
        <f t="shared" si="103"/>
        <v>-3</v>
      </c>
      <c r="K454" s="10">
        <f t="shared" si="102"/>
        <v>-9</v>
      </c>
      <c r="L454" s="10">
        <f t="shared" ca="1" si="91"/>
        <v>1</v>
      </c>
      <c r="M454" s="10">
        <f t="shared" ca="1" si="93"/>
        <v>-1</v>
      </c>
      <c r="N454" s="30">
        <f t="shared" ca="1" si="94"/>
        <v>0</v>
      </c>
      <c r="O454" s="10">
        <f t="shared" ca="1" si="95"/>
        <v>1707000</v>
      </c>
      <c r="P454" s="29">
        <f t="shared" ca="1" si="96"/>
        <v>2400</v>
      </c>
      <c r="Q454" s="12">
        <f t="shared" ca="1" si="97"/>
        <v>-269500</v>
      </c>
      <c r="R454" s="10">
        <f t="shared" ca="1" si="98"/>
        <v>0.14059753954305801</v>
      </c>
      <c r="S454" s="10">
        <f t="shared" ca="1" si="88"/>
        <v>-0.94111490083554405</v>
      </c>
      <c r="T454" s="14">
        <f t="shared" ca="1" si="89"/>
        <v>-0.22397585875637901</v>
      </c>
      <c r="U454" s="12">
        <f t="shared" ca="1" si="99"/>
        <v>7900</v>
      </c>
      <c r="V454" s="14">
        <f t="shared" ca="1" si="100"/>
        <v>-3511.3924050632913</v>
      </c>
      <c r="W454" s="12">
        <f t="shared" ca="1" si="90"/>
        <v>0</v>
      </c>
      <c r="X454" s="7">
        <f ca="1">AVERAGE(E454:OFFSET(F454,-$X$5+1,0))</f>
        <v>8683.7999999999993</v>
      </c>
      <c r="Y454" s="7">
        <f ca="1">AVERAGE(E454:OFFSET(F454,-$Y$5+1,0))</f>
        <v>8667.15</v>
      </c>
      <c r="Z454" s="7">
        <f t="shared" ca="1" si="92"/>
        <v>1</v>
      </c>
    </row>
    <row r="455" spans="1:26">
      <c r="A455" s="3" t="s">
        <v>45</v>
      </c>
      <c r="B455" s="4">
        <v>42314</v>
      </c>
      <c r="C455" s="3">
        <v>8850</v>
      </c>
      <c r="D455" s="3">
        <v>8858</v>
      </c>
      <c r="E455" s="3">
        <v>8650</v>
      </c>
      <c r="F455" s="3">
        <v>8689</v>
      </c>
      <c r="G455" s="3">
        <v>185282</v>
      </c>
      <c r="H455" s="3">
        <v>1.2749999999999999</v>
      </c>
      <c r="I455" s="2">
        <f t="shared" si="101"/>
        <v>0</v>
      </c>
      <c r="J455" s="10">
        <f t="shared" si="103"/>
        <v>-20</v>
      </c>
      <c r="K455" s="10">
        <f t="shared" si="102"/>
        <v>-161</v>
      </c>
      <c r="L455" s="10">
        <f t="shared" ca="1" si="91"/>
        <v>0</v>
      </c>
      <c r="M455" s="10">
        <f t="shared" ca="1" si="93"/>
        <v>0</v>
      </c>
      <c r="N455" s="30">
        <f t="shared" ca="1" si="94"/>
        <v>0</v>
      </c>
      <c r="O455" s="10">
        <f t="shared" ca="1" si="95"/>
        <v>0</v>
      </c>
      <c r="P455" s="29">
        <f t="shared" ca="1" si="96"/>
        <v>3500</v>
      </c>
      <c r="Q455" s="12">
        <f t="shared" ca="1" si="97"/>
        <v>-266000</v>
      </c>
      <c r="R455" s="10">
        <f t="shared" ca="1" si="98"/>
        <v>0.2050380785002929</v>
      </c>
      <c r="S455" s="10">
        <f t="shared" ca="1" si="88"/>
        <v>-0.97404941078808227</v>
      </c>
      <c r="T455" s="14">
        <f t="shared" ca="1" si="89"/>
        <v>-0.22711387483014722</v>
      </c>
      <c r="U455" s="12">
        <f t="shared" ca="1" si="99"/>
        <v>7900</v>
      </c>
      <c r="V455" s="14">
        <f t="shared" ca="1" si="100"/>
        <v>-3467.0886075949365</v>
      </c>
      <c r="W455" s="12">
        <f t="shared" ca="1" si="90"/>
        <v>0</v>
      </c>
      <c r="X455" s="7">
        <f ca="1">AVERAGE(E455:OFFSET(F455,-$X$5+1,0))</f>
        <v>8712.5</v>
      </c>
      <c r="Y455" s="7">
        <f ca="1">AVERAGE(E455:OFFSET(F455,-$Y$5+1,0))</f>
        <v>8666.0499999999993</v>
      </c>
      <c r="Z455" s="7">
        <f t="shared" ca="1" si="92"/>
        <v>0</v>
      </c>
    </row>
    <row r="456" spans="1:26">
      <c r="A456" s="3" t="s">
        <v>45</v>
      </c>
      <c r="B456" s="4">
        <v>42317</v>
      </c>
      <c r="C456" s="3">
        <v>8677</v>
      </c>
      <c r="D456" s="3">
        <v>8748</v>
      </c>
      <c r="E456" s="3">
        <v>8597</v>
      </c>
      <c r="F456" s="3">
        <v>8631</v>
      </c>
      <c r="G456" s="3">
        <v>165493</v>
      </c>
      <c r="H456" s="3">
        <v>1.2749999999999999</v>
      </c>
      <c r="I456" s="2">
        <f t="shared" si="101"/>
        <v>0</v>
      </c>
      <c r="J456" s="10">
        <f t="shared" si="103"/>
        <v>-12</v>
      </c>
      <c r="K456" s="10">
        <f t="shared" si="102"/>
        <v>-46</v>
      </c>
      <c r="L456" s="10">
        <f t="shared" ca="1" si="91"/>
        <v>0</v>
      </c>
      <c r="M456" s="10">
        <f t="shared" ca="1" si="93"/>
        <v>0</v>
      </c>
      <c r="N456" s="30">
        <f t="shared" ca="1" si="94"/>
        <v>0</v>
      </c>
      <c r="O456" s="10">
        <f t="shared" ca="1" si="95"/>
        <v>0</v>
      </c>
      <c r="P456" s="29">
        <f t="shared" ca="1" si="96"/>
        <v>0</v>
      </c>
      <c r="Q456" s="12">
        <f t="shared" ca="1" si="97"/>
        <v>-266000</v>
      </c>
      <c r="R456" s="10">
        <f t="shared" ca="1" si="98"/>
        <v>0</v>
      </c>
      <c r="S456" s="10">
        <f t="shared" ca="1" si="88"/>
        <v>-0.97675635681157846</v>
      </c>
      <c r="T456" s="14">
        <f t="shared" ca="1" si="89"/>
        <v>-0.22734975606466898</v>
      </c>
      <c r="U456" s="12">
        <f t="shared" ca="1" si="99"/>
        <v>7900</v>
      </c>
      <c r="V456" s="14">
        <f t="shared" ca="1" si="100"/>
        <v>-3467.0886075949365</v>
      </c>
      <c r="W456" s="12">
        <f t="shared" ca="1" si="90"/>
        <v>0</v>
      </c>
      <c r="X456" s="7">
        <f ca="1">AVERAGE(E456:OFFSET(F456,-$X$5+1,0))</f>
        <v>8726.7999999999993</v>
      </c>
      <c r="Y456" s="7">
        <f ca="1">AVERAGE(E456:OFFSET(F456,-$Y$5+1,0))</f>
        <v>8654.85</v>
      </c>
      <c r="Z456" s="7">
        <f t="shared" ca="1" si="92"/>
        <v>0</v>
      </c>
    </row>
    <row r="457" spans="1:26">
      <c r="A457" s="3" t="s">
        <v>45</v>
      </c>
      <c r="B457" s="4">
        <v>42318</v>
      </c>
      <c r="C457" s="3">
        <v>8581</v>
      </c>
      <c r="D457" s="3">
        <v>8592</v>
      </c>
      <c r="E457" s="3">
        <v>8512</v>
      </c>
      <c r="F457" s="3">
        <v>8532</v>
      </c>
      <c r="G457" s="3">
        <v>131070</v>
      </c>
      <c r="H457" s="3">
        <v>1.2749999999999999</v>
      </c>
      <c r="I457" s="2">
        <f t="shared" si="101"/>
        <v>0</v>
      </c>
      <c r="J457" s="10">
        <f t="shared" si="103"/>
        <v>-50</v>
      </c>
      <c r="K457" s="10">
        <f t="shared" si="102"/>
        <v>-49</v>
      </c>
      <c r="L457" s="10">
        <f t="shared" ca="1" si="91"/>
        <v>0</v>
      </c>
      <c r="M457" s="10">
        <f t="shared" ca="1" si="93"/>
        <v>0</v>
      </c>
      <c r="N457" s="30">
        <f t="shared" ca="1" si="94"/>
        <v>0</v>
      </c>
      <c r="O457" s="10">
        <f t="shared" ca="1" si="95"/>
        <v>0</v>
      </c>
      <c r="P457" s="29">
        <f t="shared" ca="1" si="96"/>
        <v>0</v>
      </c>
      <c r="Q457" s="12">
        <f t="shared" ca="1" si="97"/>
        <v>-266000</v>
      </c>
      <c r="R457" s="10">
        <f t="shared" ca="1" si="98"/>
        <v>0</v>
      </c>
      <c r="S457" s="10">
        <f t="shared" ca="1" si="88"/>
        <v>-0.92081280565932178</v>
      </c>
      <c r="T457" s="14">
        <f t="shared" ca="1" si="89"/>
        <v>-0.22184670661878902</v>
      </c>
      <c r="U457" s="12">
        <f t="shared" ca="1" si="99"/>
        <v>7900</v>
      </c>
      <c r="V457" s="14">
        <f t="shared" ca="1" si="100"/>
        <v>-3467.0886075949365</v>
      </c>
      <c r="W457" s="12">
        <f t="shared" ca="1" si="90"/>
        <v>0</v>
      </c>
      <c r="X457" s="7">
        <f ca="1">AVERAGE(E457:OFFSET(F457,-$X$5+1,0))</f>
        <v>8694.6</v>
      </c>
      <c r="Y457" s="7">
        <f ca="1">AVERAGE(E457:OFFSET(F457,-$Y$5+1,0))</f>
        <v>8639.75</v>
      </c>
      <c r="Z457" s="7">
        <f t="shared" ca="1" si="92"/>
        <v>0</v>
      </c>
    </row>
    <row r="458" spans="1:26">
      <c r="A458" s="3" t="s">
        <v>45</v>
      </c>
      <c r="B458" s="4">
        <v>42319</v>
      </c>
      <c r="C458" s="3">
        <v>8507</v>
      </c>
      <c r="D458" s="3">
        <v>8549</v>
      </c>
      <c r="E458" s="3">
        <v>8372</v>
      </c>
      <c r="F458" s="3">
        <v>8380</v>
      </c>
      <c r="G458" s="3">
        <v>179202</v>
      </c>
      <c r="H458" s="3">
        <v>1.2749999999999999</v>
      </c>
      <c r="I458" s="2">
        <f t="shared" si="101"/>
        <v>0</v>
      </c>
      <c r="J458" s="10">
        <f t="shared" si="103"/>
        <v>-25</v>
      </c>
      <c r="K458" s="10">
        <f t="shared" si="102"/>
        <v>-127</v>
      </c>
      <c r="L458" s="10">
        <f t="shared" ca="1" si="91"/>
        <v>-1</v>
      </c>
      <c r="M458" s="10">
        <f t="shared" ca="1" si="93"/>
        <v>0</v>
      </c>
      <c r="N458" s="30">
        <f t="shared" ca="1" si="94"/>
        <v>0</v>
      </c>
      <c r="O458" s="10">
        <f t="shared" ca="1" si="95"/>
        <v>0</v>
      </c>
      <c r="P458" s="29">
        <f t="shared" ca="1" si="96"/>
        <v>0</v>
      </c>
      <c r="Q458" s="12">
        <f t="shared" ca="1" si="97"/>
        <v>-266000</v>
      </c>
      <c r="R458" s="10">
        <f t="shared" ca="1" si="98"/>
        <v>0</v>
      </c>
      <c r="S458" s="10">
        <f t="shared" ca="1" si="88"/>
        <v>-0.96457509970584521</v>
      </c>
      <c r="T458" s="14">
        <f t="shared" ca="1" si="89"/>
        <v>-0.22609983932959188</v>
      </c>
      <c r="U458" s="12">
        <f t="shared" ca="1" si="99"/>
        <v>7900</v>
      </c>
      <c r="V458" s="14">
        <f t="shared" ca="1" si="100"/>
        <v>-3467.0886075949365</v>
      </c>
      <c r="W458" s="12">
        <f t="shared" ca="1" si="90"/>
        <v>0</v>
      </c>
      <c r="X458" s="7">
        <f ca="1">AVERAGE(E458:OFFSET(F458,-$X$5+1,0))</f>
        <v>8606.5</v>
      </c>
      <c r="Y458" s="7">
        <f ca="1">AVERAGE(E458:OFFSET(F458,-$Y$5+1,0))</f>
        <v>8614.7999999999993</v>
      </c>
      <c r="Z458" s="7">
        <f t="shared" ca="1" si="92"/>
        <v>-1</v>
      </c>
    </row>
    <row r="459" spans="1:26">
      <c r="A459" s="3" t="s">
        <v>45</v>
      </c>
      <c r="B459" s="4">
        <v>42320</v>
      </c>
      <c r="C459" s="3">
        <v>8404</v>
      </c>
      <c r="D459" s="3">
        <v>8461</v>
      </c>
      <c r="E459" s="3">
        <v>8354</v>
      </c>
      <c r="F459" s="3">
        <v>8461</v>
      </c>
      <c r="G459" s="3">
        <v>148495</v>
      </c>
      <c r="H459" s="3">
        <v>1.2749999999999999</v>
      </c>
      <c r="I459" s="2">
        <f t="shared" si="101"/>
        <v>0</v>
      </c>
      <c r="J459" s="10">
        <f t="shared" si="103"/>
        <v>24</v>
      </c>
      <c r="K459" s="10">
        <f t="shared" si="102"/>
        <v>57</v>
      </c>
      <c r="L459" s="10">
        <f t="shared" ca="1" si="91"/>
        <v>0</v>
      </c>
      <c r="M459" s="10">
        <f t="shared" ca="1" si="93"/>
        <v>-1</v>
      </c>
      <c r="N459" s="30">
        <f t="shared" ca="1" si="94"/>
        <v>0</v>
      </c>
      <c r="O459" s="10">
        <f t="shared" ca="1" si="95"/>
        <v>1680800</v>
      </c>
      <c r="P459" s="29">
        <f t="shared" ca="1" si="96"/>
        <v>-11900</v>
      </c>
      <c r="Q459" s="12">
        <f t="shared" ca="1" si="97"/>
        <v>-277900</v>
      </c>
      <c r="R459" s="10">
        <f t="shared" ca="1" si="98"/>
        <v>-0.70799619228938604</v>
      </c>
      <c r="S459" s="10">
        <f t="shared" ca="1" si="88"/>
        <v>-1.0182628625051884</v>
      </c>
      <c r="T459" s="14">
        <f t="shared" ca="1" si="89"/>
        <v>-0.23088637842092852</v>
      </c>
      <c r="U459" s="12">
        <f t="shared" ca="1" si="99"/>
        <v>7900</v>
      </c>
      <c r="V459" s="14">
        <f t="shared" ca="1" si="100"/>
        <v>-3617.7215189873418</v>
      </c>
      <c r="W459" s="12">
        <f t="shared" ca="1" si="90"/>
        <v>0</v>
      </c>
      <c r="X459" s="7">
        <f ca="1">AVERAGE(E459:OFFSET(F459,-$X$5+1,0))</f>
        <v>8517.7999999999993</v>
      </c>
      <c r="Y459" s="7">
        <f ca="1">AVERAGE(E459:OFFSET(F459,-$Y$5+1,0))</f>
        <v>8600.7999999999993</v>
      </c>
      <c r="Z459" s="7">
        <f t="shared" ca="1" si="92"/>
        <v>0</v>
      </c>
    </row>
    <row r="460" spans="1:26">
      <c r="A460" s="3" t="s">
        <v>45</v>
      </c>
      <c r="B460" s="4">
        <v>42321</v>
      </c>
      <c r="C460" s="3">
        <v>8380</v>
      </c>
      <c r="D460" s="3">
        <v>8472</v>
      </c>
      <c r="E460" s="3">
        <v>8318</v>
      </c>
      <c r="F460" s="3">
        <v>8356</v>
      </c>
      <c r="G460" s="3">
        <v>178126</v>
      </c>
      <c r="H460" s="3">
        <v>1.2749999999999999</v>
      </c>
      <c r="I460" s="2">
        <f t="shared" si="101"/>
        <v>0</v>
      </c>
      <c r="J460" s="10">
        <f t="shared" si="103"/>
        <v>-81</v>
      </c>
      <c r="K460" s="10">
        <f t="shared" si="102"/>
        <v>-24</v>
      </c>
      <c r="L460" s="10">
        <f t="shared" ca="1" si="91"/>
        <v>0</v>
      </c>
      <c r="M460" s="10">
        <f t="shared" ca="1" si="93"/>
        <v>-1</v>
      </c>
      <c r="N460" s="30">
        <f t="shared" ca="1" si="94"/>
        <v>0</v>
      </c>
      <c r="O460" s="10">
        <f t="shared" ca="1" si="95"/>
        <v>1680800</v>
      </c>
      <c r="P460" s="29">
        <f t="shared" ca="1" si="96"/>
        <v>21000</v>
      </c>
      <c r="Q460" s="12">
        <f t="shared" ca="1" si="97"/>
        <v>-256900</v>
      </c>
      <c r="R460" s="10">
        <f t="shared" ca="1" si="98"/>
        <v>1.2494050452165635</v>
      </c>
      <c r="S460" s="10">
        <f t="shared" ca="1" si="88"/>
        <v>-0.92351975168281808</v>
      </c>
      <c r="T460" s="14">
        <f t="shared" ca="1" si="89"/>
        <v>-0.22036866860670248</v>
      </c>
      <c r="U460" s="12">
        <f t="shared" ca="1" si="99"/>
        <v>7900</v>
      </c>
      <c r="V460" s="14">
        <f t="shared" ca="1" si="100"/>
        <v>-3351.8987341772154</v>
      </c>
      <c r="W460" s="12">
        <f t="shared" ca="1" si="90"/>
        <v>0</v>
      </c>
      <c r="X460" s="7">
        <f ca="1">AVERAGE(E460:OFFSET(F460,-$X$5+1,0))</f>
        <v>8451.2999999999993</v>
      </c>
      <c r="Y460" s="7">
        <f ca="1">AVERAGE(E460:OFFSET(F460,-$Y$5+1,0))</f>
        <v>8581.9</v>
      </c>
      <c r="Z460" s="7">
        <f t="shared" ca="1" si="92"/>
        <v>0</v>
      </c>
    </row>
    <row r="461" spans="1:26">
      <c r="A461" s="3" t="s">
        <v>45</v>
      </c>
      <c r="B461" s="4">
        <v>42324</v>
      </c>
      <c r="C461" s="3">
        <v>8245</v>
      </c>
      <c r="D461" s="3">
        <v>8307</v>
      </c>
      <c r="E461" s="3">
        <v>8212</v>
      </c>
      <c r="F461" s="3">
        <v>8290</v>
      </c>
      <c r="G461" s="3">
        <v>139331</v>
      </c>
      <c r="H461" s="3">
        <v>1.2749999999999999</v>
      </c>
      <c r="I461" s="2">
        <f t="shared" si="101"/>
        <v>0</v>
      </c>
      <c r="J461" s="10">
        <f t="shared" si="103"/>
        <v>-111</v>
      </c>
      <c r="K461" s="10">
        <f t="shared" si="102"/>
        <v>45</v>
      </c>
      <c r="L461" s="10">
        <f t="shared" ca="1" si="91"/>
        <v>0</v>
      </c>
      <c r="M461" s="10">
        <f t="shared" ca="1" si="93"/>
        <v>-1</v>
      </c>
      <c r="N461" s="30">
        <f t="shared" ca="1" si="94"/>
        <v>0</v>
      </c>
      <c r="O461" s="10">
        <f t="shared" ca="1" si="95"/>
        <v>1680800</v>
      </c>
      <c r="P461" s="29">
        <f t="shared" ca="1" si="96"/>
        <v>13200</v>
      </c>
      <c r="Q461" s="12">
        <f t="shared" ca="1" si="97"/>
        <v>-243700</v>
      </c>
      <c r="R461" s="10">
        <f t="shared" ca="1" si="98"/>
        <v>0.78534031413612571</v>
      </c>
      <c r="S461" s="10">
        <f t="shared" ca="1" si="88"/>
        <v>-0.86396693916589973</v>
      </c>
      <c r="T461" s="14">
        <f t="shared" ca="1" si="89"/>
        <v>-0.21424214311517842</v>
      </c>
      <c r="U461" s="12">
        <f t="shared" ca="1" si="99"/>
        <v>7900</v>
      </c>
      <c r="V461" s="14">
        <f t="shared" ca="1" si="100"/>
        <v>-3184.8101265822784</v>
      </c>
      <c r="W461" s="12">
        <f t="shared" ca="1" si="90"/>
        <v>0</v>
      </c>
      <c r="X461" s="7">
        <f ca="1">AVERAGE(E461:OFFSET(F461,-$X$5+1,0))</f>
        <v>8378.7000000000007</v>
      </c>
      <c r="Y461" s="7">
        <f ca="1">AVERAGE(E461:OFFSET(F461,-$Y$5+1,0))</f>
        <v>8552.75</v>
      </c>
      <c r="Z461" s="7">
        <f t="shared" ca="1" si="92"/>
        <v>0</v>
      </c>
    </row>
    <row r="462" spans="1:26">
      <c r="A462" s="3" t="s">
        <v>45</v>
      </c>
      <c r="B462" s="4">
        <v>42325</v>
      </c>
      <c r="C462" s="3">
        <v>8370</v>
      </c>
      <c r="D462" s="3">
        <v>8490</v>
      </c>
      <c r="E462" s="3">
        <v>8369</v>
      </c>
      <c r="F462" s="3">
        <v>8440</v>
      </c>
      <c r="G462" s="3">
        <v>152201</v>
      </c>
      <c r="H462" s="3">
        <v>1.2749999999999999</v>
      </c>
      <c r="I462" s="2">
        <f t="shared" si="101"/>
        <v>0</v>
      </c>
      <c r="J462" s="10">
        <f t="shared" si="103"/>
        <v>80</v>
      </c>
      <c r="K462" s="10">
        <f t="shared" si="102"/>
        <v>70</v>
      </c>
      <c r="L462" s="10">
        <f t="shared" ca="1" si="91"/>
        <v>0</v>
      </c>
      <c r="M462" s="10">
        <f t="shared" ca="1" si="93"/>
        <v>-1</v>
      </c>
      <c r="N462" s="30">
        <f t="shared" ca="1" si="94"/>
        <v>0</v>
      </c>
      <c r="O462" s="10">
        <f t="shared" ca="1" si="95"/>
        <v>1680800</v>
      </c>
      <c r="P462" s="29">
        <f t="shared" ca="1" si="96"/>
        <v>-30000</v>
      </c>
      <c r="Q462" s="12">
        <f t="shared" ca="1" si="97"/>
        <v>-273700</v>
      </c>
      <c r="R462" s="10">
        <f t="shared" ca="1" si="98"/>
        <v>-1.7848643503093764</v>
      </c>
      <c r="S462" s="10">
        <f t="shared" ca="1" si="88"/>
        <v>-0.99931424034071425</v>
      </c>
      <c r="T462" s="14">
        <f t="shared" ca="1" si="89"/>
        <v>-0.23297837945505512</v>
      </c>
      <c r="U462" s="12">
        <f t="shared" ca="1" si="99"/>
        <v>7900</v>
      </c>
      <c r="V462" s="14">
        <f t="shared" ca="1" si="100"/>
        <v>-3564.5569620253164</v>
      </c>
      <c r="W462" s="12">
        <f t="shared" ca="1" si="90"/>
        <v>0</v>
      </c>
      <c r="X462" s="7">
        <f ca="1">AVERAGE(E462:OFFSET(F462,-$X$5+1,0))</f>
        <v>8355.2000000000007</v>
      </c>
      <c r="Y462" s="7">
        <f ca="1">AVERAGE(E462:OFFSET(F462,-$Y$5+1,0))</f>
        <v>8524.9</v>
      </c>
      <c r="Z462" s="7">
        <f t="shared" ca="1" si="92"/>
        <v>0</v>
      </c>
    </row>
    <row r="463" spans="1:26">
      <c r="A463" s="3" t="s">
        <v>45</v>
      </c>
      <c r="B463" s="4">
        <v>42326</v>
      </c>
      <c r="C463" s="3">
        <v>8440</v>
      </c>
      <c r="D463" s="3">
        <v>8450</v>
      </c>
      <c r="E463" s="3">
        <v>8326</v>
      </c>
      <c r="F463" s="3">
        <v>8336</v>
      </c>
      <c r="G463" s="3">
        <v>81613</v>
      </c>
      <c r="H463" s="3">
        <v>1.2749999999999999</v>
      </c>
      <c r="I463" s="2">
        <f t="shared" si="101"/>
        <v>1</v>
      </c>
      <c r="J463" s="10">
        <f t="shared" si="103"/>
        <v>0</v>
      </c>
      <c r="K463" s="10">
        <f t="shared" si="102"/>
        <v>-104</v>
      </c>
      <c r="L463" s="10">
        <f t="shared" ca="1" si="91"/>
        <v>0</v>
      </c>
      <c r="M463" s="10">
        <f t="shared" si="93"/>
        <v>0</v>
      </c>
      <c r="N463" s="30">
        <f t="shared" si="94"/>
        <v>0</v>
      </c>
      <c r="O463" s="10">
        <f t="shared" si="95"/>
        <v>0</v>
      </c>
      <c r="P463" s="29">
        <f t="shared" ca="1" si="96"/>
        <v>-500</v>
      </c>
      <c r="Q463" s="12">
        <f t="shared" ca="1" si="97"/>
        <v>-274200</v>
      </c>
      <c r="R463" s="10">
        <f t="shared" ca="1" si="98"/>
        <v>-2.974773917182294E-2</v>
      </c>
      <c r="S463" s="10">
        <f t="shared" ca="1" si="88"/>
        <v>-1.0800314619998033</v>
      </c>
      <c r="T463" s="14">
        <f t="shared" ca="1" si="89"/>
        <v>-0.2410142282230803</v>
      </c>
      <c r="U463" s="12">
        <f t="shared" ca="1" si="99"/>
        <v>7900</v>
      </c>
      <c r="V463" s="14">
        <f t="shared" ca="1" si="100"/>
        <v>-3570.8860759493673</v>
      </c>
      <c r="W463" s="12">
        <f t="shared" ca="1" si="90"/>
        <v>0</v>
      </c>
      <c r="X463" s="7">
        <f ca="1">AVERAGE(E463:OFFSET(F463,-$X$5+1,0))</f>
        <v>8346.2000000000007</v>
      </c>
      <c r="Y463" s="7">
        <f ca="1">AVERAGE(E463:OFFSET(F463,-$Y$5+1,0))</f>
        <v>8476.35</v>
      </c>
      <c r="Z463" s="7">
        <f t="shared" ca="1" si="92"/>
        <v>0</v>
      </c>
    </row>
    <row r="464" spans="1:26">
      <c r="A464" s="3" t="s">
        <v>46</v>
      </c>
      <c r="B464" s="4">
        <v>42327</v>
      </c>
      <c r="C464" s="3">
        <v>8371</v>
      </c>
      <c r="D464" s="3">
        <v>8460</v>
      </c>
      <c r="E464" s="3">
        <v>8323</v>
      </c>
      <c r="F464" s="3">
        <v>8447</v>
      </c>
      <c r="G464" s="3">
        <v>155548</v>
      </c>
      <c r="H464" s="3">
        <v>1.2749999999999999</v>
      </c>
      <c r="I464" s="2">
        <f t="shared" si="101"/>
        <v>0</v>
      </c>
      <c r="J464" s="10">
        <f t="shared" si="103"/>
        <v>35</v>
      </c>
      <c r="K464" s="10">
        <f t="shared" si="102"/>
        <v>76</v>
      </c>
      <c r="L464" s="10">
        <f t="shared" ca="1" si="91"/>
        <v>0</v>
      </c>
      <c r="M464" s="10">
        <f t="shared" ca="1" si="93"/>
        <v>0</v>
      </c>
      <c r="N464" s="30">
        <f t="shared" ca="1" si="94"/>
        <v>0</v>
      </c>
      <c r="O464" s="10">
        <f t="shared" ca="1" si="95"/>
        <v>0</v>
      </c>
      <c r="P464" s="29">
        <f t="shared" ca="1" si="96"/>
        <v>0</v>
      </c>
      <c r="Q464" s="12">
        <f t="shared" ca="1" si="97"/>
        <v>-274200</v>
      </c>
      <c r="R464" s="10">
        <f t="shared" ca="1" si="98"/>
        <v>0</v>
      </c>
      <c r="S464" s="10">
        <f t="shared" ca="1" si="88"/>
        <v>-1.0957624619014845</v>
      </c>
      <c r="T464" s="14">
        <f t="shared" ca="1" si="89"/>
        <v>-0.24254845632206959</v>
      </c>
      <c r="U464" s="12">
        <f t="shared" ca="1" si="99"/>
        <v>7900</v>
      </c>
      <c r="V464" s="14">
        <f t="shared" ca="1" si="100"/>
        <v>-3570.8860759493673</v>
      </c>
      <c r="W464" s="12">
        <f t="shared" ca="1" si="90"/>
        <v>0</v>
      </c>
      <c r="X464" s="7">
        <f ca="1">AVERAGE(E464:OFFSET(F464,-$X$5+1,0))</f>
        <v>8341.7000000000007</v>
      </c>
      <c r="Y464" s="7">
        <f ca="1">AVERAGE(E464:OFFSET(F464,-$Y$5+1,0))</f>
        <v>8429.75</v>
      </c>
      <c r="Z464" s="7">
        <f t="shared" ca="1" si="92"/>
        <v>0</v>
      </c>
    </row>
    <row r="465" spans="1:26">
      <c r="A465" s="3" t="s">
        <v>46</v>
      </c>
      <c r="B465" s="4">
        <v>42328</v>
      </c>
      <c r="C465" s="3">
        <v>8430</v>
      </c>
      <c r="D465" s="3">
        <v>8475</v>
      </c>
      <c r="E465" s="3">
        <v>8396</v>
      </c>
      <c r="F465" s="3">
        <v>8444</v>
      </c>
      <c r="G465" s="3">
        <v>114281</v>
      </c>
      <c r="H465" s="3">
        <v>1.2749999999999999</v>
      </c>
      <c r="I465" s="2">
        <f t="shared" si="101"/>
        <v>0</v>
      </c>
      <c r="J465" s="10">
        <f t="shared" si="103"/>
        <v>-17</v>
      </c>
      <c r="K465" s="10">
        <f t="shared" si="102"/>
        <v>14</v>
      </c>
      <c r="L465" s="10">
        <f t="shared" ca="1" si="91"/>
        <v>0</v>
      </c>
      <c r="M465" s="10">
        <f t="shared" ca="1" si="93"/>
        <v>0</v>
      </c>
      <c r="N465" s="30">
        <f t="shared" ca="1" si="94"/>
        <v>0</v>
      </c>
      <c r="O465" s="10">
        <f t="shared" ca="1" si="95"/>
        <v>0</v>
      </c>
      <c r="P465" s="29">
        <f t="shared" ca="1" si="96"/>
        <v>0</v>
      </c>
      <c r="Q465" s="12">
        <f t="shared" ca="1" si="97"/>
        <v>-274200</v>
      </c>
      <c r="R465" s="10">
        <f t="shared" ca="1" si="98"/>
        <v>0</v>
      </c>
      <c r="S465" s="10">
        <f t="shared" ca="1" si="88"/>
        <v>-1.1478713990758038</v>
      </c>
      <c r="T465" s="14">
        <f t="shared" ca="1" si="89"/>
        <v>-0.24769869513133114</v>
      </c>
      <c r="U465" s="12">
        <f t="shared" ca="1" si="99"/>
        <v>7900</v>
      </c>
      <c r="V465" s="14">
        <f t="shared" ca="1" si="100"/>
        <v>-3570.8860759493673</v>
      </c>
      <c r="W465" s="12">
        <f t="shared" ca="1" si="90"/>
        <v>0</v>
      </c>
      <c r="X465" s="7">
        <f ca="1">AVERAGE(E465:OFFSET(F465,-$X$5+1,0))</f>
        <v>8358.2999999999993</v>
      </c>
      <c r="Y465" s="7">
        <f ca="1">AVERAGE(E465:OFFSET(F465,-$Y$5+1,0))</f>
        <v>8404.7999999999993</v>
      </c>
      <c r="Z465" s="7">
        <f t="shared" ca="1" si="92"/>
        <v>0</v>
      </c>
    </row>
    <row r="466" spans="1:26">
      <c r="A466" s="3" t="s">
        <v>46</v>
      </c>
      <c r="B466" s="4">
        <v>42331</v>
      </c>
      <c r="C466" s="3">
        <v>8488</v>
      </c>
      <c r="D466" s="3">
        <v>8511</v>
      </c>
      <c r="E466" s="3">
        <v>8407</v>
      </c>
      <c r="F466" s="3">
        <v>8478</v>
      </c>
      <c r="G466" s="3">
        <v>124827</v>
      </c>
      <c r="H466" s="3">
        <v>1.2749999999999999</v>
      </c>
      <c r="I466" s="2">
        <f t="shared" si="101"/>
        <v>0</v>
      </c>
      <c r="J466" s="10">
        <f t="shared" si="103"/>
        <v>44</v>
      </c>
      <c r="K466" s="10">
        <f t="shared" si="102"/>
        <v>-10</v>
      </c>
      <c r="L466" s="10">
        <f t="shared" ca="1" si="91"/>
        <v>1</v>
      </c>
      <c r="M466" s="10">
        <f t="shared" ca="1" si="93"/>
        <v>0</v>
      </c>
      <c r="N466" s="30">
        <f t="shared" ca="1" si="94"/>
        <v>0</v>
      </c>
      <c r="O466" s="10">
        <f t="shared" ca="1" si="95"/>
        <v>0</v>
      </c>
      <c r="P466" s="29">
        <f t="shared" ca="1" si="96"/>
        <v>0</v>
      </c>
      <c r="Q466" s="12">
        <f t="shared" ca="1" si="97"/>
        <v>-274200</v>
      </c>
      <c r="R466" s="10">
        <f t="shared" ca="1" si="98"/>
        <v>0</v>
      </c>
      <c r="S466" s="10">
        <f t="shared" ca="1" si="88"/>
        <v>-1.1527873365450791</v>
      </c>
      <c r="T466" s="14">
        <f t="shared" ca="1" si="89"/>
        <v>-0.24815789301915833</v>
      </c>
      <c r="U466" s="12">
        <f t="shared" ca="1" si="99"/>
        <v>7900</v>
      </c>
      <c r="V466" s="14">
        <f t="shared" ca="1" si="100"/>
        <v>-3570.8860759493673</v>
      </c>
      <c r="W466" s="12">
        <f t="shared" ca="1" si="90"/>
        <v>0</v>
      </c>
      <c r="X466" s="7">
        <f ca="1">AVERAGE(E466:OFFSET(F466,-$X$5+1,0))</f>
        <v>8396.6</v>
      </c>
      <c r="Y466" s="7">
        <f ca="1">AVERAGE(E466:OFFSET(F466,-$Y$5+1,0))</f>
        <v>8387.65</v>
      </c>
      <c r="Z466" s="7">
        <f t="shared" ca="1" si="92"/>
        <v>1</v>
      </c>
    </row>
    <row r="467" spans="1:26">
      <c r="A467" s="3" t="s">
        <v>46</v>
      </c>
      <c r="B467" s="4">
        <v>42332</v>
      </c>
      <c r="C467" s="3">
        <v>8461</v>
      </c>
      <c r="D467" s="3">
        <v>8494</v>
      </c>
      <c r="E467" s="3">
        <v>8362</v>
      </c>
      <c r="F467" s="3">
        <v>8402</v>
      </c>
      <c r="G467" s="3">
        <v>159334</v>
      </c>
      <c r="H467" s="3">
        <v>1.2749999999999999</v>
      </c>
      <c r="I467" s="2">
        <f t="shared" si="101"/>
        <v>0</v>
      </c>
      <c r="J467" s="10">
        <f t="shared" si="103"/>
        <v>-17</v>
      </c>
      <c r="K467" s="10">
        <f t="shared" si="102"/>
        <v>-59</v>
      </c>
      <c r="L467" s="10">
        <f t="shared" ca="1" si="91"/>
        <v>0</v>
      </c>
      <c r="M467" s="10">
        <f t="shared" ca="1" si="93"/>
        <v>1</v>
      </c>
      <c r="N467" s="30">
        <f t="shared" ca="1" si="94"/>
        <v>1692200</v>
      </c>
      <c r="O467" s="10">
        <f t="shared" ca="1" si="95"/>
        <v>1692200</v>
      </c>
      <c r="P467" s="29">
        <f t="shared" ca="1" si="96"/>
        <v>-12300</v>
      </c>
      <c r="Q467" s="12">
        <f t="shared" ca="1" si="97"/>
        <v>-286500</v>
      </c>
      <c r="R467" s="10">
        <f t="shared" ca="1" si="98"/>
        <v>-0.72686443682779811</v>
      </c>
      <c r="S467" s="10">
        <f t="shared" ca="1" si="88"/>
        <v>-1.0638008187272512</v>
      </c>
      <c r="T467" s="14">
        <f t="shared" ca="1" si="89"/>
        <v>-0.23877540419359339</v>
      </c>
      <c r="U467" s="12">
        <f t="shared" ca="1" si="99"/>
        <v>7900</v>
      </c>
      <c r="V467" s="14">
        <f t="shared" ca="1" si="100"/>
        <v>-3726.5822784810125</v>
      </c>
      <c r="W467" s="12">
        <f t="shared" ca="1" si="90"/>
        <v>0</v>
      </c>
      <c r="X467" s="7">
        <f ca="1">AVERAGE(E467:OFFSET(F467,-$X$5+1,0))</f>
        <v>8392.1</v>
      </c>
      <c r="Y467" s="7">
        <f ca="1">AVERAGE(E467:OFFSET(F467,-$Y$5+1,0))</f>
        <v>8373.65</v>
      </c>
      <c r="Z467" s="7">
        <f t="shared" ca="1" si="92"/>
        <v>0</v>
      </c>
    </row>
    <row r="468" spans="1:26">
      <c r="A468" s="3" t="s">
        <v>46</v>
      </c>
      <c r="B468" s="4">
        <v>42333</v>
      </c>
      <c r="C468" s="3">
        <v>8412</v>
      </c>
      <c r="D468" s="3">
        <v>8418</v>
      </c>
      <c r="E468" s="3">
        <v>8320</v>
      </c>
      <c r="F468" s="3">
        <v>8388</v>
      </c>
      <c r="G468" s="3">
        <v>137748</v>
      </c>
      <c r="H468" s="3">
        <v>1.2749999999999999</v>
      </c>
      <c r="I468" s="2">
        <f t="shared" si="101"/>
        <v>0</v>
      </c>
      <c r="J468" s="10">
        <f t="shared" si="103"/>
        <v>10</v>
      </c>
      <c r="K468" s="10">
        <f t="shared" si="102"/>
        <v>-24</v>
      </c>
      <c r="L468" s="10">
        <f t="shared" ca="1" si="91"/>
        <v>0</v>
      </c>
      <c r="M468" s="10">
        <f t="shared" ca="1" si="93"/>
        <v>1</v>
      </c>
      <c r="N468" s="30">
        <f t="shared" ca="1" si="94"/>
        <v>0</v>
      </c>
      <c r="O468" s="10">
        <f t="shared" ca="1" si="95"/>
        <v>1692200</v>
      </c>
      <c r="P468" s="29">
        <f t="shared" ca="1" si="96"/>
        <v>-2800</v>
      </c>
      <c r="Q468" s="12">
        <f t="shared" ca="1" si="97"/>
        <v>-289300</v>
      </c>
      <c r="R468" s="10">
        <f t="shared" ca="1" si="98"/>
        <v>-0.16546507505023048</v>
      </c>
      <c r="S468" s="10">
        <f t="shared" ca="1" si="88"/>
        <v>-0.99663250764720301</v>
      </c>
      <c r="T468" s="14">
        <f t="shared" ca="1" si="89"/>
        <v>-0.23206677825436448</v>
      </c>
      <c r="U468" s="12">
        <f t="shared" ca="1" si="99"/>
        <v>7900</v>
      </c>
      <c r="V468" s="14">
        <f t="shared" ca="1" si="100"/>
        <v>-3762.0253164556962</v>
      </c>
      <c r="W468" s="12">
        <f t="shared" ca="1" si="90"/>
        <v>0</v>
      </c>
      <c r="X468" s="7">
        <f ca="1">AVERAGE(E468:OFFSET(F468,-$X$5+1,0))</f>
        <v>8396.7000000000007</v>
      </c>
      <c r="Y468" s="7">
        <f ca="1">AVERAGE(E468:OFFSET(F468,-$Y$5+1,0))</f>
        <v>8371.4500000000007</v>
      </c>
      <c r="Z468" s="7">
        <f t="shared" ca="1" si="92"/>
        <v>0</v>
      </c>
    </row>
    <row r="469" spans="1:26">
      <c r="A469" s="3" t="s">
        <v>46</v>
      </c>
      <c r="B469" s="4">
        <v>42334</v>
      </c>
      <c r="C469" s="3">
        <v>8412</v>
      </c>
      <c r="D469" s="3">
        <v>8525</v>
      </c>
      <c r="E469" s="3">
        <v>8410</v>
      </c>
      <c r="F469" s="3">
        <v>8502</v>
      </c>
      <c r="G469" s="3">
        <v>134327</v>
      </c>
      <c r="H469" s="3">
        <v>1.2749999999999999</v>
      </c>
      <c r="I469" s="2">
        <f t="shared" si="101"/>
        <v>0</v>
      </c>
      <c r="J469" s="10">
        <f t="shared" si="103"/>
        <v>24</v>
      </c>
      <c r="K469" s="10">
        <f t="shared" si="102"/>
        <v>90</v>
      </c>
      <c r="L469" s="10">
        <f t="shared" ca="1" si="91"/>
        <v>0</v>
      </c>
      <c r="M469" s="10">
        <f t="shared" ca="1" si="93"/>
        <v>1</v>
      </c>
      <c r="N469" s="30">
        <f t="shared" ca="1" si="94"/>
        <v>0</v>
      </c>
      <c r="O469" s="10">
        <f t="shared" ca="1" si="95"/>
        <v>1692200</v>
      </c>
      <c r="P469" s="29">
        <f t="shared" ca="1" si="96"/>
        <v>22800</v>
      </c>
      <c r="Q469" s="12">
        <f t="shared" ca="1" si="97"/>
        <v>-266500</v>
      </c>
      <c r="R469" s="10">
        <f t="shared" ca="1" si="98"/>
        <v>1.3473584682661623</v>
      </c>
      <c r="S469" s="10">
        <f t="shared" ca="1" si="88"/>
        <v>-1.0565393796915703</v>
      </c>
      <c r="T469" s="14">
        <f t="shared" ca="1" si="89"/>
        <v>-0.23602122103035195</v>
      </c>
      <c r="U469" s="12">
        <f t="shared" ca="1" si="99"/>
        <v>7900</v>
      </c>
      <c r="V469" s="14">
        <f t="shared" ca="1" si="100"/>
        <v>-3473.4177215189875</v>
      </c>
      <c r="W469" s="12">
        <f t="shared" ca="1" si="90"/>
        <v>0</v>
      </c>
      <c r="X469" s="7">
        <f ca="1">AVERAGE(E469:OFFSET(F469,-$X$5+1,0))</f>
        <v>8410.9</v>
      </c>
      <c r="Y469" s="7">
        <f ca="1">AVERAGE(E469:OFFSET(F469,-$Y$5+1,0))</f>
        <v>8376.2999999999993</v>
      </c>
      <c r="Z469" s="7">
        <f t="shared" ca="1" si="92"/>
        <v>0</v>
      </c>
    </row>
    <row r="470" spans="1:26">
      <c r="A470" s="3" t="s">
        <v>46</v>
      </c>
      <c r="B470" s="4">
        <v>42335</v>
      </c>
      <c r="C470" s="3">
        <v>8520</v>
      </c>
      <c r="D470" s="3">
        <v>8534</v>
      </c>
      <c r="E470" s="3">
        <v>8377</v>
      </c>
      <c r="F470" s="3">
        <v>8393</v>
      </c>
      <c r="G470" s="3">
        <v>137736</v>
      </c>
      <c r="H470" s="3">
        <v>1.2749999999999999</v>
      </c>
      <c r="I470" s="2">
        <f t="shared" si="101"/>
        <v>0</v>
      </c>
      <c r="J470" s="10">
        <f t="shared" si="103"/>
        <v>18</v>
      </c>
      <c r="K470" s="10">
        <f t="shared" si="102"/>
        <v>-127</v>
      </c>
      <c r="L470" s="10">
        <f t="shared" ca="1" si="91"/>
        <v>0</v>
      </c>
      <c r="M470" s="10">
        <f t="shared" ca="1" si="93"/>
        <v>1</v>
      </c>
      <c r="N470" s="30">
        <f t="shared" ca="1" si="94"/>
        <v>0</v>
      </c>
      <c r="O470" s="10">
        <f t="shared" ca="1" si="95"/>
        <v>1692200</v>
      </c>
      <c r="P470" s="29">
        <f t="shared" ca="1" si="96"/>
        <v>-21800</v>
      </c>
      <c r="Q470" s="12">
        <f t="shared" ca="1" si="97"/>
        <v>-288300</v>
      </c>
      <c r="R470" s="10">
        <f t="shared" ca="1" si="98"/>
        <v>-1.2882637986053658</v>
      </c>
      <c r="S470" s="10">
        <f t="shared" ca="1" si="88"/>
        <v>-1.1636456054678637</v>
      </c>
      <c r="T470" s="14">
        <f t="shared" ca="1" si="89"/>
        <v>-0.24486272292861444</v>
      </c>
      <c r="U470" s="12">
        <f t="shared" ca="1" si="99"/>
        <v>7900</v>
      </c>
      <c r="V470" s="14">
        <f t="shared" ca="1" si="100"/>
        <v>-3749.3670886075947</v>
      </c>
      <c r="W470" s="12">
        <f t="shared" ca="1" si="90"/>
        <v>0</v>
      </c>
      <c r="X470" s="7">
        <f ca="1">AVERAGE(E470:OFFSET(F470,-$X$5+1,0))</f>
        <v>8403.9</v>
      </c>
      <c r="Y470" s="7">
        <f ca="1">AVERAGE(E470:OFFSET(F470,-$Y$5+1,0))</f>
        <v>8381.1</v>
      </c>
      <c r="Z470" s="7">
        <f t="shared" ca="1" si="92"/>
        <v>0</v>
      </c>
    </row>
    <row r="471" spans="1:26">
      <c r="A471" s="3" t="s">
        <v>46</v>
      </c>
      <c r="B471" s="4">
        <v>42338</v>
      </c>
      <c r="C471" s="3">
        <v>8311</v>
      </c>
      <c r="D471" s="3">
        <v>8345</v>
      </c>
      <c r="E471" s="3">
        <v>8202</v>
      </c>
      <c r="F471" s="3">
        <v>8300</v>
      </c>
      <c r="G471" s="3">
        <v>167237</v>
      </c>
      <c r="H471" s="3">
        <v>1.2749999999999999</v>
      </c>
      <c r="I471" s="2">
        <f t="shared" si="101"/>
        <v>0</v>
      </c>
      <c r="J471" s="10">
        <f t="shared" si="103"/>
        <v>-82</v>
      </c>
      <c r="K471" s="10">
        <f t="shared" si="102"/>
        <v>-11</v>
      </c>
      <c r="L471" s="10">
        <f t="shared" ca="1" si="91"/>
        <v>-1</v>
      </c>
      <c r="M471" s="10">
        <f t="shared" ca="1" si="93"/>
        <v>1</v>
      </c>
      <c r="N471" s="30">
        <f t="shared" ca="1" si="94"/>
        <v>0</v>
      </c>
      <c r="O471" s="10">
        <f t="shared" ca="1" si="95"/>
        <v>1692200</v>
      </c>
      <c r="P471" s="29">
        <f t="shared" ca="1" si="96"/>
        <v>-18600</v>
      </c>
      <c r="Q471" s="12">
        <f t="shared" ca="1" si="97"/>
        <v>-306900</v>
      </c>
      <c r="R471" s="10">
        <f t="shared" ca="1" si="98"/>
        <v>-1.0991608556908168</v>
      </c>
      <c r="S471" s="10">
        <f t="shared" ca="1" si="88"/>
        <v>-1.2444291147398137</v>
      </c>
      <c r="T471" s="14">
        <f t="shared" ca="1" si="89"/>
        <v>-0.25151795131373217</v>
      </c>
      <c r="U471" s="12">
        <f t="shared" ca="1" si="99"/>
        <v>7900</v>
      </c>
      <c r="V471" s="14">
        <f t="shared" ca="1" si="100"/>
        <v>-3984.8101265822784</v>
      </c>
      <c r="W471" s="12">
        <f t="shared" ca="1" si="90"/>
        <v>0</v>
      </c>
      <c r="X471" s="7">
        <f ca="1">AVERAGE(E471:OFFSET(F471,-$X$5+1,0))</f>
        <v>8365.6</v>
      </c>
      <c r="Y471" s="7">
        <f ca="1">AVERAGE(E471:OFFSET(F471,-$Y$5+1,0))</f>
        <v>8381.1</v>
      </c>
      <c r="Z471" s="7">
        <f t="shared" ca="1" si="92"/>
        <v>-1</v>
      </c>
    </row>
    <row r="472" spans="1:26">
      <c r="A472" s="3" t="s">
        <v>46</v>
      </c>
      <c r="B472" s="4">
        <v>42339</v>
      </c>
      <c r="C472" s="3">
        <v>8360</v>
      </c>
      <c r="D472" s="3">
        <v>8463</v>
      </c>
      <c r="E472" s="3">
        <v>8317</v>
      </c>
      <c r="F472" s="3">
        <v>8456</v>
      </c>
      <c r="G472" s="3">
        <v>158141</v>
      </c>
      <c r="H472" s="3">
        <v>1.2749999999999999</v>
      </c>
      <c r="I472" s="2">
        <f t="shared" si="101"/>
        <v>0</v>
      </c>
      <c r="J472" s="10">
        <f t="shared" si="103"/>
        <v>60</v>
      </c>
      <c r="K472" s="10">
        <f t="shared" si="102"/>
        <v>96</v>
      </c>
      <c r="L472" s="10">
        <f t="shared" ca="1" si="91"/>
        <v>0</v>
      </c>
      <c r="M472" s="10">
        <f t="shared" ca="1" si="93"/>
        <v>0</v>
      </c>
      <c r="N472" s="30">
        <f t="shared" ca="1" si="94"/>
        <v>0</v>
      </c>
      <c r="O472" s="10">
        <f t="shared" ca="1" si="95"/>
        <v>0</v>
      </c>
      <c r="P472" s="29">
        <f t="shared" ca="1" si="96"/>
        <v>11500</v>
      </c>
      <c r="Q472" s="12">
        <f t="shared" ca="1" si="97"/>
        <v>-295400</v>
      </c>
      <c r="R472" s="10">
        <f t="shared" ca="1" si="98"/>
        <v>0.67958870109916081</v>
      </c>
      <c r="S472" s="10">
        <f t="shared" ca="1" si="88"/>
        <v>-1.2335369561862921</v>
      </c>
      <c r="T472" s="14">
        <f t="shared" ca="1" si="89"/>
        <v>-0.25003937676154864</v>
      </c>
      <c r="U472" s="12">
        <f t="shared" ca="1" si="99"/>
        <v>7900</v>
      </c>
      <c r="V472" s="14">
        <f t="shared" ca="1" si="100"/>
        <v>-3839.2405063291139</v>
      </c>
      <c r="W472" s="12">
        <f t="shared" ca="1" si="90"/>
        <v>0</v>
      </c>
      <c r="X472" s="7">
        <f ca="1">AVERAGE(E472:OFFSET(F472,-$X$5+1,0))</f>
        <v>8366.5</v>
      </c>
      <c r="Y472" s="7">
        <f ca="1">AVERAGE(E472:OFFSET(F472,-$Y$5+1,0))</f>
        <v>8379.2999999999993</v>
      </c>
      <c r="Z472" s="7">
        <f t="shared" ca="1" si="92"/>
        <v>0</v>
      </c>
    </row>
    <row r="473" spans="1:26">
      <c r="A473" s="3" t="s">
        <v>46</v>
      </c>
      <c r="B473" s="4">
        <v>42340</v>
      </c>
      <c r="C473" s="3">
        <v>8433</v>
      </c>
      <c r="D473" s="3">
        <v>8510</v>
      </c>
      <c r="E473" s="3">
        <v>8415</v>
      </c>
      <c r="F473" s="3">
        <v>8452</v>
      </c>
      <c r="G473" s="3">
        <v>146804</v>
      </c>
      <c r="H473" s="3">
        <v>1.2749999999999999</v>
      </c>
      <c r="I473" s="2">
        <f t="shared" si="101"/>
        <v>0</v>
      </c>
      <c r="J473" s="10">
        <f t="shared" si="103"/>
        <v>-23</v>
      </c>
      <c r="K473" s="10">
        <f t="shared" si="102"/>
        <v>19</v>
      </c>
      <c r="L473" s="10">
        <f t="shared" ca="1" si="91"/>
        <v>0</v>
      </c>
      <c r="M473" s="10">
        <f t="shared" ca="1" si="93"/>
        <v>0</v>
      </c>
      <c r="N473" s="30">
        <f t="shared" ca="1" si="94"/>
        <v>0</v>
      </c>
      <c r="O473" s="10">
        <f t="shared" ca="1" si="95"/>
        <v>0</v>
      </c>
      <c r="P473" s="29">
        <f t="shared" ca="1" si="96"/>
        <v>0</v>
      </c>
      <c r="Q473" s="12">
        <f t="shared" ca="1" si="97"/>
        <v>-295400</v>
      </c>
      <c r="R473" s="10">
        <f t="shared" ca="1" si="98"/>
        <v>0</v>
      </c>
      <c r="S473" s="10">
        <f t="shared" ca="1" si="88"/>
        <v>-1.3327856358075405</v>
      </c>
      <c r="T473" s="14">
        <f t="shared" ca="1" si="89"/>
        <v>-0.26316166559522719</v>
      </c>
      <c r="U473" s="12">
        <f t="shared" ca="1" si="99"/>
        <v>7900</v>
      </c>
      <c r="V473" s="14">
        <f t="shared" ca="1" si="100"/>
        <v>-3839.2405063291139</v>
      </c>
      <c r="W473" s="12">
        <f t="shared" ca="1" si="90"/>
        <v>0</v>
      </c>
      <c r="X473" s="7">
        <f ca="1">AVERAGE(E473:OFFSET(F473,-$X$5+1,0))</f>
        <v>8382.4</v>
      </c>
      <c r="Y473" s="7">
        <f ca="1">AVERAGE(E473:OFFSET(F473,-$Y$5+1,0))</f>
        <v>8389.5499999999993</v>
      </c>
      <c r="Z473" s="7">
        <f t="shared" ca="1" si="92"/>
        <v>0</v>
      </c>
    </row>
    <row r="474" spans="1:26">
      <c r="A474" s="3" t="s">
        <v>46</v>
      </c>
      <c r="B474" s="4">
        <v>42341</v>
      </c>
      <c r="C474" s="3">
        <v>8388</v>
      </c>
      <c r="D474" s="3">
        <v>8490</v>
      </c>
      <c r="E474" s="3">
        <v>8363</v>
      </c>
      <c r="F474" s="3">
        <v>8476</v>
      </c>
      <c r="G474" s="3">
        <v>147876</v>
      </c>
      <c r="H474" s="3">
        <v>1.2749999999999999</v>
      </c>
      <c r="I474" s="2">
        <f t="shared" si="101"/>
        <v>0</v>
      </c>
      <c r="J474" s="10">
        <f t="shared" si="103"/>
        <v>-64</v>
      </c>
      <c r="K474" s="10">
        <f t="shared" si="102"/>
        <v>88</v>
      </c>
      <c r="L474" s="10">
        <f t="shared" ca="1" si="91"/>
        <v>0</v>
      </c>
      <c r="M474" s="10">
        <f t="shared" ca="1" si="93"/>
        <v>0</v>
      </c>
      <c r="N474" s="30">
        <f t="shared" ca="1" si="94"/>
        <v>0</v>
      </c>
      <c r="O474" s="10">
        <f t="shared" ca="1" si="95"/>
        <v>0</v>
      </c>
      <c r="P474" s="29">
        <f t="shared" ca="1" si="96"/>
        <v>0</v>
      </c>
      <c r="Q474" s="12">
        <f t="shared" ca="1" si="97"/>
        <v>-295400</v>
      </c>
      <c r="R474" s="10">
        <f t="shared" ca="1" si="98"/>
        <v>0</v>
      </c>
      <c r="S474" s="10">
        <f t="shared" ca="1" si="88"/>
        <v>-1.2476615625216523</v>
      </c>
      <c r="T474" s="14">
        <f t="shared" ca="1" si="89"/>
        <v>-0.25593614860854264</v>
      </c>
      <c r="U474" s="12">
        <f t="shared" ca="1" si="99"/>
        <v>7900</v>
      </c>
      <c r="V474" s="14">
        <f t="shared" ca="1" si="100"/>
        <v>-3839.2405063291139</v>
      </c>
      <c r="W474" s="12">
        <f t="shared" ca="1" si="90"/>
        <v>0</v>
      </c>
      <c r="X474" s="7">
        <f ca="1">AVERAGE(E474:OFFSET(F474,-$X$5+1,0))</f>
        <v>8375.1</v>
      </c>
      <c r="Y474" s="7">
        <f ca="1">AVERAGE(E474:OFFSET(F474,-$Y$5+1,0))</f>
        <v>8393</v>
      </c>
      <c r="Z474" s="7">
        <f t="shared" ca="1" si="92"/>
        <v>0</v>
      </c>
    </row>
    <row r="475" spans="1:26">
      <c r="A475" s="3" t="s">
        <v>46</v>
      </c>
      <c r="B475" s="4">
        <v>42342</v>
      </c>
      <c r="C475" s="3">
        <v>8361</v>
      </c>
      <c r="D475" s="3">
        <v>8410</v>
      </c>
      <c r="E475" s="3">
        <v>8326</v>
      </c>
      <c r="F475" s="3">
        <v>8397</v>
      </c>
      <c r="G475" s="3">
        <v>142112</v>
      </c>
      <c r="H475" s="3">
        <v>1.2749999999999999</v>
      </c>
      <c r="I475" s="2">
        <f t="shared" si="101"/>
        <v>0</v>
      </c>
      <c r="J475" s="10">
        <f t="shared" si="103"/>
        <v>-115</v>
      </c>
      <c r="K475" s="10">
        <f t="shared" si="102"/>
        <v>36</v>
      </c>
      <c r="L475" s="10">
        <f t="shared" ca="1" si="91"/>
        <v>0</v>
      </c>
      <c r="M475" s="10">
        <f t="shared" ca="1" si="93"/>
        <v>0</v>
      </c>
      <c r="N475" s="30">
        <f t="shared" ca="1" si="94"/>
        <v>0</v>
      </c>
      <c r="O475" s="10">
        <f t="shared" ca="1" si="95"/>
        <v>0</v>
      </c>
      <c r="P475" s="29">
        <f t="shared" ca="1" si="96"/>
        <v>0</v>
      </c>
      <c r="Q475" s="12">
        <f t="shared" ca="1" si="97"/>
        <v>-295400</v>
      </c>
      <c r="R475" s="10">
        <f t="shared" ca="1" si="98"/>
        <v>0</v>
      </c>
      <c r="S475" s="10">
        <f t="shared" ca="1" si="88"/>
        <v>-1.2120282295182572</v>
      </c>
      <c r="T475" s="14">
        <f t="shared" ca="1" si="89"/>
        <v>-0.25238713783196021</v>
      </c>
      <c r="U475" s="12">
        <f t="shared" ca="1" si="99"/>
        <v>7900</v>
      </c>
      <c r="V475" s="14">
        <f t="shared" ca="1" si="100"/>
        <v>-3839.2405063291139</v>
      </c>
      <c r="W475" s="12">
        <f t="shared" ca="1" si="90"/>
        <v>0</v>
      </c>
      <c r="X475" s="7">
        <f ca="1">AVERAGE(E475:OFFSET(F475,-$X$5+1,0))</f>
        <v>8370.4</v>
      </c>
      <c r="Y475" s="7">
        <f ca="1">AVERAGE(E475:OFFSET(F475,-$Y$5+1,0))</f>
        <v>8387.15</v>
      </c>
      <c r="Z475" s="7">
        <f t="shared" ca="1" si="92"/>
        <v>0</v>
      </c>
    </row>
    <row r="476" spans="1:26">
      <c r="A476" s="3" t="s">
        <v>46</v>
      </c>
      <c r="B476" s="4">
        <v>42345</v>
      </c>
      <c r="C476" s="3">
        <v>8495</v>
      </c>
      <c r="D476" s="3">
        <v>8550</v>
      </c>
      <c r="E476" s="3">
        <v>8455</v>
      </c>
      <c r="F476" s="3">
        <v>8468</v>
      </c>
      <c r="G476" s="3">
        <v>140025</v>
      </c>
      <c r="H476" s="3">
        <v>1.2749999999999999</v>
      </c>
      <c r="I476" s="2">
        <f t="shared" si="101"/>
        <v>0</v>
      </c>
      <c r="J476" s="10">
        <f t="shared" si="103"/>
        <v>98</v>
      </c>
      <c r="K476" s="10">
        <f t="shared" si="102"/>
        <v>-27</v>
      </c>
      <c r="L476" s="10">
        <f t="shared" ca="1" si="91"/>
        <v>1</v>
      </c>
      <c r="M476" s="10">
        <f t="shared" ca="1" si="93"/>
        <v>0</v>
      </c>
      <c r="N476" s="30">
        <f t="shared" ca="1" si="94"/>
        <v>0</v>
      </c>
      <c r="O476" s="10">
        <f t="shared" ca="1" si="95"/>
        <v>0</v>
      </c>
      <c r="P476" s="29">
        <f t="shared" ca="1" si="96"/>
        <v>0</v>
      </c>
      <c r="Q476" s="12">
        <f t="shared" ca="1" si="97"/>
        <v>-295400</v>
      </c>
      <c r="R476" s="10">
        <f t="shared" ca="1" si="98"/>
        <v>0</v>
      </c>
      <c r="S476" s="10">
        <f t="shared" ca="1" si="88"/>
        <v>-1.2224212849775806</v>
      </c>
      <c r="T476" s="14">
        <f t="shared" ca="1" si="89"/>
        <v>-0.25489158631610764</v>
      </c>
      <c r="U476" s="12">
        <f t="shared" ca="1" si="99"/>
        <v>7900</v>
      </c>
      <c r="V476" s="14">
        <f t="shared" ca="1" si="100"/>
        <v>-3839.2405063291139</v>
      </c>
      <c r="W476" s="12">
        <f t="shared" ca="1" si="90"/>
        <v>0</v>
      </c>
      <c r="X476" s="7">
        <f ca="1">AVERAGE(E476:OFFSET(F476,-$X$5+1,0))</f>
        <v>8412.5</v>
      </c>
      <c r="Y476" s="7">
        <f ca="1">AVERAGE(E476:OFFSET(F476,-$Y$5+1,0))</f>
        <v>8389.0499999999993</v>
      </c>
      <c r="Z476" s="7">
        <f t="shared" ca="1" si="92"/>
        <v>1</v>
      </c>
    </row>
    <row r="477" spans="1:26">
      <c r="A477" s="3" t="s">
        <v>46</v>
      </c>
      <c r="B477" s="4">
        <v>42346</v>
      </c>
      <c r="C477" s="3">
        <v>8438</v>
      </c>
      <c r="D477" s="3">
        <v>8451</v>
      </c>
      <c r="E477" s="3">
        <v>8318</v>
      </c>
      <c r="F477" s="3">
        <v>8334</v>
      </c>
      <c r="G477" s="3">
        <v>148126</v>
      </c>
      <c r="H477" s="3">
        <v>1.2749999999999999</v>
      </c>
      <c r="I477" s="2">
        <f t="shared" si="101"/>
        <v>0</v>
      </c>
      <c r="J477" s="10">
        <f t="shared" si="103"/>
        <v>-30</v>
      </c>
      <c r="K477" s="10">
        <f t="shared" si="102"/>
        <v>-104</v>
      </c>
      <c r="L477" s="10">
        <f t="shared" ca="1" si="91"/>
        <v>0</v>
      </c>
      <c r="M477" s="10">
        <f t="shared" ca="1" si="93"/>
        <v>1</v>
      </c>
      <c r="N477" s="30">
        <f t="shared" ca="1" si="94"/>
        <v>1687600</v>
      </c>
      <c r="O477" s="10">
        <f t="shared" ca="1" si="95"/>
        <v>1687600</v>
      </c>
      <c r="P477" s="29">
        <f t="shared" ca="1" si="96"/>
        <v>-21300</v>
      </c>
      <c r="Q477" s="12">
        <f t="shared" ca="1" si="97"/>
        <v>-316700</v>
      </c>
      <c r="R477" s="10">
        <f t="shared" ca="1" si="98"/>
        <v>-1.2621474283005452</v>
      </c>
      <c r="S477" s="10">
        <f t="shared" ca="1" si="88"/>
        <v>-1.2254834790393452</v>
      </c>
      <c r="T477" s="14">
        <f t="shared" ca="1" si="89"/>
        <v>-0.25353829224977209</v>
      </c>
      <c r="U477" s="12">
        <f t="shared" ca="1" si="99"/>
        <v>7900</v>
      </c>
      <c r="V477" s="14">
        <f t="shared" ca="1" si="100"/>
        <v>-4108.8607594936711</v>
      </c>
      <c r="W477" s="12">
        <f t="shared" ca="1" si="90"/>
        <v>0</v>
      </c>
      <c r="X477" s="7">
        <f ca="1">AVERAGE(E477:OFFSET(F477,-$X$5+1,0))</f>
        <v>8400.4</v>
      </c>
      <c r="Y477" s="7">
        <f ca="1">AVERAGE(E477:OFFSET(F477,-$Y$5+1,0))</f>
        <v>8383.4500000000007</v>
      </c>
      <c r="Z477" s="7">
        <f t="shared" ca="1" si="92"/>
        <v>0</v>
      </c>
    </row>
    <row r="478" spans="1:26">
      <c r="A478" s="3" t="s">
        <v>46</v>
      </c>
      <c r="B478" s="4">
        <v>42347</v>
      </c>
      <c r="C478" s="3">
        <v>8311</v>
      </c>
      <c r="D478" s="3">
        <v>8328</v>
      </c>
      <c r="E478" s="3">
        <v>8212</v>
      </c>
      <c r="F478" s="3">
        <v>8221</v>
      </c>
      <c r="G478" s="3">
        <v>155405</v>
      </c>
      <c r="H478" s="3">
        <v>1.2749999999999999</v>
      </c>
      <c r="I478" s="2">
        <f t="shared" si="101"/>
        <v>0</v>
      </c>
      <c r="J478" s="10">
        <f t="shared" si="103"/>
        <v>-23</v>
      </c>
      <c r="K478" s="10">
        <f t="shared" si="102"/>
        <v>-90</v>
      </c>
      <c r="L478" s="10">
        <f t="shared" ca="1" si="91"/>
        <v>-1</v>
      </c>
      <c r="M478" s="10">
        <f t="shared" ca="1" si="93"/>
        <v>1</v>
      </c>
      <c r="N478" s="30">
        <f t="shared" ca="1" si="94"/>
        <v>0</v>
      </c>
      <c r="O478" s="10">
        <f t="shared" ca="1" si="95"/>
        <v>1687600</v>
      </c>
      <c r="P478" s="29">
        <f t="shared" ca="1" si="96"/>
        <v>-22600</v>
      </c>
      <c r="Q478" s="12">
        <f t="shared" ca="1" si="97"/>
        <v>-339300</v>
      </c>
      <c r="R478" s="10">
        <f t="shared" ca="1" si="98"/>
        <v>-1.3391799004503437</v>
      </c>
      <c r="S478" s="10">
        <f t="shared" ca="1" si="88"/>
        <v>-1.3287109357157865</v>
      </c>
      <c r="T478" s="14">
        <f t="shared" ca="1" si="89"/>
        <v>-0.26186720929112844</v>
      </c>
      <c r="U478" s="12">
        <f t="shared" ca="1" si="99"/>
        <v>7900</v>
      </c>
      <c r="V478" s="14">
        <f t="shared" ca="1" si="100"/>
        <v>-4394.9367088607596</v>
      </c>
      <c r="W478" s="12">
        <f t="shared" ca="1" si="90"/>
        <v>0</v>
      </c>
      <c r="X478" s="7">
        <f ca="1">AVERAGE(E478:OFFSET(F478,-$X$5+1,0))</f>
        <v>8357</v>
      </c>
      <c r="Y478" s="7">
        <f ca="1">AVERAGE(E478:OFFSET(F478,-$Y$5+1,0))</f>
        <v>8369.7000000000007</v>
      </c>
      <c r="Z478" s="7">
        <f t="shared" ca="1" si="92"/>
        <v>-1</v>
      </c>
    </row>
    <row r="479" spans="1:26">
      <c r="A479" s="3" t="s">
        <v>46</v>
      </c>
      <c r="B479" s="4">
        <v>42348</v>
      </c>
      <c r="C479" s="3">
        <v>8182</v>
      </c>
      <c r="D479" s="3">
        <v>8208</v>
      </c>
      <c r="E479" s="3">
        <v>8101</v>
      </c>
      <c r="F479" s="3">
        <v>8188</v>
      </c>
      <c r="G479" s="3">
        <v>173415</v>
      </c>
      <c r="H479" s="3">
        <v>1.2749999999999999</v>
      </c>
      <c r="I479" s="2">
        <f t="shared" si="101"/>
        <v>0</v>
      </c>
      <c r="J479" s="10">
        <f t="shared" si="103"/>
        <v>-39</v>
      </c>
      <c r="K479" s="10">
        <f t="shared" si="102"/>
        <v>6</v>
      </c>
      <c r="L479" s="10">
        <f t="shared" ca="1" si="91"/>
        <v>0</v>
      </c>
      <c r="M479" s="10">
        <f t="shared" ca="1" si="93"/>
        <v>0</v>
      </c>
      <c r="N479" s="30">
        <f t="shared" ca="1" si="94"/>
        <v>0</v>
      </c>
      <c r="O479" s="10">
        <f t="shared" ca="1" si="95"/>
        <v>0</v>
      </c>
      <c r="P479" s="29">
        <f t="shared" ca="1" si="96"/>
        <v>-8300</v>
      </c>
      <c r="Q479" s="12">
        <f t="shared" ca="1" si="97"/>
        <v>-347600</v>
      </c>
      <c r="R479" s="10">
        <f t="shared" ca="1" si="98"/>
        <v>-0.49182270680255985</v>
      </c>
      <c r="S479" s="10">
        <f t="shared" ca="1" si="88"/>
        <v>-1.3666219043181964</v>
      </c>
      <c r="T479" s="14">
        <f t="shared" ca="1" si="89"/>
        <v>-0.2653451713742167</v>
      </c>
      <c r="U479" s="12">
        <f t="shared" ca="1" si="99"/>
        <v>7900</v>
      </c>
      <c r="V479" s="14">
        <f t="shared" ca="1" si="100"/>
        <v>-4500</v>
      </c>
      <c r="W479" s="12">
        <f t="shared" ca="1" si="90"/>
        <v>0</v>
      </c>
      <c r="X479" s="7">
        <f ca="1">AVERAGE(E479:OFFSET(F479,-$X$5+1,0))</f>
        <v>8302</v>
      </c>
      <c r="Y479" s="7">
        <f ca="1">AVERAGE(E479:OFFSET(F479,-$Y$5+1,0))</f>
        <v>8338.5499999999993</v>
      </c>
      <c r="Z479" s="7">
        <f t="shared" ca="1" si="92"/>
        <v>0</v>
      </c>
    </row>
    <row r="480" spans="1:26">
      <c r="A480" s="3" t="s">
        <v>46</v>
      </c>
      <c r="B480" s="4">
        <v>42349</v>
      </c>
      <c r="C480" s="3">
        <v>8200</v>
      </c>
      <c r="D480" s="3">
        <v>8220</v>
      </c>
      <c r="E480" s="3">
        <v>8068</v>
      </c>
      <c r="F480" s="3">
        <v>8071</v>
      </c>
      <c r="G480" s="3">
        <v>164753</v>
      </c>
      <c r="H480" s="3">
        <v>1.2749999999999999</v>
      </c>
      <c r="I480" s="2">
        <f t="shared" si="101"/>
        <v>0</v>
      </c>
      <c r="J480" s="10">
        <f t="shared" si="103"/>
        <v>12</v>
      </c>
      <c r="K480" s="10">
        <f t="shared" si="102"/>
        <v>-129</v>
      </c>
      <c r="L480" s="10">
        <f t="shared" ca="1" si="91"/>
        <v>0</v>
      </c>
      <c r="M480" s="10">
        <f t="shared" ca="1" si="93"/>
        <v>0</v>
      </c>
      <c r="N480" s="30">
        <f t="shared" ca="1" si="94"/>
        <v>0</v>
      </c>
      <c r="O480" s="10">
        <f t="shared" ca="1" si="95"/>
        <v>0</v>
      </c>
      <c r="P480" s="29">
        <f t="shared" ca="1" si="96"/>
        <v>0</v>
      </c>
      <c r="Q480" s="12">
        <f t="shared" ca="1" si="97"/>
        <v>-347600</v>
      </c>
      <c r="R480" s="10">
        <f t="shared" ca="1" si="98"/>
        <v>0</v>
      </c>
      <c r="S480" s="10">
        <f t="shared" ca="1" si="88"/>
        <v>-1.3666219043181964</v>
      </c>
      <c r="T480" s="14">
        <f t="shared" ca="1" si="89"/>
        <v>-0.26621376395284413</v>
      </c>
      <c r="U480" s="12">
        <f t="shared" ca="1" si="99"/>
        <v>7900</v>
      </c>
      <c r="V480" s="14">
        <f t="shared" ca="1" si="100"/>
        <v>-4500</v>
      </c>
      <c r="W480" s="12">
        <f t="shared" ca="1" si="90"/>
        <v>0</v>
      </c>
      <c r="X480" s="7">
        <f ca="1">AVERAGE(E480:OFFSET(F480,-$X$5+1,0))</f>
        <v>8243.6</v>
      </c>
      <c r="Y480" s="7">
        <f ca="1">AVERAGE(E480:OFFSET(F480,-$Y$5+1,0))</f>
        <v>8307</v>
      </c>
      <c r="Z480" s="7">
        <f t="shared" ca="1" si="92"/>
        <v>0</v>
      </c>
    </row>
    <row r="481" spans="1:26">
      <c r="A481" s="3" t="s">
        <v>46</v>
      </c>
      <c r="B481" s="4">
        <v>42352</v>
      </c>
      <c r="C481" s="3">
        <v>7976</v>
      </c>
      <c r="D481" s="3">
        <v>8065</v>
      </c>
      <c r="E481" s="3">
        <v>7949</v>
      </c>
      <c r="F481" s="3">
        <v>8058</v>
      </c>
      <c r="G481" s="3">
        <v>144310</v>
      </c>
      <c r="H481" s="3">
        <v>1.2749999999999999</v>
      </c>
      <c r="I481" s="2">
        <f t="shared" si="101"/>
        <v>0</v>
      </c>
      <c r="J481" s="10">
        <f t="shared" si="103"/>
        <v>-95</v>
      </c>
      <c r="K481" s="10">
        <f t="shared" si="102"/>
        <v>82</v>
      </c>
      <c r="L481" s="10">
        <f t="shared" ca="1" si="91"/>
        <v>0</v>
      </c>
      <c r="M481" s="10">
        <f t="shared" ca="1" si="93"/>
        <v>0</v>
      </c>
      <c r="N481" s="30">
        <f t="shared" ca="1" si="94"/>
        <v>0</v>
      </c>
      <c r="O481" s="10">
        <f t="shared" ca="1" si="95"/>
        <v>0</v>
      </c>
      <c r="P481" s="29">
        <f t="shared" ca="1" si="96"/>
        <v>0</v>
      </c>
      <c r="Q481" s="12">
        <f t="shared" ca="1" si="97"/>
        <v>-347600</v>
      </c>
      <c r="R481" s="10">
        <f t="shared" ca="1" si="98"/>
        <v>0</v>
      </c>
      <c r="S481" s="10">
        <f t="shared" ca="1" si="88"/>
        <v>-1.3666219043181964</v>
      </c>
      <c r="T481" s="14">
        <f t="shared" ca="1" si="89"/>
        <v>-0.26644931550316137</v>
      </c>
      <c r="U481" s="12">
        <f t="shared" ca="1" si="99"/>
        <v>7900</v>
      </c>
      <c r="V481" s="14">
        <f t="shared" ca="1" si="100"/>
        <v>-4500</v>
      </c>
      <c r="W481" s="12">
        <f t="shared" ca="1" si="90"/>
        <v>0</v>
      </c>
      <c r="X481" s="7">
        <f ca="1">AVERAGE(E481:OFFSET(F481,-$X$5+1,0))</f>
        <v>8152</v>
      </c>
      <c r="Y481" s="7">
        <f ca="1">AVERAGE(E481:OFFSET(F481,-$Y$5+1,0))</f>
        <v>8282.25</v>
      </c>
      <c r="Z481" s="7">
        <f t="shared" ca="1" si="92"/>
        <v>0</v>
      </c>
    </row>
    <row r="482" spans="1:26">
      <c r="A482" s="3" t="s">
        <v>46</v>
      </c>
      <c r="B482" s="4">
        <v>42353</v>
      </c>
      <c r="C482" s="3">
        <v>8077</v>
      </c>
      <c r="D482" s="3">
        <v>8137</v>
      </c>
      <c r="E482" s="3">
        <v>8048</v>
      </c>
      <c r="F482" s="3">
        <v>8066</v>
      </c>
      <c r="G482" s="3">
        <v>139344</v>
      </c>
      <c r="H482" s="3">
        <v>1.2749999999999999</v>
      </c>
      <c r="I482" s="2">
        <f t="shared" si="101"/>
        <v>0</v>
      </c>
      <c r="J482" s="10">
        <f t="shared" si="103"/>
        <v>19</v>
      </c>
      <c r="K482" s="10">
        <f t="shared" si="102"/>
        <v>-11</v>
      </c>
      <c r="L482" s="10">
        <f t="shared" ca="1" si="91"/>
        <v>0</v>
      </c>
      <c r="M482" s="10">
        <f t="shared" ca="1" si="93"/>
        <v>0</v>
      </c>
      <c r="N482" s="30">
        <f t="shared" ca="1" si="94"/>
        <v>0</v>
      </c>
      <c r="O482" s="10">
        <f t="shared" ca="1" si="95"/>
        <v>0</v>
      </c>
      <c r="P482" s="29">
        <f t="shared" ca="1" si="96"/>
        <v>0</v>
      </c>
      <c r="Q482" s="12">
        <f t="shared" ca="1" si="97"/>
        <v>-347600</v>
      </c>
      <c r="R482" s="10">
        <f t="shared" ca="1" si="98"/>
        <v>0</v>
      </c>
      <c r="S482" s="10">
        <f t="shared" ca="1" si="88"/>
        <v>-1.3666219043181964</v>
      </c>
      <c r="T482" s="14">
        <f t="shared" ca="1" si="89"/>
        <v>-0.2694781875518778</v>
      </c>
      <c r="U482" s="12">
        <f t="shared" ca="1" si="99"/>
        <v>7900</v>
      </c>
      <c r="V482" s="14">
        <f t="shared" ca="1" si="100"/>
        <v>-4500</v>
      </c>
      <c r="W482" s="12">
        <f t="shared" ca="1" si="90"/>
        <v>0</v>
      </c>
      <c r="X482" s="7">
        <f ca="1">AVERAGE(E482:OFFSET(F482,-$X$5+1,0))</f>
        <v>8098.2</v>
      </c>
      <c r="Y482" s="7">
        <f ca="1">AVERAGE(E482:OFFSET(F482,-$Y$5+1,0))</f>
        <v>8249.2999999999993</v>
      </c>
      <c r="Z482" s="7">
        <f t="shared" ca="1" si="92"/>
        <v>0</v>
      </c>
    </row>
    <row r="483" spans="1:26">
      <c r="A483" s="3" t="s">
        <v>46</v>
      </c>
      <c r="B483" s="4">
        <v>42354</v>
      </c>
      <c r="C483" s="3">
        <v>8180</v>
      </c>
      <c r="D483" s="3">
        <v>8209</v>
      </c>
      <c r="E483" s="3">
        <v>8112</v>
      </c>
      <c r="F483" s="3">
        <v>8198</v>
      </c>
      <c r="G483" s="3">
        <v>87705</v>
      </c>
      <c r="H483" s="3">
        <v>1.2749999999999999</v>
      </c>
      <c r="I483" s="2">
        <f t="shared" si="101"/>
        <v>1</v>
      </c>
      <c r="J483" s="10">
        <f t="shared" si="103"/>
        <v>114</v>
      </c>
      <c r="K483" s="10">
        <f t="shared" si="102"/>
        <v>18</v>
      </c>
      <c r="L483" s="10">
        <f t="shared" ca="1" si="91"/>
        <v>0</v>
      </c>
      <c r="M483" s="10">
        <f t="shared" si="93"/>
        <v>0</v>
      </c>
      <c r="N483" s="30">
        <f t="shared" si="94"/>
        <v>0</v>
      </c>
      <c r="O483" s="10">
        <f t="shared" si="95"/>
        <v>0</v>
      </c>
      <c r="P483" s="29">
        <f t="shared" ca="1" si="96"/>
        <v>0</v>
      </c>
      <c r="Q483" s="12">
        <f t="shared" ca="1" si="97"/>
        <v>-347600</v>
      </c>
      <c r="R483" s="10">
        <f t="shared" ca="1" si="98"/>
        <v>0</v>
      </c>
      <c r="S483" s="10">
        <f t="shared" ca="1" si="88"/>
        <v>-1.3666219043181964</v>
      </c>
      <c r="T483" s="14">
        <f t="shared" ca="1" si="89"/>
        <v>-0.26944888609082235</v>
      </c>
      <c r="U483" s="12">
        <f t="shared" ca="1" si="99"/>
        <v>7900</v>
      </c>
      <c r="V483" s="14">
        <f t="shared" ca="1" si="100"/>
        <v>-4500</v>
      </c>
      <c r="W483" s="12">
        <f t="shared" ca="1" si="90"/>
        <v>0</v>
      </c>
      <c r="X483" s="7">
        <f ca="1">AVERAGE(E483:OFFSET(F483,-$X$5+1,0))</f>
        <v>8085.9</v>
      </c>
      <c r="Y483" s="7">
        <f ca="1">AVERAGE(E483:OFFSET(F483,-$Y$5+1,0))</f>
        <v>8221.4500000000007</v>
      </c>
      <c r="Z483" s="7">
        <f t="shared" ca="1" si="92"/>
        <v>0</v>
      </c>
    </row>
    <row r="484" spans="1:26">
      <c r="A484" s="3" t="s">
        <v>47</v>
      </c>
      <c r="B484" s="4">
        <v>42355</v>
      </c>
      <c r="C484" s="3">
        <v>8202</v>
      </c>
      <c r="D484" s="3">
        <v>8303</v>
      </c>
      <c r="E484" s="3">
        <v>8176</v>
      </c>
      <c r="F484" s="3">
        <v>8281</v>
      </c>
      <c r="G484" s="3">
        <v>144410</v>
      </c>
      <c r="H484" s="3">
        <v>1.2749999999999999</v>
      </c>
      <c r="I484" s="2">
        <f t="shared" si="101"/>
        <v>0</v>
      </c>
      <c r="J484" s="10">
        <f t="shared" si="103"/>
        <v>4</v>
      </c>
      <c r="K484" s="10">
        <f t="shared" si="102"/>
        <v>79</v>
      </c>
      <c r="L484" s="10">
        <f t="shared" ca="1" si="91"/>
        <v>0</v>
      </c>
      <c r="M484" s="10">
        <f t="shared" ca="1" si="93"/>
        <v>0</v>
      </c>
      <c r="N484" s="30">
        <f t="shared" ca="1" si="94"/>
        <v>0</v>
      </c>
      <c r="O484" s="10">
        <f t="shared" ca="1" si="95"/>
        <v>0</v>
      </c>
      <c r="P484" s="29">
        <f t="shared" ca="1" si="96"/>
        <v>0</v>
      </c>
      <c r="Q484" s="12">
        <f t="shared" ca="1" si="97"/>
        <v>-347600</v>
      </c>
      <c r="R484" s="10">
        <f t="shared" ca="1" si="98"/>
        <v>0</v>
      </c>
      <c r="S484" s="10">
        <f t="shared" ca="1" si="88"/>
        <v>-1.3666219043181964</v>
      </c>
      <c r="T484" s="14">
        <f t="shared" ca="1" si="89"/>
        <v>-0.27319564081186337</v>
      </c>
      <c r="U484" s="12">
        <f t="shared" ca="1" si="99"/>
        <v>7900</v>
      </c>
      <c r="V484" s="14">
        <f t="shared" ca="1" si="100"/>
        <v>-4500</v>
      </c>
      <c r="W484" s="12">
        <f t="shared" ca="1" si="90"/>
        <v>0</v>
      </c>
      <c r="X484" s="7">
        <f ca="1">AVERAGE(E484:OFFSET(F484,-$X$5+1,0))</f>
        <v>8102.7</v>
      </c>
      <c r="Y484" s="7">
        <f ca="1">AVERAGE(E484:OFFSET(F484,-$Y$5+1,0))</f>
        <v>8202.35</v>
      </c>
      <c r="Z484" s="7">
        <f t="shared" ca="1" si="92"/>
        <v>0</v>
      </c>
    </row>
    <row r="485" spans="1:26">
      <c r="A485" s="3" t="s">
        <v>47</v>
      </c>
      <c r="B485" s="4">
        <v>42356</v>
      </c>
      <c r="C485" s="3">
        <v>8248</v>
      </c>
      <c r="D485" s="3">
        <v>8319</v>
      </c>
      <c r="E485" s="3">
        <v>8206</v>
      </c>
      <c r="F485" s="3">
        <v>8231</v>
      </c>
      <c r="G485" s="3">
        <v>145205</v>
      </c>
      <c r="H485" s="3">
        <v>1.2749999999999999</v>
      </c>
      <c r="I485" s="2">
        <f t="shared" si="101"/>
        <v>0</v>
      </c>
      <c r="J485" s="10">
        <f t="shared" si="103"/>
        <v>-33</v>
      </c>
      <c r="K485" s="10">
        <f t="shared" si="102"/>
        <v>-17</v>
      </c>
      <c r="L485" s="10">
        <f t="shared" ca="1" si="91"/>
        <v>0</v>
      </c>
      <c r="M485" s="10">
        <f t="shared" ca="1" si="93"/>
        <v>0</v>
      </c>
      <c r="N485" s="30">
        <f t="shared" ca="1" si="94"/>
        <v>0</v>
      </c>
      <c r="O485" s="10">
        <f t="shared" ca="1" si="95"/>
        <v>0</v>
      </c>
      <c r="P485" s="29">
        <f t="shared" ca="1" si="96"/>
        <v>0</v>
      </c>
      <c r="Q485" s="12">
        <f t="shared" ca="1" si="97"/>
        <v>-347600</v>
      </c>
      <c r="R485" s="10">
        <f t="shared" ca="1" si="98"/>
        <v>0</v>
      </c>
      <c r="S485" s="10">
        <f t="shared" ca="1" si="88"/>
        <v>-1.5010568716598867</v>
      </c>
      <c r="T485" s="14">
        <f t="shared" ca="1" si="89"/>
        <v>-0.287342867415742</v>
      </c>
      <c r="U485" s="12">
        <f t="shared" ca="1" si="99"/>
        <v>7900</v>
      </c>
      <c r="V485" s="14">
        <f t="shared" ca="1" si="100"/>
        <v>-4500</v>
      </c>
      <c r="W485" s="12">
        <f t="shared" ca="1" si="90"/>
        <v>0</v>
      </c>
      <c r="X485" s="7">
        <f ca="1">AVERAGE(E485:OFFSET(F485,-$X$5+1,0))</f>
        <v>8132.5</v>
      </c>
      <c r="Y485" s="7">
        <f ca="1">AVERAGE(E485:OFFSET(F485,-$Y$5+1,0))</f>
        <v>8188.05</v>
      </c>
      <c r="Z485" s="7">
        <f t="shared" ca="1" si="92"/>
        <v>0</v>
      </c>
    </row>
    <row r="486" spans="1:26">
      <c r="A486" s="3" t="s">
        <v>47</v>
      </c>
      <c r="B486" s="4">
        <v>42359</v>
      </c>
      <c r="C486" s="3">
        <v>8173</v>
      </c>
      <c r="D486" s="3">
        <v>8283</v>
      </c>
      <c r="E486" s="3">
        <v>8133</v>
      </c>
      <c r="F486" s="3">
        <v>8280</v>
      </c>
      <c r="G486" s="3">
        <v>137963</v>
      </c>
      <c r="H486" s="3">
        <v>1.2050000000000001</v>
      </c>
      <c r="I486" s="2">
        <f t="shared" si="101"/>
        <v>0</v>
      </c>
      <c r="J486" s="10">
        <f t="shared" si="103"/>
        <v>-58</v>
      </c>
      <c r="K486" s="10">
        <f t="shared" si="102"/>
        <v>107</v>
      </c>
      <c r="L486" s="10">
        <f t="shared" ca="1" si="91"/>
        <v>1</v>
      </c>
      <c r="M486" s="10">
        <f t="shared" ca="1" si="93"/>
        <v>0</v>
      </c>
      <c r="N486" s="30">
        <f t="shared" ca="1" si="94"/>
        <v>0</v>
      </c>
      <c r="O486" s="10">
        <f t="shared" ca="1" si="95"/>
        <v>0</v>
      </c>
      <c r="P486" s="29">
        <f t="shared" ca="1" si="96"/>
        <v>0</v>
      </c>
      <c r="Q486" s="12">
        <f t="shared" ca="1" si="97"/>
        <v>-347600</v>
      </c>
      <c r="R486" s="10">
        <f t="shared" ca="1" si="98"/>
        <v>0</v>
      </c>
      <c r="S486" s="10">
        <f t="shared" ca="1" si="88"/>
        <v>-1.5439299672968014</v>
      </c>
      <c r="T486" s="14">
        <f t="shared" ca="1" si="89"/>
        <v>-0.29163263488405594</v>
      </c>
      <c r="U486" s="12">
        <f t="shared" ca="1" si="99"/>
        <v>7900</v>
      </c>
      <c r="V486" s="14">
        <f t="shared" ca="1" si="100"/>
        <v>-4500</v>
      </c>
      <c r="W486" s="12">
        <f t="shared" ca="1" si="90"/>
        <v>0</v>
      </c>
      <c r="X486" s="7">
        <f ca="1">AVERAGE(E486:OFFSET(F486,-$X$5+1,0))</f>
        <v>8173.1</v>
      </c>
      <c r="Y486" s="7">
        <f ca="1">AVERAGE(E486:OFFSET(F486,-$Y$5+1,0))</f>
        <v>8162.55</v>
      </c>
      <c r="Z486" s="7">
        <f t="shared" ca="1" si="92"/>
        <v>1</v>
      </c>
    </row>
    <row r="487" spans="1:26">
      <c r="A487" s="3" t="s">
        <v>47</v>
      </c>
      <c r="B487" s="4">
        <v>42360</v>
      </c>
      <c r="C487" s="3">
        <v>8257</v>
      </c>
      <c r="D487" s="3">
        <v>8297</v>
      </c>
      <c r="E487" s="3">
        <v>8220</v>
      </c>
      <c r="F487" s="3">
        <v>8277</v>
      </c>
      <c r="G487" s="3">
        <v>126517</v>
      </c>
      <c r="H487" s="3">
        <v>1.2050000000000001</v>
      </c>
      <c r="I487" s="2">
        <f t="shared" si="101"/>
        <v>0</v>
      </c>
      <c r="J487" s="10">
        <f t="shared" si="103"/>
        <v>-23</v>
      </c>
      <c r="K487" s="10">
        <f t="shared" si="102"/>
        <v>20</v>
      </c>
      <c r="L487" s="10">
        <f t="shared" ca="1" si="91"/>
        <v>0</v>
      </c>
      <c r="M487" s="10">
        <f t="shared" ca="1" si="93"/>
        <v>1</v>
      </c>
      <c r="N487" s="30">
        <f t="shared" ca="1" si="94"/>
        <v>1651400</v>
      </c>
      <c r="O487" s="10">
        <f t="shared" ca="1" si="95"/>
        <v>1651400</v>
      </c>
      <c r="P487" s="29">
        <f t="shared" ca="1" si="96"/>
        <v>3500</v>
      </c>
      <c r="Q487" s="12">
        <f t="shared" ca="1" si="97"/>
        <v>-344100</v>
      </c>
      <c r="R487" s="10">
        <f t="shared" ca="1" si="98"/>
        <v>0.21194138306891122</v>
      </c>
      <c r="S487" s="10">
        <f t="shared" ca="1" si="88"/>
        <v>-1.4380072407026983</v>
      </c>
      <c r="T487" s="14">
        <f t="shared" ca="1" si="89"/>
        <v>-0.28132084899898763</v>
      </c>
      <c r="U487" s="12">
        <f t="shared" ca="1" si="99"/>
        <v>7900</v>
      </c>
      <c r="V487" s="14">
        <f t="shared" ca="1" si="100"/>
        <v>-4455.6962025316452</v>
      </c>
      <c r="W487" s="12">
        <f t="shared" ca="1" si="90"/>
        <v>0</v>
      </c>
      <c r="X487" s="7">
        <f ca="1">AVERAGE(E487:OFFSET(F487,-$X$5+1,0))</f>
        <v>8211.4</v>
      </c>
      <c r="Y487" s="7">
        <f ca="1">AVERAGE(E487:OFFSET(F487,-$Y$5+1,0))</f>
        <v>8154.8</v>
      </c>
      <c r="Z487" s="7">
        <f t="shared" ca="1" si="92"/>
        <v>0</v>
      </c>
    </row>
    <row r="488" spans="1:26">
      <c r="A488" s="3" t="s">
        <v>47</v>
      </c>
      <c r="B488" s="4">
        <v>42361</v>
      </c>
      <c r="C488" s="3">
        <v>8301</v>
      </c>
      <c r="D488" s="3">
        <v>8347</v>
      </c>
      <c r="E488" s="3">
        <v>8267</v>
      </c>
      <c r="F488" s="3">
        <v>8290</v>
      </c>
      <c r="G488" s="3">
        <v>134900</v>
      </c>
      <c r="H488" s="3">
        <v>1.2050000000000001</v>
      </c>
      <c r="I488" s="2">
        <f t="shared" si="101"/>
        <v>0</v>
      </c>
      <c r="J488" s="10">
        <f t="shared" si="103"/>
        <v>24</v>
      </c>
      <c r="K488" s="10">
        <f t="shared" si="102"/>
        <v>-11</v>
      </c>
      <c r="L488" s="10">
        <f t="shared" ca="1" si="91"/>
        <v>0</v>
      </c>
      <c r="M488" s="10">
        <f t="shared" ca="1" si="93"/>
        <v>1</v>
      </c>
      <c r="N488" s="30">
        <f t="shared" ca="1" si="94"/>
        <v>0</v>
      </c>
      <c r="O488" s="10">
        <f t="shared" ca="1" si="95"/>
        <v>1651400</v>
      </c>
      <c r="P488" s="29">
        <f t="shared" ca="1" si="96"/>
        <v>2600</v>
      </c>
      <c r="Q488" s="12">
        <f t="shared" ca="1" si="97"/>
        <v>-341500</v>
      </c>
      <c r="R488" s="10">
        <f t="shared" ca="1" si="98"/>
        <v>0.15744217027976262</v>
      </c>
      <c r="S488" s="10">
        <f t="shared" ca="1" si="88"/>
        <v>-1.4794616454635063</v>
      </c>
      <c r="T488" s="14">
        <f t="shared" ca="1" si="89"/>
        <v>-0.28590298597261316</v>
      </c>
      <c r="U488" s="12">
        <f t="shared" ca="1" si="99"/>
        <v>7900</v>
      </c>
      <c r="V488" s="14">
        <f t="shared" ca="1" si="100"/>
        <v>-4422.7848101265827</v>
      </c>
      <c r="W488" s="12">
        <f t="shared" ca="1" si="90"/>
        <v>0</v>
      </c>
      <c r="X488" s="7">
        <f ca="1">AVERAGE(E488:OFFSET(F488,-$X$5+1,0))</f>
        <v>8236.1</v>
      </c>
      <c r="Y488" s="7">
        <f ca="1">AVERAGE(E488:OFFSET(F488,-$Y$5+1,0))</f>
        <v>8161</v>
      </c>
      <c r="Z488" s="7">
        <f t="shared" ca="1" si="92"/>
        <v>0</v>
      </c>
    </row>
    <row r="489" spans="1:26">
      <c r="A489" s="3" t="s">
        <v>47</v>
      </c>
      <c r="B489" s="4">
        <v>42362</v>
      </c>
      <c r="C489" s="3">
        <v>8346</v>
      </c>
      <c r="D489" s="3">
        <v>8388</v>
      </c>
      <c r="E489" s="3">
        <v>8293</v>
      </c>
      <c r="F489" s="3">
        <v>8317</v>
      </c>
      <c r="G489" s="3">
        <v>114489</v>
      </c>
      <c r="H489" s="3">
        <v>1.2050000000000001</v>
      </c>
      <c r="I489" s="2">
        <f t="shared" si="101"/>
        <v>0</v>
      </c>
      <c r="J489" s="10">
        <f t="shared" si="103"/>
        <v>56</v>
      </c>
      <c r="K489" s="10">
        <f t="shared" si="102"/>
        <v>-29</v>
      </c>
      <c r="L489" s="10">
        <f t="shared" ca="1" si="91"/>
        <v>0</v>
      </c>
      <c r="M489" s="10">
        <f t="shared" ca="1" si="93"/>
        <v>1</v>
      </c>
      <c r="N489" s="30">
        <f t="shared" ca="1" si="94"/>
        <v>0</v>
      </c>
      <c r="O489" s="10">
        <f t="shared" ca="1" si="95"/>
        <v>1651400</v>
      </c>
      <c r="P489" s="29">
        <f t="shared" ca="1" si="96"/>
        <v>5400</v>
      </c>
      <c r="Q489" s="12">
        <f t="shared" ca="1" si="97"/>
        <v>-336100</v>
      </c>
      <c r="R489" s="10">
        <f t="shared" ca="1" si="98"/>
        <v>0.32699527673489159</v>
      </c>
      <c r="S489" s="10">
        <f t="shared" ca="1" si="88"/>
        <v>-1.4287951507558521</v>
      </c>
      <c r="T489" s="14">
        <f t="shared" ca="1" si="89"/>
        <v>-0.28051754790969041</v>
      </c>
      <c r="U489" s="12">
        <f t="shared" ca="1" si="99"/>
        <v>7900</v>
      </c>
      <c r="V489" s="14">
        <f t="shared" ca="1" si="100"/>
        <v>-4354.4303797468356</v>
      </c>
      <c r="W489" s="12">
        <f t="shared" ca="1" si="90"/>
        <v>0</v>
      </c>
      <c r="X489" s="7">
        <f ca="1">AVERAGE(E489:OFFSET(F489,-$X$5+1,0))</f>
        <v>8251.4</v>
      </c>
      <c r="Y489" s="7">
        <f ca="1">AVERAGE(E489:OFFSET(F489,-$Y$5+1,0))</f>
        <v>8177.05</v>
      </c>
      <c r="Z489" s="7">
        <f t="shared" ca="1" si="92"/>
        <v>0</v>
      </c>
    </row>
    <row r="490" spans="1:26">
      <c r="A490" s="3" t="s">
        <v>47</v>
      </c>
      <c r="B490" s="4">
        <v>42363</v>
      </c>
      <c r="C490" s="3">
        <v>8335</v>
      </c>
      <c r="D490" s="3">
        <v>8378</v>
      </c>
      <c r="E490" s="3">
        <v>8306</v>
      </c>
      <c r="F490" s="3">
        <v>8376</v>
      </c>
      <c r="G490" s="3">
        <v>69641</v>
      </c>
      <c r="H490" s="3">
        <v>1.2050000000000001</v>
      </c>
      <c r="I490" s="2">
        <f t="shared" si="101"/>
        <v>0</v>
      </c>
      <c r="J490" s="10">
        <f t="shared" si="103"/>
        <v>18</v>
      </c>
      <c r="K490" s="10">
        <f t="shared" si="102"/>
        <v>41</v>
      </c>
      <c r="L490" s="10">
        <f t="shared" ca="1" si="91"/>
        <v>0</v>
      </c>
      <c r="M490" s="10">
        <f t="shared" ca="1" si="93"/>
        <v>1</v>
      </c>
      <c r="N490" s="30">
        <f t="shared" ca="1" si="94"/>
        <v>0</v>
      </c>
      <c r="O490" s="10">
        <f t="shared" ca="1" si="95"/>
        <v>1651400</v>
      </c>
      <c r="P490" s="29">
        <f t="shared" ca="1" si="96"/>
        <v>11800</v>
      </c>
      <c r="Q490" s="12">
        <f t="shared" ca="1" si="97"/>
        <v>-324300</v>
      </c>
      <c r="R490" s="10">
        <f t="shared" ca="1" si="98"/>
        <v>0.71454523434661499</v>
      </c>
      <c r="S490" s="10">
        <f t="shared" ca="1" si="88"/>
        <v>-1.3716801930854052</v>
      </c>
      <c r="T490" s="14">
        <f t="shared" ca="1" si="89"/>
        <v>-0.27392818944322278</v>
      </c>
      <c r="U490" s="12">
        <f t="shared" ca="1" si="99"/>
        <v>7900</v>
      </c>
      <c r="V490" s="14">
        <f t="shared" ca="1" si="100"/>
        <v>-4205.0632911392404</v>
      </c>
      <c r="W490" s="12">
        <f t="shared" ca="1" si="90"/>
        <v>0</v>
      </c>
      <c r="X490" s="7">
        <f ca="1">AVERAGE(E490:OFFSET(F490,-$X$5+1,0))</f>
        <v>8275.9</v>
      </c>
      <c r="Y490" s="7">
        <f ca="1">AVERAGE(E490:OFFSET(F490,-$Y$5+1,0))</f>
        <v>8204.2000000000007</v>
      </c>
      <c r="Z490" s="7">
        <f t="shared" ca="1" si="92"/>
        <v>0</v>
      </c>
    </row>
    <row r="491" spans="1:26">
      <c r="A491" s="3" t="s">
        <v>47</v>
      </c>
      <c r="B491" s="4">
        <v>42366</v>
      </c>
      <c r="C491" s="3">
        <v>8370</v>
      </c>
      <c r="D491" s="3">
        <v>8394</v>
      </c>
      <c r="E491" s="3">
        <v>8349</v>
      </c>
      <c r="F491" s="3">
        <v>8356</v>
      </c>
      <c r="G491" s="3">
        <v>74401</v>
      </c>
      <c r="H491" s="3">
        <v>1.2050000000000001</v>
      </c>
      <c r="I491" s="2">
        <f t="shared" si="101"/>
        <v>0</v>
      </c>
      <c r="J491" s="10">
        <f t="shared" si="103"/>
        <v>-6</v>
      </c>
      <c r="K491" s="10">
        <f t="shared" si="102"/>
        <v>-14</v>
      </c>
      <c r="L491" s="10">
        <f t="shared" ca="1" si="91"/>
        <v>0</v>
      </c>
      <c r="M491" s="10">
        <f t="shared" ca="1" si="93"/>
        <v>1</v>
      </c>
      <c r="N491" s="30">
        <f t="shared" ca="1" si="94"/>
        <v>0</v>
      </c>
      <c r="O491" s="10">
        <f t="shared" ca="1" si="95"/>
        <v>1651400</v>
      </c>
      <c r="P491" s="29">
        <f t="shared" ca="1" si="96"/>
        <v>-4000</v>
      </c>
      <c r="Q491" s="12">
        <f t="shared" ca="1" si="97"/>
        <v>-328300</v>
      </c>
      <c r="R491" s="10">
        <f t="shared" ca="1" si="98"/>
        <v>-0.24221872350732712</v>
      </c>
      <c r="S491" s="10">
        <f t="shared" ca="1" si="88"/>
        <v>-1.3615468941438744</v>
      </c>
      <c r="T491" s="14">
        <f t="shared" ca="1" si="89"/>
        <v>-0.27280533273955199</v>
      </c>
      <c r="U491" s="12">
        <f t="shared" ca="1" si="99"/>
        <v>7900</v>
      </c>
      <c r="V491" s="14">
        <f t="shared" ca="1" si="100"/>
        <v>-4255.6962025316452</v>
      </c>
      <c r="W491" s="12">
        <f t="shared" ca="1" si="90"/>
        <v>0</v>
      </c>
      <c r="X491" s="7">
        <f ca="1">AVERAGE(E491:OFFSET(F491,-$X$5+1,0))</f>
        <v>8305.1</v>
      </c>
      <c r="Y491" s="7">
        <f ca="1">AVERAGE(E491:OFFSET(F491,-$Y$5+1,0))</f>
        <v>8239.1</v>
      </c>
      <c r="Z491" s="7">
        <f t="shared" ca="1" si="92"/>
        <v>0</v>
      </c>
    </row>
    <row r="492" spans="1:26">
      <c r="A492" s="3" t="s">
        <v>47</v>
      </c>
      <c r="B492" s="4">
        <v>42367</v>
      </c>
      <c r="C492" s="3">
        <v>8321</v>
      </c>
      <c r="D492" s="3">
        <v>8347</v>
      </c>
      <c r="E492" s="3">
        <v>8263</v>
      </c>
      <c r="F492" s="3">
        <v>8287</v>
      </c>
      <c r="G492" s="3">
        <v>110566</v>
      </c>
      <c r="H492" s="3">
        <v>1.2050000000000001</v>
      </c>
      <c r="I492" s="2">
        <f t="shared" si="101"/>
        <v>0</v>
      </c>
      <c r="J492" s="10">
        <f t="shared" si="103"/>
        <v>-35</v>
      </c>
      <c r="K492" s="10">
        <f t="shared" si="102"/>
        <v>-34</v>
      </c>
      <c r="L492" s="10">
        <f t="shared" ca="1" si="91"/>
        <v>0</v>
      </c>
      <c r="M492" s="10">
        <f t="shared" ca="1" si="93"/>
        <v>1</v>
      </c>
      <c r="N492" s="30">
        <f t="shared" ca="1" si="94"/>
        <v>0</v>
      </c>
      <c r="O492" s="10">
        <f t="shared" ca="1" si="95"/>
        <v>1651400</v>
      </c>
      <c r="P492" s="29">
        <f t="shared" ca="1" si="96"/>
        <v>-13800</v>
      </c>
      <c r="Q492" s="12">
        <f t="shared" ca="1" si="97"/>
        <v>-342100</v>
      </c>
      <c r="R492" s="10">
        <f t="shared" ca="1" si="98"/>
        <v>-0.83565459610027859</v>
      </c>
      <c r="S492" s="10">
        <f t="shared" ref="S492:S555" ca="1" si="104">100*SUM(P253:P492)/SUM(N253:N492)</f>
        <v>-1.2463957698082964</v>
      </c>
      <c r="T492" s="14">
        <f t="shared" ca="1" si="89"/>
        <v>-0.26037808779255311</v>
      </c>
      <c r="U492" s="12">
        <f t="shared" ca="1" si="99"/>
        <v>7900</v>
      </c>
      <c r="V492" s="14">
        <f t="shared" ca="1" si="100"/>
        <v>-4430.3797468354433</v>
      </c>
      <c r="W492" s="12">
        <f t="shared" ca="1" si="90"/>
        <v>0</v>
      </c>
      <c r="X492" s="7">
        <f ca="1">AVERAGE(E492:OFFSET(F492,-$X$5+1,0))</f>
        <v>8310.4</v>
      </c>
      <c r="Y492" s="7">
        <f ca="1">AVERAGE(E492:OFFSET(F492,-$Y$5+1,0))</f>
        <v>8260.9</v>
      </c>
      <c r="Z492" s="7">
        <f t="shared" ca="1" si="92"/>
        <v>0</v>
      </c>
    </row>
    <row r="493" spans="1:26">
      <c r="A493" s="3" t="s">
        <v>47</v>
      </c>
      <c r="B493" s="4">
        <v>42368</v>
      </c>
      <c r="C493" s="3">
        <v>8313</v>
      </c>
      <c r="D493" s="3">
        <v>8329</v>
      </c>
      <c r="E493" s="3">
        <v>8226</v>
      </c>
      <c r="F493" s="3">
        <v>8260</v>
      </c>
      <c r="G493" s="3">
        <v>115891</v>
      </c>
      <c r="H493" s="3">
        <v>1.2050000000000001</v>
      </c>
      <c r="I493" s="2">
        <f t="shared" si="101"/>
        <v>0</v>
      </c>
      <c r="J493" s="10">
        <f t="shared" si="103"/>
        <v>26</v>
      </c>
      <c r="K493" s="10">
        <f t="shared" si="102"/>
        <v>-53</v>
      </c>
      <c r="L493" s="10">
        <f t="shared" ca="1" si="91"/>
        <v>0</v>
      </c>
      <c r="M493" s="10">
        <f t="shared" ca="1" si="93"/>
        <v>1</v>
      </c>
      <c r="N493" s="30">
        <f t="shared" ca="1" si="94"/>
        <v>0</v>
      </c>
      <c r="O493" s="10">
        <f t="shared" ca="1" si="95"/>
        <v>1651400</v>
      </c>
      <c r="P493" s="29">
        <f t="shared" ca="1" si="96"/>
        <v>-5400</v>
      </c>
      <c r="Q493" s="12">
        <f t="shared" ca="1" si="97"/>
        <v>-347500</v>
      </c>
      <c r="R493" s="10">
        <f t="shared" ca="1" si="98"/>
        <v>-0.32699527673489159</v>
      </c>
      <c r="S493" s="10">
        <f t="shared" ca="1" si="104"/>
        <v>-1.2592926957338813</v>
      </c>
      <c r="T493" s="14">
        <f t="shared" ref="T493:T556" ca="1" si="105">(S493-AVERAGE(H224:H493))/(_xlfn.STDEV.S(R224:R493)*SQRT(240))</f>
        <v>-0.26154227699266552</v>
      </c>
      <c r="U493" s="12">
        <f t="shared" ca="1" si="99"/>
        <v>7900</v>
      </c>
      <c r="V493" s="14">
        <f t="shared" ca="1" si="100"/>
        <v>-4498.7341772151894</v>
      </c>
      <c r="W493" s="12">
        <f t="shared" ref="W493:W556" ca="1" si="106">MAX(V254:V493)</f>
        <v>0</v>
      </c>
      <c r="X493" s="7">
        <f ca="1">AVERAGE(E493:OFFSET(F493,-$X$5+1,0))</f>
        <v>8303.2999999999993</v>
      </c>
      <c r="Y493" s="7">
        <f ca="1">AVERAGE(E493:OFFSET(F493,-$Y$5+1,0))</f>
        <v>8269.7000000000007</v>
      </c>
      <c r="Z493" s="7">
        <f t="shared" ca="1" si="92"/>
        <v>0</v>
      </c>
    </row>
    <row r="494" spans="1:26">
      <c r="A494" s="3" t="s">
        <v>47</v>
      </c>
      <c r="B494" s="4">
        <v>42369</v>
      </c>
      <c r="C494" s="3">
        <v>8240</v>
      </c>
      <c r="D494" s="3">
        <v>8300</v>
      </c>
      <c r="E494" s="3">
        <v>8234</v>
      </c>
      <c r="F494" s="3">
        <v>8272</v>
      </c>
      <c r="G494" s="3">
        <v>103781</v>
      </c>
      <c r="H494" s="3">
        <v>1.2050000000000001</v>
      </c>
      <c r="I494" s="2">
        <f t="shared" si="101"/>
        <v>0</v>
      </c>
      <c r="J494" s="10">
        <f t="shared" si="103"/>
        <v>-20</v>
      </c>
      <c r="K494" s="10">
        <f t="shared" si="102"/>
        <v>32</v>
      </c>
      <c r="L494" s="10">
        <f t="shared" ca="1" si="91"/>
        <v>0</v>
      </c>
      <c r="M494" s="10">
        <f t="shared" ca="1" si="93"/>
        <v>1</v>
      </c>
      <c r="N494" s="30">
        <f t="shared" ca="1" si="94"/>
        <v>0</v>
      </c>
      <c r="O494" s="10">
        <f t="shared" ca="1" si="95"/>
        <v>1651400</v>
      </c>
      <c r="P494" s="29">
        <f t="shared" ca="1" si="96"/>
        <v>2400</v>
      </c>
      <c r="Q494" s="12">
        <f t="shared" ca="1" si="97"/>
        <v>-345100</v>
      </c>
      <c r="R494" s="10">
        <f t="shared" ca="1" si="98"/>
        <v>0.14533123410439627</v>
      </c>
      <c r="S494" s="10">
        <f t="shared" ca="1" si="104"/>
        <v>-1.3113410039335625</v>
      </c>
      <c r="T494" s="14">
        <f t="shared" ca="1" si="105"/>
        <v>-0.26675206397278534</v>
      </c>
      <c r="U494" s="12">
        <f t="shared" ca="1" si="99"/>
        <v>7900</v>
      </c>
      <c r="V494" s="14">
        <f t="shared" ca="1" si="100"/>
        <v>-4468.3544303797471</v>
      </c>
      <c r="W494" s="12">
        <f t="shared" ca="1" si="106"/>
        <v>0</v>
      </c>
      <c r="X494" s="7">
        <f ca="1">AVERAGE(E494:OFFSET(F494,-$X$5+1,0))</f>
        <v>8292.9</v>
      </c>
      <c r="Y494" s="7">
        <f ca="1">AVERAGE(E494:OFFSET(F494,-$Y$5+1,0))</f>
        <v>8272.15</v>
      </c>
      <c r="Z494" s="7">
        <f t="shared" ca="1" si="92"/>
        <v>0</v>
      </c>
    </row>
    <row r="495" spans="1:26">
      <c r="A495" s="3" t="s">
        <v>47</v>
      </c>
      <c r="B495" s="4">
        <v>42373</v>
      </c>
      <c r="C495" s="3">
        <v>8262</v>
      </c>
      <c r="D495" s="3">
        <v>8294</v>
      </c>
      <c r="E495" s="3">
        <v>8036</v>
      </c>
      <c r="F495" s="3">
        <v>8075</v>
      </c>
      <c r="G495" s="3">
        <v>191331</v>
      </c>
      <c r="H495" s="3">
        <v>1.2050000000000001</v>
      </c>
      <c r="I495" s="2">
        <f t="shared" si="101"/>
        <v>0</v>
      </c>
      <c r="J495" s="10">
        <f t="shared" si="103"/>
        <v>-10</v>
      </c>
      <c r="K495" s="10">
        <f t="shared" si="102"/>
        <v>-187</v>
      </c>
      <c r="L495" s="10">
        <f t="shared" ca="1" si="91"/>
        <v>-1</v>
      </c>
      <c r="M495" s="10">
        <f t="shared" ca="1" si="93"/>
        <v>1</v>
      </c>
      <c r="N495" s="30">
        <f t="shared" ca="1" si="94"/>
        <v>0</v>
      </c>
      <c r="O495" s="10">
        <f t="shared" ca="1" si="95"/>
        <v>1651400</v>
      </c>
      <c r="P495" s="29">
        <f t="shared" ca="1" si="96"/>
        <v>-39400</v>
      </c>
      <c r="Q495" s="12">
        <f t="shared" ca="1" si="97"/>
        <v>-384500</v>
      </c>
      <c r="R495" s="10">
        <f t="shared" ca="1" si="98"/>
        <v>-2.3858544265471719</v>
      </c>
      <c r="S495" s="10">
        <f t="shared" ca="1" si="104"/>
        <v>-1.4928191758864333</v>
      </c>
      <c r="T495" s="14">
        <f t="shared" ca="1" si="105"/>
        <v>-0.27876760030358244</v>
      </c>
      <c r="U495" s="12">
        <f t="shared" ca="1" si="99"/>
        <v>7900</v>
      </c>
      <c r="V495" s="14">
        <f t="shared" ca="1" si="100"/>
        <v>-4967.0886075949365</v>
      </c>
      <c r="W495" s="12">
        <f t="shared" ca="1" si="106"/>
        <v>0</v>
      </c>
      <c r="X495" s="7">
        <f ca="1">AVERAGE(E495:OFFSET(F495,-$X$5+1,0))</f>
        <v>8235.7999999999993</v>
      </c>
      <c r="Y495" s="7">
        <f ca="1">AVERAGE(E495:OFFSET(F495,-$Y$5+1,0))</f>
        <v>8255.85</v>
      </c>
      <c r="Z495" s="7">
        <f t="shared" ca="1" si="92"/>
        <v>-1</v>
      </c>
    </row>
    <row r="496" spans="1:26">
      <c r="A496" s="3" t="s">
        <v>47</v>
      </c>
      <c r="B496" s="4">
        <v>42374</v>
      </c>
      <c r="C496" s="3">
        <v>8099</v>
      </c>
      <c r="D496" s="3">
        <v>8130</v>
      </c>
      <c r="E496" s="3">
        <v>8011</v>
      </c>
      <c r="F496" s="3">
        <v>8025</v>
      </c>
      <c r="G496" s="3">
        <v>164756</v>
      </c>
      <c r="H496" s="3">
        <v>1.2050000000000001</v>
      </c>
      <c r="I496" s="2">
        <f t="shared" si="101"/>
        <v>0</v>
      </c>
      <c r="J496" s="10">
        <f t="shared" si="103"/>
        <v>24</v>
      </c>
      <c r="K496" s="10">
        <f t="shared" si="102"/>
        <v>-74</v>
      </c>
      <c r="L496" s="10">
        <f t="shared" ca="1" si="91"/>
        <v>0</v>
      </c>
      <c r="M496" s="10">
        <f t="shared" ca="1" si="93"/>
        <v>0</v>
      </c>
      <c r="N496" s="30">
        <f t="shared" ca="1" si="94"/>
        <v>0</v>
      </c>
      <c r="O496" s="10">
        <f t="shared" ca="1" si="95"/>
        <v>0</v>
      </c>
      <c r="P496" s="29">
        <f t="shared" ca="1" si="96"/>
        <v>4300</v>
      </c>
      <c r="Q496" s="12">
        <f t="shared" ca="1" si="97"/>
        <v>-380200</v>
      </c>
      <c r="R496" s="10">
        <f t="shared" ca="1" si="98"/>
        <v>0.26038512777037665</v>
      </c>
      <c r="S496" s="10">
        <f t="shared" ca="1" si="104"/>
        <v>-1.473013182500714</v>
      </c>
      <c r="T496" s="14">
        <f t="shared" ca="1" si="105"/>
        <v>-0.27664730301104606</v>
      </c>
      <c r="U496" s="12">
        <f t="shared" ca="1" si="99"/>
        <v>7900</v>
      </c>
      <c r="V496" s="14">
        <f t="shared" ca="1" si="100"/>
        <v>-4912.658227848101</v>
      </c>
      <c r="W496" s="12">
        <f t="shared" ca="1" si="106"/>
        <v>0</v>
      </c>
      <c r="X496" s="7">
        <f ca="1">AVERAGE(E496:OFFSET(F496,-$X$5+1,0))</f>
        <v>8168.9</v>
      </c>
      <c r="Y496" s="7">
        <f ca="1">AVERAGE(E496:OFFSET(F496,-$Y$5+1,0))</f>
        <v>8237</v>
      </c>
      <c r="Z496" s="7">
        <f t="shared" ca="1" si="92"/>
        <v>0</v>
      </c>
    </row>
    <row r="497" spans="1:26">
      <c r="A497" s="3" t="s">
        <v>47</v>
      </c>
      <c r="B497" s="4">
        <v>42375</v>
      </c>
      <c r="C497" s="3">
        <v>8038</v>
      </c>
      <c r="D497" s="3">
        <v>8048</v>
      </c>
      <c r="E497" s="3">
        <v>7901</v>
      </c>
      <c r="F497" s="3">
        <v>7971</v>
      </c>
      <c r="G497" s="3">
        <v>200598</v>
      </c>
      <c r="H497" s="3">
        <v>1.2050000000000001</v>
      </c>
      <c r="I497" s="2">
        <f t="shared" si="101"/>
        <v>0</v>
      </c>
      <c r="J497" s="10">
        <f t="shared" si="103"/>
        <v>13</v>
      </c>
      <c r="K497" s="10">
        <f t="shared" si="102"/>
        <v>-67</v>
      </c>
      <c r="L497" s="10">
        <f t="shared" ca="1" si="91"/>
        <v>0</v>
      </c>
      <c r="M497" s="10">
        <f t="shared" ca="1" si="93"/>
        <v>0</v>
      </c>
      <c r="N497" s="30">
        <f t="shared" ca="1" si="94"/>
        <v>0</v>
      </c>
      <c r="O497" s="10">
        <f t="shared" ca="1" si="95"/>
        <v>0</v>
      </c>
      <c r="P497" s="29">
        <f t="shared" ca="1" si="96"/>
        <v>0</v>
      </c>
      <c r="Q497" s="12">
        <f t="shared" ca="1" si="97"/>
        <v>-380200</v>
      </c>
      <c r="R497" s="10">
        <f t="shared" ca="1" si="98"/>
        <v>0</v>
      </c>
      <c r="S497" s="10">
        <f t="shared" ca="1" si="104"/>
        <v>-1.473013182500714</v>
      </c>
      <c r="T497" s="14">
        <f t="shared" ca="1" si="105"/>
        <v>-0.27704073328744366</v>
      </c>
      <c r="U497" s="12">
        <f t="shared" ca="1" si="99"/>
        <v>7900</v>
      </c>
      <c r="V497" s="14">
        <f t="shared" ca="1" si="100"/>
        <v>-4912.658227848101</v>
      </c>
      <c r="W497" s="12">
        <f t="shared" ca="1" si="106"/>
        <v>0</v>
      </c>
      <c r="X497" s="7">
        <f ca="1">AVERAGE(E497:OFFSET(F497,-$X$5+1,0))</f>
        <v>8101.1</v>
      </c>
      <c r="Y497" s="7">
        <f ca="1">AVERAGE(E497:OFFSET(F497,-$Y$5+1,0))</f>
        <v>8205.75</v>
      </c>
      <c r="Z497" s="7">
        <f t="shared" ca="1" si="92"/>
        <v>0</v>
      </c>
    </row>
    <row r="498" spans="1:26">
      <c r="A498" s="3" t="s">
        <v>47</v>
      </c>
      <c r="B498" s="4">
        <v>42376</v>
      </c>
      <c r="C498" s="3">
        <v>7956</v>
      </c>
      <c r="D498" s="3">
        <v>7971</v>
      </c>
      <c r="E498" s="3">
        <v>7731</v>
      </c>
      <c r="F498" s="3">
        <v>7799</v>
      </c>
      <c r="G498" s="3">
        <v>246399</v>
      </c>
      <c r="H498" s="3">
        <v>1.2050000000000001</v>
      </c>
      <c r="I498" s="2">
        <f t="shared" si="101"/>
        <v>0</v>
      </c>
      <c r="J498" s="10">
        <f t="shared" si="103"/>
        <v>-15</v>
      </c>
      <c r="K498" s="10">
        <f t="shared" si="102"/>
        <v>-157</v>
      </c>
      <c r="L498" s="10">
        <f t="shared" ca="1" si="91"/>
        <v>0</v>
      </c>
      <c r="M498" s="10">
        <f t="shared" ca="1" si="93"/>
        <v>0</v>
      </c>
      <c r="N498" s="30">
        <f t="shared" ca="1" si="94"/>
        <v>0</v>
      </c>
      <c r="O498" s="10">
        <f t="shared" ca="1" si="95"/>
        <v>0</v>
      </c>
      <c r="P498" s="29">
        <f t="shared" ca="1" si="96"/>
        <v>0</v>
      </c>
      <c r="Q498" s="12">
        <f t="shared" ca="1" si="97"/>
        <v>-380200</v>
      </c>
      <c r="R498" s="10">
        <f t="shared" ca="1" si="98"/>
        <v>0</v>
      </c>
      <c r="S498" s="10">
        <f t="shared" ca="1" si="104"/>
        <v>-1.473013182500714</v>
      </c>
      <c r="T498" s="14">
        <f t="shared" ca="1" si="105"/>
        <v>-0.27796773902148048</v>
      </c>
      <c r="U498" s="12">
        <f t="shared" ca="1" si="99"/>
        <v>7900</v>
      </c>
      <c r="V498" s="14">
        <f t="shared" ca="1" si="100"/>
        <v>-4912.658227848101</v>
      </c>
      <c r="W498" s="12">
        <f t="shared" ca="1" si="106"/>
        <v>0</v>
      </c>
      <c r="X498" s="7">
        <f ca="1">AVERAGE(E498:OFFSET(F498,-$X$5+1,0))</f>
        <v>8005.5</v>
      </c>
      <c r="Y498" s="7">
        <f ca="1">AVERAGE(E498:OFFSET(F498,-$Y$5+1,0))</f>
        <v>8154.4</v>
      </c>
      <c r="Z498" s="7">
        <f t="shared" ca="1" si="92"/>
        <v>0</v>
      </c>
    </row>
    <row r="499" spans="1:26">
      <c r="A499" s="3" t="s">
        <v>47</v>
      </c>
      <c r="B499" s="4">
        <v>42377</v>
      </c>
      <c r="C499" s="3">
        <v>7755</v>
      </c>
      <c r="D499" s="3">
        <v>7884</v>
      </c>
      <c r="E499" s="3">
        <v>7734</v>
      </c>
      <c r="F499" s="3">
        <v>7868</v>
      </c>
      <c r="G499" s="3">
        <v>182333</v>
      </c>
      <c r="H499" s="3">
        <v>1.2050000000000001</v>
      </c>
      <c r="I499" s="2">
        <f t="shared" si="101"/>
        <v>0</v>
      </c>
      <c r="J499" s="10">
        <f t="shared" si="103"/>
        <v>-44</v>
      </c>
      <c r="K499" s="10">
        <f t="shared" si="102"/>
        <v>113</v>
      </c>
      <c r="L499" s="10">
        <f t="shared" ca="1" si="91"/>
        <v>0</v>
      </c>
      <c r="M499" s="10">
        <f t="shared" ca="1" si="93"/>
        <v>0</v>
      </c>
      <c r="N499" s="30">
        <f t="shared" ca="1" si="94"/>
        <v>0</v>
      </c>
      <c r="O499" s="10">
        <f t="shared" ca="1" si="95"/>
        <v>0</v>
      </c>
      <c r="P499" s="29">
        <f t="shared" ca="1" si="96"/>
        <v>0</v>
      </c>
      <c r="Q499" s="12">
        <f t="shared" ca="1" si="97"/>
        <v>-380200</v>
      </c>
      <c r="R499" s="10">
        <f t="shared" ca="1" si="98"/>
        <v>0</v>
      </c>
      <c r="S499" s="10">
        <f t="shared" ca="1" si="104"/>
        <v>-1.6147374353400559</v>
      </c>
      <c r="T499" s="14">
        <f t="shared" ca="1" si="105"/>
        <v>-0.29743176162749457</v>
      </c>
      <c r="U499" s="12">
        <f t="shared" ca="1" si="99"/>
        <v>7900</v>
      </c>
      <c r="V499" s="14">
        <f t="shared" ca="1" si="100"/>
        <v>-4912.658227848101</v>
      </c>
      <c r="W499" s="12">
        <f t="shared" ca="1" si="106"/>
        <v>0</v>
      </c>
      <c r="X499" s="7">
        <f ca="1">AVERAGE(E499:OFFSET(F499,-$X$5+1,0))</f>
        <v>7915.1</v>
      </c>
      <c r="Y499" s="7">
        <f ca="1">AVERAGE(E499:OFFSET(F499,-$Y$5+1,0))</f>
        <v>8104</v>
      </c>
      <c r="Z499" s="7">
        <f t="shared" ca="1" si="92"/>
        <v>0</v>
      </c>
    </row>
    <row r="500" spans="1:26">
      <c r="A500" s="3" t="s">
        <v>47</v>
      </c>
      <c r="B500" s="4">
        <v>42380</v>
      </c>
      <c r="C500" s="3">
        <v>7730</v>
      </c>
      <c r="D500" s="3">
        <v>7793</v>
      </c>
      <c r="E500" s="3">
        <v>7672</v>
      </c>
      <c r="F500" s="3">
        <v>7740</v>
      </c>
      <c r="G500" s="3">
        <v>184748</v>
      </c>
      <c r="H500" s="3">
        <v>1.2050000000000001</v>
      </c>
      <c r="I500" s="2">
        <f t="shared" si="101"/>
        <v>0</v>
      </c>
      <c r="J500" s="10">
        <f t="shared" si="103"/>
        <v>-138</v>
      </c>
      <c r="K500" s="10">
        <f t="shared" si="102"/>
        <v>10</v>
      </c>
      <c r="L500" s="10">
        <f t="shared" ca="1" si="91"/>
        <v>0</v>
      </c>
      <c r="M500" s="10">
        <f t="shared" ca="1" si="93"/>
        <v>0</v>
      </c>
      <c r="N500" s="30">
        <f t="shared" ca="1" si="94"/>
        <v>0</v>
      </c>
      <c r="O500" s="10">
        <f t="shared" ca="1" si="95"/>
        <v>0</v>
      </c>
      <c r="P500" s="29">
        <f t="shared" ca="1" si="96"/>
        <v>0</v>
      </c>
      <c r="Q500" s="12">
        <f t="shared" ca="1" si="97"/>
        <v>-380200</v>
      </c>
      <c r="R500" s="10">
        <f t="shared" ca="1" si="98"/>
        <v>0</v>
      </c>
      <c r="S500" s="10">
        <f t="shared" ca="1" si="104"/>
        <v>-1.5342269991747681</v>
      </c>
      <c r="T500" s="14">
        <f t="shared" ca="1" si="105"/>
        <v>-0.28927537860082014</v>
      </c>
      <c r="U500" s="12">
        <f t="shared" ca="1" si="99"/>
        <v>7900</v>
      </c>
      <c r="V500" s="14">
        <f t="shared" ca="1" si="100"/>
        <v>-4912.658227848101</v>
      </c>
      <c r="W500" s="12">
        <f t="shared" ca="1" si="106"/>
        <v>0</v>
      </c>
      <c r="X500" s="7">
        <f ca="1">AVERAGE(E500:OFFSET(F500,-$X$5+1,0))</f>
        <v>7845.2</v>
      </c>
      <c r="Y500" s="7">
        <f ca="1">AVERAGE(E500:OFFSET(F500,-$Y$5+1,0))</f>
        <v>8040.5</v>
      </c>
      <c r="Z500" s="7">
        <f t="shared" ca="1" si="92"/>
        <v>0</v>
      </c>
    </row>
    <row r="501" spans="1:26">
      <c r="A501" s="3" t="s">
        <v>47</v>
      </c>
      <c r="B501" s="4">
        <v>42381</v>
      </c>
      <c r="C501" s="3">
        <v>7800</v>
      </c>
      <c r="D501" s="3">
        <v>7808</v>
      </c>
      <c r="E501" s="3">
        <v>7680</v>
      </c>
      <c r="F501" s="3">
        <v>7709</v>
      </c>
      <c r="G501" s="3">
        <v>176648</v>
      </c>
      <c r="H501" s="3">
        <v>1.2050000000000001</v>
      </c>
      <c r="I501" s="2">
        <f t="shared" si="101"/>
        <v>0</v>
      </c>
      <c r="J501" s="10">
        <f t="shared" si="103"/>
        <v>60</v>
      </c>
      <c r="K501" s="10">
        <f t="shared" si="102"/>
        <v>-91</v>
      </c>
      <c r="L501" s="10">
        <f t="shared" ca="1" si="91"/>
        <v>0</v>
      </c>
      <c r="M501" s="10">
        <f t="shared" ca="1" si="93"/>
        <v>0</v>
      </c>
      <c r="N501" s="30">
        <f t="shared" ca="1" si="94"/>
        <v>0</v>
      </c>
      <c r="O501" s="10">
        <f t="shared" ca="1" si="95"/>
        <v>0</v>
      </c>
      <c r="P501" s="29">
        <f t="shared" ca="1" si="96"/>
        <v>0</v>
      </c>
      <c r="Q501" s="12">
        <f t="shared" ca="1" si="97"/>
        <v>-380200</v>
      </c>
      <c r="R501" s="10">
        <f t="shared" ca="1" si="98"/>
        <v>0</v>
      </c>
      <c r="S501" s="10">
        <f t="shared" ca="1" si="104"/>
        <v>-1.6006481090111306</v>
      </c>
      <c r="T501" s="14">
        <f t="shared" ca="1" si="105"/>
        <v>-0.29592249555410344</v>
      </c>
      <c r="U501" s="12">
        <f t="shared" ca="1" si="99"/>
        <v>7900</v>
      </c>
      <c r="V501" s="14">
        <f t="shared" ca="1" si="100"/>
        <v>-4912.658227848101</v>
      </c>
      <c r="W501" s="12">
        <f t="shared" ca="1" si="106"/>
        <v>0</v>
      </c>
      <c r="X501" s="7">
        <f ca="1">AVERAGE(E501:OFFSET(F501,-$X$5+1,0))</f>
        <v>7780.5</v>
      </c>
      <c r="Y501" s="7">
        <f ca="1">AVERAGE(E501:OFFSET(F501,-$Y$5+1,0))</f>
        <v>7974.7</v>
      </c>
      <c r="Z501" s="7">
        <f t="shared" ca="1" si="92"/>
        <v>0</v>
      </c>
    </row>
    <row r="502" spans="1:26">
      <c r="A502" s="3" t="s">
        <v>47</v>
      </c>
      <c r="B502" s="4">
        <v>42382</v>
      </c>
      <c r="C502" s="3">
        <v>7784</v>
      </c>
      <c r="D502" s="3">
        <v>7849</v>
      </c>
      <c r="E502" s="3">
        <v>7736</v>
      </c>
      <c r="F502" s="3">
        <v>7806</v>
      </c>
      <c r="G502" s="3">
        <v>188268</v>
      </c>
      <c r="H502" s="3">
        <v>1.2050000000000001</v>
      </c>
      <c r="I502" s="2">
        <f t="shared" si="101"/>
        <v>0</v>
      </c>
      <c r="J502" s="10">
        <f t="shared" si="103"/>
        <v>75</v>
      </c>
      <c r="K502" s="10">
        <f t="shared" si="102"/>
        <v>22</v>
      </c>
      <c r="L502" s="10">
        <f t="shared" ca="1" si="91"/>
        <v>0</v>
      </c>
      <c r="M502" s="10">
        <f t="shared" ca="1" si="93"/>
        <v>0</v>
      </c>
      <c r="N502" s="30">
        <f t="shared" ca="1" si="94"/>
        <v>0</v>
      </c>
      <c r="O502" s="10">
        <f t="shared" ca="1" si="95"/>
        <v>0</v>
      </c>
      <c r="P502" s="29">
        <f t="shared" ca="1" si="96"/>
        <v>0</v>
      </c>
      <c r="Q502" s="12">
        <f t="shared" ca="1" si="97"/>
        <v>-380200</v>
      </c>
      <c r="R502" s="10">
        <f t="shared" ca="1" si="98"/>
        <v>0</v>
      </c>
      <c r="S502" s="10">
        <f t="shared" ca="1" si="104"/>
        <v>-1.6882032083408811</v>
      </c>
      <c r="T502" s="14">
        <f t="shared" ca="1" si="105"/>
        <v>-0.30515262689638434</v>
      </c>
      <c r="U502" s="12">
        <f t="shared" ca="1" si="99"/>
        <v>7900</v>
      </c>
      <c r="V502" s="14">
        <f t="shared" ca="1" si="100"/>
        <v>-4912.658227848101</v>
      </c>
      <c r="W502" s="12">
        <f t="shared" ca="1" si="106"/>
        <v>0</v>
      </c>
      <c r="X502" s="7">
        <f ca="1">AVERAGE(E502:OFFSET(F502,-$X$5+1,0))</f>
        <v>7747.5</v>
      </c>
      <c r="Y502" s="7">
        <f ca="1">AVERAGE(E502:OFFSET(F502,-$Y$5+1,0))</f>
        <v>7924.3</v>
      </c>
      <c r="Z502" s="7">
        <f t="shared" ca="1" si="92"/>
        <v>0</v>
      </c>
    </row>
    <row r="503" spans="1:26">
      <c r="A503" s="3" t="s">
        <v>47</v>
      </c>
      <c r="B503" s="4">
        <v>42383</v>
      </c>
      <c r="C503" s="3">
        <v>7647</v>
      </c>
      <c r="D503" s="3">
        <v>7724</v>
      </c>
      <c r="E503" s="3">
        <v>7607</v>
      </c>
      <c r="F503" s="3">
        <v>7716</v>
      </c>
      <c r="G503" s="3">
        <v>171850</v>
      </c>
      <c r="H503" s="3">
        <v>1.2050000000000001</v>
      </c>
      <c r="I503" s="2">
        <f t="shared" si="101"/>
        <v>0</v>
      </c>
      <c r="J503" s="10">
        <f t="shared" si="103"/>
        <v>-159</v>
      </c>
      <c r="K503" s="10">
        <f t="shared" si="102"/>
        <v>69</v>
      </c>
      <c r="L503" s="10">
        <f t="shared" ca="1" si="91"/>
        <v>0</v>
      </c>
      <c r="M503" s="10">
        <f t="shared" ca="1" si="93"/>
        <v>0</v>
      </c>
      <c r="N503" s="30">
        <f t="shared" ca="1" si="94"/>
        <v>0</v>
      </c>
      <c r="O503" s="10">
        <f t="shared" ca="1" si="95"/>
        <v>0</v>
      </c>
      <c r="P503" s="29">
        <f t="shared" ca="1" si="96"/>
        <v>0</v>
      </c>
      <c r="Q503" s="12">
        <f t="shared" ca="1" si="97"/>
        <v>-380200</v>
      </c>
      <c r="R503" s="10">
        <f t="shared" ca="1" si="98"/>
        <v>0</v>
      </c>
      <c r="S503" s="10">
        <f t="shared" ca="1" si="104"/>
        <v>-1.6997765835396412</v>
      </c>
      <c r="T503" s="14">
        <f t="shared" ca="1" si="105"/>
        <v>-0.30626626788293049</v>
      </c>
      <c r="U503" s="12">
        <f t="shared" ca="1" si="99"/>
        <v>7900</v>
      </c>
      <c r="V503" s="14">
        <f t="shared" ca="1" si="100"/>
        <v>-4912.658227848101</v>
      </c>
      <c r="W503" s="12">
        <f t="shared" ca="1" si="106"/>
        <v>0</v>
      </c>
      <c r="X503" s="7">
        <f ca="1">AVERAGE(E503:OFFSET(F503,-$X$5+1,0))</f>
        <v>7726.8</v>
      </c>
      <c r="Y503" s="7">
        <f ca="1">AVERAGE(E503:OFFSET(F503,-$Y$5+1,0))</f>
        <v>7866.15</v>
      </c>
      <c r="Z503" s="7">
        <f t="shared" ca="1" si="92"/>
        <v>0</v>
      </c>
    </row>
    <row r="504" spans="1:26">
      <c r="A504" s="3" t="s">
        <v>47</v>
      </c>
      <c r="B504" s="4">
        <v>42384</v>
      </c>
      <c r="C504" s="3">
        <v>7801</v>
      </c>
      <c r="D504" s="3">
        <v>7809</v>
      </c>
      <c r="E504" s="3">
        <v>7636</v>
      </c>
      <c r="F504" s="3">
        <v>7665</v>
      </c>
      <c r="G504" s="3">
        <v>183418</v>
      </c>
      <c r="H504" s="3">
        <v>1.2050000000000001</v>
      </c>
      <c r="I504" s="2">
        <f t="shared" si="101"/>
        <v>0</v>
      </c>
      <c r="J504" s="10">
        <f t="shared" si="103"/>
        <v>85</v>
      </c>
      <c r="K504" s="10">
        <f t="shared" si="102"/>
        <v>-136</v>
      </c>
      <c r="L504" s="10">
        <f t="shared" ca="1" si="91"/>
        <v>0</v>
      </c>
      <c r="M504" s="10">
        <f t="shared" ca="1" si="93"/>
        <v>0</v>
      </c>
      <c r="N504" s="30">
        <f t="shared" ca="1" si="94"/>
        <v>0</v>
      </c>
      <c r="O504" s="10">
        <f t="shared" ca="1" si="95"/>
        <v>0</v>
      </c>
      <c r="P504" s="29">
        <f t="shared" ca="1" si="96"/>
        <v>0</v>
      </c>
      <c r="Q504" s="12">
        <f t="shared" ca="1" si="97"/>
        <v>-380200</v>
      </c>
      <c r="R504" s="10">
        <f t="shared" ca="1" si="98"/>
        <v>0</v>
      </c>
      <c r="S504" s="10">
        <f t="shared" ca="1" si="104"/>
        <v>-1.6997765835396412</v>
      </c>
      <c r="T504" s="14">
        <f t="shared" ca="1" si="105"/>
        <v>-0.30727232455414555</v>
      </c>
      <c r="U504" s="12">
        <f t="shared" ca="1" si="99"/>
        <v>7900</v>
      </c>
      <c r="V504" s="14">
        <f t="shared" ca="1" si="100"/>
        <v>-4912.658227848101</v>
      </c>
      <c r="W504" s="12">
        <f t="shared" ca="1" si="106"/>
        <v>0</v>
      </c>
      <c r="X504" s="7">
        <f ca="1">AVERAGE(E504:OFFSET(F504,-$X$5+1,0))</f>
        <v>7696.7</v>
      </c>
      <c r="Y504" s="7">
        <f ca="1">AVERAGE(E504:OFFSET(F504,-$Y$5+1,0))</f>
        <v>7805.9</v>
      </c>
      <c r="Z504" s="7">
        <f t="shared" ca="1" si="92"/>
        <v>0</v>
      </c>
    </row>
    <row r="505" spans="1:26">
      <c r="A505" s="3" t="s">
        <v>47</v>
      </c>
      <c r="B505" s="4">
        <v>42387</v>
      </c>
      <c r="C505" s="3">
        <v>7513</v>
      </c>
      <c r="D505" s="3">
        <v>7828</v>
      </c>
      <c r="E505" s="3">
        <v>7503</v>
      </c>
      <c r="F505" s="3">
        <v>7814</v>
      </c>
      <c r="G505" s="3">
        <v>241486</v>
      </c>
      <c r="H505" s="3">
        <v>1.2050000000000001</v>
      </c>
      <c r="I505" s="2">
        <f t="shared" si="101"/>
        <v>0</v>
      </c>
      <c r="J505" s="10">
        <f t="shared" si="103"/>
        <v>-152</v>
      </c>
      <c r="K505" s="10">
        <f t="shared" si="102"/>
        <v>301</v>
      </c>
      <c r="L505" s="10">
        <f t="shared" ca="1" si="91"/>
        <v>0</v>
      </c>
      <c r="M505" s="10">
        <f t="shared" ca="1" si="93"/>
        <v>0</v>
      </c>
      <c r="N505" s="30">
        <f t="shared" ca="1" si="94"/>
        <v>0</v>
      </c>
      <c r="O505" s="10">
        <f t="shared" ca="1" si="95"/>
        <v>0</v>
      </c>
      <c r="P505" s="29">
        <f t="shared" ca="1" si="96"/>
        <v>0</v>
      </c>
      <c r="Q505" s="12">
        <f t="shared" ca="1" si="97"/>
        <v>-380200</v>
      </c>
      <c r="R505" s="10">
        <f t="shared" ca="1" si="98"/>
        <v>0</v>
      </c>
      <c r="S505" s="10">
        <f t="shared" ca="1" si="104"/>
        <v>-1.8824170568673466</v>
      </c>
      <c r="T505" s="14">
        <f t="shared" ca="1" si="105"/>
        <v>-0.32590828773506397</v>
      </c>
      <c r="U505" s="12">
        <f t="shared" ca="1" si="99"/>
        <v>7900</v>
      </c>
      <c r="V505" s="14">
        <f t="shared" ca="1" si="100"/>
        <v>-4912.658227848101</v>
      </c>
      <c r="W505" s="12">
        <f t="shared" ca="1" si="106"/>
        <v>0</v>
      </c>
      <c r="X505" s="7">
        <f ca="1">AVERAGE(E505:OFFSET(F505,-$X$5+1,0))</f>
        <v>7687.2</v>
      </c>
      <c r="Y505" s="7">
        <f ca="1">AVERAGE(E505:OFFSET(F505,-$Y$5+1,0))</f>
        <v>7766.2</v>
      </c>
      <c r="Z505" s="7">
        <f t="shared" ca="1" si="92"/>
        <v>0</v>
      </c>
    </row>
    <row r="506" spans="1:26">
      <c r="A506" s="3" t="s">
        <v>47</v>
      </c>
      <c r="B506" s="4">
        <v>42388</v>
      </c>
      <c r="C506" s="3">
        <v>7786</v>
      </c>
      <c r="D506" s="3">
        <v>7868</v>
      </c>
      <c r="E506" s="3">
        <v>7750</v>
      </c>
      <c r="F506" s="3">
        <v>7867</v>
      </c>
      <c r="G506" s="3">
        <v>165954</v>
      </c>
      <c r="H506" s="3">
        <v>1.2050000000000001</v>
      </c>
      <c r="I506" s="2">
        <f t="shared" si="101"/>
        <v>0</v>
      </c>
      <c r="J506" s="10">
        <f t="shared" si="103"/>
        <v>-28</v>
      </c>
      <c r="K506" s="10">
        <f t="shared" si="102"/>
        <v>81</v>
      </c>
      <c r="L506" s="10">
        <f t="shared" ca="1" si="91"/>
        <v>0</v>
      </c>
      <c r="M506" s="10">
        <f t="shared" ca="1" si="93"/>
        <v>0</v>
      </c>
      <c r="N506" s="30">
        <f t="shared" ca="1" si="94"/>
        <v>0</v>
      </c>
      <c r="O506" s="10">
        <f t="shared" ca="1" si="95"/>
        <v>0</v>
      </c>
      <c r="P506" s="29">
        <f t="shared" ca="1" si="96"/>
        <v>0</v>
      </c>
      <c r="Q506" s="12">
        <f t="shared" ca="1" si="97"/>
        <v>-380200</v>
      </c>
      <c r="R506" s="10">
        <f t="shared" ca="1" si="98"/>
        <v>0</v>
      </c>
      <c r="S506" s="10">
        <f t="shared" ca="1" si="104"/>
        <v>-1.887978111688225</v>
      </c>
      <c r="T506" s="14">
        <f t="shared" ca="1" si="105"/>
        <v>-0.32645898147728758</v>
      </c>
      <c r="U506" s="12">
        <f t="shared" ca="1" si="99"/>
        <v>7900</v>
      </c>
      <c r="V506" s="14">
        <f t="shared" ca="1" si="100"/>
        <v>-4912.658227848101</v>
      </c>
      <c r="W506" s="12">
        <f t="shared" ca="1" si="106"/>
        <v>0</v>
      </c>
      <c r="X506" s="7">
        <f ca="1">AVERAGE(E506:OFFSET(F506,-$X$5+1,0))</f>
        <v>7710</v>
      </c>
      <c r="Y506" s="7">
        <f ca="1">AVERAGE(E506:OFFSET(F506,-$Y$5+1,0))</f>
        <v>7745.25</v>
      </c>
      <c r="Z506" s="7">
        <f t="shared" ca="1" si="92"/>
        <v>0</v>
      </c>
    </row>
    <row r="507" spans="1:26">
      <c r="A507" s="3" t="s">
        <v>47</v>
      </c>
      <c r="B507" s="4">
        <v>42389</v>
      </c>
      <c r="C507" s="3">
        <v>7797</v>
      </c>
      <c r="D507" s="3">
        <v>7804</v>
      </c>
      <c r="E507" s="3">
        <v>7673</v>
      </c>
      <c r="F507" s="3">
        <v>7705</v>
      </c>
      <c r="G507" s="3">
        <v>116624</v>
      </c>
      <c r="H507" s="3">
        <v>1.2050000000000001</v>
      </c>
      <c r="I507" s="2">
        <f t="shared" si="101"/>
        <v>1</v>
      </c>
      <c r="J507" s="10">
        <f t="shared" si="103"/>
        <v>-70</v>
      </c>
      <c r="K507" s="10">
        <f t="shared" si="102"/>
        <v>-92</v>
      </c>
      <c r="L507" s="10">
        <f t="shared" ca="1" si="91"/>
        <v>0</v>
      </c>
      <c r="M507" s="10">
        <f t="shared" si="93"/>
        <v>0</v>
      </c>
      <c r="N507" s="30">
        <f t="shared" si="94"/>
        <v>0</v>
      </c>
      <c r="O507" s="10">
        <f t="shared" si="95"/>
        <v>0</v>
      </c>
      <c r="P507" s="29">
        <f t="shared" ca="1" si="96"/>
        <v>0</v>
      </c>
      <c r="Q507" s="12">
        <f t="shared" ca="1" si="97"/>
        <v>-380200</v>
      </c>
      <c r="R507" s="10">
        <f t="shared" ca="1" si="98"/>
        <v>0</v>
      </c>
      <c r="S507" s="10">
        <f t="shared" ca="1" si="104"/>
        <v>-1.9513741366462392</v>
      </c>
      <c r="T507" s="14">
        <f t="shared" ca="1" si="105"/>
        <v>-0.33284110308029269</v>
      </c>
      <c r="U507" s="12">
        <f t="shared" ca="1" si="99"/>
        <v>7900</v>
      </c>
      <c r="V507" s="14">
        <f t="shared" ca="1" si="100"/>
        <v>-4912.658227848101</v>
      </c>
      <c r="W507" s="12">
        <f t="shared" ca="1" si="106"/>
        <v>0</v>
      </c>
      <c r="X507" s="7">
        <f ca="1">AVERAGE(E507:OFFSET(F507,-$X$5+1,0))</f>
        <v>7693.6</v>
      </c>
      <c r="Y507" s="7">
        <f ca="1">AVERAGE(E507:OFFSET(F507,-$Y$5+1,0))</f>
        <v>7720.55</v>
      </c>
      <c r="Z507" s="7">
        <f t="shared" ca="1" si="92"/>
        <v>0</v>
      </c>
    </row>
    <row r="508" spans="1:26">
      <c r="A508" s="3" t="s">
        <v>48</v>
      </c>
      <c r="B508" s="4">
        <v>42390</v>
      </c>
      <c r="C508" s="3">
        <v>7659</v>
      </c>
      <c r="D508" s="3">
        <v>7706</v>
      </c>
      <c r="E508" s="3">
        <v>7601</v>
      </c>
      <c r="F508" s="3">
        <v>7613</v>
      </c>
      <c r="G508" s="3">
        <v>202230</v>
      </c>
      <c r="H508" s="3">
        <v>1.2050000000000001</v>
      </c>
      <c r="I508" s="2">
        <f t="shared" si="101"/>
        <v>0</v>
      </c>
      <c r="J508" s="10">
        <f t="shared" si="103"/>
        <v>-46</v>
      </c>
      <c r="K508" s="10">
        <f t="shared" si="102"/>
        <v>-46</v>
      </c>
      <c r="L508" s="10">
        <f t="shared" ca="1" si="91"/>
        <v>0</v>
      </c>
      <c r="M508" s="10">
        <f t="shared" ca="1" si="93"/>
        <v>0</v>
      </c>
      <c r="N508" s="30">
        <f t="shared" ca="1" si="94"/>
        <v>0</v>
      </c>
      <c r="O508" s="10">
        <f t="shared" ca="1" si="95"/>
        <v>0</v>
      </c>
      <c r="P508" s="29">
        <f t="shared" ca="1" si="96"/>
        <v>0</v>
      </c>
      <c r="Q508" s="12">
        <f t="shared" ca="1" si="97"/>
        <v>-380200</v>
      </c>
      <c r="R508" s="10">
        <f t="shared" ca="1" si="98"/>
        <v>0</v>
      </c>
      <c r="S508" s="10">
        <f t="shared" ca="1" si="104"/>
        <v>-1.9547107695387662</v>
      </c>
      <c r="T508" s="14">
        <f t="shared" ca="1" si="105"/>
        <v>-0.33312355122112752</v>
      </c>
      <c r="U508" s="12">
        <f t="shared" ca="1" si="99"/>
        <v>7900</v>
      </c>
      <c r="V508" s="14">
        <f t="shared" ca="1" si="100"/>
        <v>-4912.658227848101</v>
      </c>
      <c r="W508" s="12">
        <f t="shared" ca="1" si="106"/>
        <v>0</v>
      </c>
      <c r="X508" s="7">
        <f ca="1">AVERAGE(E508:OFFSET(F508,-$X$5+1,0))</f>
        <v>7682.7</v>
      </c>
      <c r="Y508" s="7">
        <f ca="1">AVERAGE(E508:OFFSET(F508,-$Y$5+1,0))</f>
        <v>7704.75</v>
      </c>
      <c r="Z508" s="7">
        <f t="shared" ca="1" si="92"/>
        <v>0</v>
      </c>
    </row>
    <row r="509" spans="1:26">
      <c r="A509" s="3" t="s">
        <v>48</v>
      </c>
      <c r="B509" s="4">
        <v>42391</v>
      </c>
      <c r="C509" s="3">
        <v>7730</v>
      </c>
      <c r="D509" s="3">
        <v>7752</v>
      </c>
      <c r="E509" s="3">
        <v>7641</v>
      </c>
      <c r="F509" s="3">
        <v>7748</v>
      </c>
      <c r="G509" s="3">
        <v>183045</v>
      </c>
      <c r="H509" s="3">
        <v>1.2050000000000001</v>
      </c>
      <c r="I509" s="2">
        <f t="shared" si="101"/>
        <v>0</v>
      </c>
      <c r="J509" s="10">
        <f t="shared" si="103"/>
        <v>117</v>
      </c>
      <c r="K509" s="10">
        <f t="shared" si="102"/>
        <v>18</v>
      </c>
      <c r="L509" s="10">
        <f t="shared" ref="L509:L572" ca="1" si="107">Z509</f>
        <v>0</v>
      </c>
      <c r="M509" s="10">
        <f t="shared" ca="1" si="93"/>
        <v>0</v>
      </c>
      <c r="N509" s="30">
        <f t="shared" ca="1" si="94"/>
        <v>0</v>
      </c>
      <c r="O509" s="10">
        <f t="shared" ca="1" si="95"/>
        <v>0</v>
      </c>
      <c r="P509" s="29">
        <f t="shared" ca="1" si="96"/>
        <v>0</v>
      </c>
      <c r="Q509" s="12">
        <f t="shared" ca="1" si="97"/>
        <v>-380200</v>
      </c>
      <c r="R509" s="10">
        <f t="shared" ca="1" si="98"/>
        <v>0</v>
      </c>
      <c r="S509" s="10">
        <f t="shared" ca="1" si="104"/>
        <v>-1.845714095049549</v>
      </c>
      <c r="T509" s="14">
        <f t="shared" ca="1" si="105"/>
        <v>-0.32199735084938458</v>
      </c>
      <c r="U509" s="12">
        <f t="shared" ca="1" si="99"/>
        <v>7900</v>
      </c>
      <c r="V509" s="14">
        <f t="shared" ca="1" si="100"/>
        <v>-4912.658227848101</v>
      </c>
      <c r="W509" s="12">
        <f t="shared" ca="1" si="106"/>
        <v>0</v>
      </c>
      <c r="X509" s="7">
        <f ca="1">AVERAGE(E509:OFFSET(F509,-$X$5+1,0))</f>
        <v>7691.5</v>
      </c>
      <c r="Y509" s="7">
        <f ca="1">AVERAGE(E509:OFFSET(F509,-$Y$5+1,0))</f>
        <v>7694.1</v>
      </c>
      <c r="Z509" s="7">
        <f t="shared" ref="Z509:Z572" ca="1" si="108">IF(AND(X508&lt;=Y508,X509&gt;Y509),1,IF(AND(X508&gt;Y508,X509&lt;=Y509),-1,0))</f>
        <v>0</v>
      </c>
    </row>
    <row r="510" spans="1:26">
      <c r="A510" s="3" t="s">
        <v>48</v>
      </c>
      <c r="B510" s="4">
        <v>42394</v>
      </c>
      <c r="C510" s="3">
        <v>7768</v>
      </c>
      <c r="D510" s="3">
        <v>7881</v>
      </c>
      <c r="E510" s="3">
        <v>7766</v>
      </c>
      <c r="F510" s="3">
        <v>7833</v>
      </c>
      <c r="G510" s="3">
        <v>145944</v>
      </c>
      <c r="H510" s="3">
        <v>1.2050000000000001</v>
      </c>
      <c r="I510" s="2">
        <f t="shared" si="101"/>
        <v>0</v>
      </c>
      <c r="J510" s="10">
        <f t="shared" si="103"/>
        <v>20</v>
      </c>
      <c r="K510" s="10">
        <f t="shared" si="102"/>
        <v>65</v>
      </c>
      <c r="L510" s="10">
        <f t="shared" ca="1" si="107"/>
        <v>1</v>
      </c>
      <c r="M510" s="10">
        <f t="shared" ref="M510:M573" ca="1" si="109">IF(I510=1,0,IF(M509+L509&gt;=$M$5,$M$5,IF(M509+L509&lt;=$M$7,$M$7,M509+L509)))</f>
        <v>0</v>
      </c>
      <c r="N510" s="30">
        <f t="shared" ref="N510:N573" ca="1" si="110">IF(M510=0,0,IF(M510&gt;M509,(C510+N509*M509)*$S$5,0))</f>
        <v>0</v>
      </c>
      <c r="O510" s="10">
        <f t="shared" ref="O510:O573" ca="1" si="111">IF(M510=0,0,IF(M510=M509,O509,((M510-M509)*C510+N509*M509)*$S$5/M510))</f>
        <v>0</v>
      </c>
      <c r="P510" s="29">
        <f t="shared" ref="P510:P573" ca="1" si="112">IF(M509=M510,(M509*J510+M510*K510)*$S$5,(M509*J510+M510*K510)*$S$5-$S$6)</f>
        <v>0</v>
      </c>
      <c r="Q510" s="12">
        <f t="shared" ref="Q510:Q573" ca="1" si="113">P510+Q509</f>
        <v>-380200</v>
      </c>
      <c r="R510" s="10">
        <f t="shared" ref="R510:R573" ca="1" si="114">IF(P510=0,0,IF(O510=0,100*P510/O509,100*P510/O510))</f>
        <v>0</v>
      </c>
      <c r="S510" s="10">
        <f t="shared" ca="1" si="104"/>
        <v>-1.8145721880526298</v>
      </c>
      <c r="T510" s="14">
        <f t="shared" ca="1" si="105"/>
        <v>-0.31877813459526982</v>
      </c>
      <c r="U510" s="12">
        <f t="shared" ref="U510:U573" ca="1" si="115">IF(Q510&gt;U509,Q510,U509)</f>
        <v>7900</v>
      </c>
      <c r="V510" s="14">
        <f t="shared" ref="V510:V573" ca="1" si="116">IF(U510=0,0,100*(Q510-U510)/U510)</f>
        <v>-4912.658227848101</v>
      </c>
      <c r="W510" s="12">
        <f t="shared" ca="1" si="106"/>
        <v>0</v>
      </c>
      <c r="X510" s="7">
        <f ca="1">AVERAGE(E510:OFFSET(F510,-$X$5+1,0))</f>
        <v>7719.7</v>
      </c>
      <c r="Y510" s="7">
        <f ca="1">AVERAGE(E510:OFFSET(F510,-$Y$5+1,0))</f>
        <v>7703.45</v>
      </c>
      <c r="Z510" s="7">
        <f t="shared" ca="1" si="108"/>
        <v>1</v>
      </c>
    </row>
    <row r="511" spans="1:26">
      <c r="A511" s="3" t="s">
        <v>48</v>
      </c>
      <c r="B511" s="4">
        <v>42395</v>
      </c>
      <c r="C511" s="3">
        <v>7784</v>
      </c>
      <c r="D511" s="3">
        <v>7810</v>
      </c>
      <c r="E511" s="3">
        <v>7745</v>
      </c>
      <c r="F511" s="3">
        <v>7779</v>
      </c>
      <c r="G511" s="3">
        <v>145032</v>
      </c>
      <c r="H511" s="3">
        <v>1.2050000000000001</v>
      </c>
      <c r="I511" s="2">
        <f t="shared" si="101"/>
        <v>0</v>
      </c>
      <c r="J511" s="10">
        <f t="shared" si="103"/>
        <v>-49</v>
      </c>
      <c r="K511" s="10">
        <f t="shared" si="102"/>
        <v>-5</v>
      </c>
      <c r="L511" s="10">
        <f t="shared" ca="1" si="107"/>
        <v>0</v>
      </c>
      <c r="M511" s="10">
        <f t="shared" ca="1" si="109"/>
        <v>1</v>
      </c>
      <c r="N511" s="30">
        <f t="shared" ca="1" si="110"/>
        <v>1556800</v>
      </c>
      <c r="O511" s="10">
        <f t="shared" ca="1" si="111"/>
        <v>1556800</v>
      </c>
      <c r="P511" s="29">
        <f t="shared" ca="1" si="112"/>
        <v>-1500</v>
      </c>
      <c r="Q511" s="12">
        <f t="shared" ca="1" si="113"/>
        <v>-381700</v>
      </c>
      <c r="R511" s="10">
        <f t="shared" ca="1" si="114"/>
        <v>-9.6351490236382328E-2</v>
      </c>
      <c r="S511" s="10">
        <f t="shared" ca="1" si="104"/>
        <v>-1.6971185833461282</v>
      </c>
      <c r="T511" s="14">
        <f t="shared" ca="1" si="105"/>
        <v>-0.30679785346789129</v>
      </c>
      <c r="U511" s="12">
        <f t="shared" ca="1" si="115"/>
        <v>7900</v>
      </c>
      <c r="V511" s="14">
        <f t="shared" ca="1" si="116"/>
        <v>-4931.6455696202529</v>
      </c>
      <c r="W511" s="12">
        <f t="shared" ca="1" si="106"/>
        <v>0</v>
      </c>
      <c r="X511" s="7">
        <f ca="1">AVERAGE(E511:OFFSET(F511,-$X$5+1,0))</f>
        <v>7710.4</v>
      </c>
      <c r="Y511" s="7">
        <f ca="1">AVERAGE(E511:OFFSET(F511,-$Y$5+1,0))</f>
        <v>7710.2</v>
      </c>
      <c r="Z511" s="7">
        <f t="shared" ca="1" si="108"/>
        <v>0</v>
      </c>
    </row>
    <row r="512" spans="1:26">
      <c r="A512" s="3" t="s">
        <v>48</v>
      </c>
      <c r="B512" s="4">
        <v>42396</v>
      </c>
      <c r="C512" s="3">
        <v>7850</v>
      </c>
      <c r="D512" s="3">
        <v>7859</v>
      </c>
      <c r="E512" s="3">
        <v>7778</v>
      </c>
      <c r="F512" s="3">
        <v>7839</v>
      </c>
      <c r="G512" s="3">
        <v>145619</v>
      </c>
      <c r="H512" s="3">
        <v>1.2050000000000001</v>
      </c>
      <c r="I512" s="2">
        <f t="shared" si="101"/>
        <v>0</v>
      </c>
      <c r="J512" s="10">
        <f t="shared" si="103"/>
        <v>71</v>
      </c>
      <c r="K512" s="10">
        <f t="shared" si="102"/>
        <v>-11</v>
      </c>
      <c r="L512" s="10">
        <f t="shared" ca="1" si="107"/>
        <v>0</v>
      </c>
      <c r="M512" s="10">
        <f t="shared" ca="1" si="109"/>
        <v>1</v>
      </c>
      <c r="N512" s="30">
        <f t="shared" ca="1" si="110"/>
        <v>0</v>
      </c>
      <c r="O512" s="10">
        <f t="shared" ca="1" si="111"/>
        <v>1556800</v>
      </c>
      <c r="P512" s="29">
        <f t="shared" ca="1" si="112"/>
        <v>12000</v>
      </c>
      <c r="Q512" s="12">
        <f t="shared" ca="1" si="113"/>
        <v>-369700</v>
      </c>
      <c r="R512" s="10">
        <f t="shared" ca="1" si="114"/>
        <v>0.77081192189105863</v>
      </c>
      <c r="S512" s="10">
        <f t="shared" ca="1" si="104"/>
        <v>-1.6817646757766518</v>
      </c>
      <c r="T512" s="14">
        <f t="shared" ca="1" si="105"/>
        <v>-0.30421246370990535</v>
      </c>
      <c r="U512" s="12">
        <f t="shared" ca="1" si="115"/>
        <v>7900</v>
      </c>
      <c r="V512" s="14">
        <f t="shared" ca="1" si="116"/>
        <v>-4779.7468354430375</v>
      </c>
      <c r="W512" s="12">
        <f t="shared" ca="1" si="106"/>
        <v>0</v>
      </c>
      <c r="X512" s="7">
        <f ca="1">AVERAGE(E512:OFFSET(F512,-$X$5+1,0))</f>
        <v>7734.3</v>
      </c>
      <c r="Y512" s="7">
        <f ca="1">AVERAGE(E512:OFFSET(F512,-$Y$5+1,0))</f>
        <v>7713.95</v>
      </c>
      <c r="Z512" s="7">
        <f t="shared" ca="1" si="108"/>
        <v>0</v>
      </c>
    </row>
    <row r="513" spans="1:26">
      <c r="A513" s="3" t="s">
        <v>48</v>
      </c>
      <c r="B513" s="4">
        <v>42397</v>
      </c>
      <c r="C513" s="3">
        <v>7800</v>
      </c>
      <c r="D513" s="3">
        <v>7903</v>
      </c>
      <c r="E513" s="3">
        <v>7793</v>
      </c>
      <c r="F513" s="3">
        <v>7855</v>
      </c>
      <c r="G513" s="3">
        <v>153244</v>
      </c>
      <c r="H513" s="3">
        <v>1.2050000000000001</v>
      </c>
      <c r="I513" s="2">
        <f t="shared" si="101"/>
        <v>0</v>
      </c>
      <c r="J513" s="10">
        <f t="shared" si="103"/>
        <v>-39</v>
      </c>
      <c r="K513" s="10">
        <f t="shared" si="102"/>
        <v>55</v>
      </c>
      <c r="L513" s="10">
        <f t="shared" ca="1" si="107"/>
        <v>0</v>
      </c>
      <c r="M513" s="10">
        <f t="shared" ca="1" si="109"/>
        <v>1</v>
      </c>
      <c r="N513" s="30">
        <f t="shared" ca="1" si="110"/>
        <v>0</v>
      </c>
      <c r="O513" s="10">
        <f t="shared" ca="1" si="111"/>
        <v>1556800</v>
      </c>
      <c r="P513" s="29">
        <f t="shared" ca="1" si="112"/>
        <v>3200</v>
      </c>
      <c r="Q513" s="12">
        <f t="shared" ca="1" si="113"/>
        <v>-366500</v>
      </c>
      <c r="R513" s="10">
        <f t="shared" ca="1" si="114"/>
        <v>0.20554984583761562</v>
      </c>
      <c r="S513" s="10">
        <f t="shared" ca="1" si="104"/>
        <v>-1.7237320231332207</v>
      </c>
      <c r="T513" s="14">
        <f t="shared" ca="1" si="105"/>
        <v>-0.30830903746052474</v>
      </c>
      <c r="U513" s="12">
        <f t="shared" ca="1" si="115"/>
        <v>7900</v>
      </c>
      <c r="V513" s="14">
        <f t="shared" ca="1" si="116"/>
        <v>-4739.2405063291135</v>
      </c>
      <c r="W513" s="12">
        <f t="shared" ca="1" si="106"/>
        <v>0</v>
      </c>
      <c r="X513" s="7">
        <f ca="1">AVERAGE(E513:OFFSET(F513,-$X$5+1,0))</f>
        <v>7777.7</v>
      </c>
      <c r="Y513" s="7">
        <f ca="1">AVERAGE(E513:OFFSET(F513,-$Y$5+1,0))</f>
        <v>7730.2</v>
      </c>
      <c r="Z513" s="7">
        <f t="shared" ca="1" si="108"/>
        <v>0</v>
      </c>
    </row>
    <row r="514" spans="1:26">
      <c r="A514" s="3" t="s">
        <v>48</v>
      </c>
      <c r="B514" s="4">
        <v>42398</v>
      </c>
      <c r="C514" s="3">
        <v>7841</v>
      </c>
      <c r="D514" s="3">
        <v>8073</v>
      </c>
      <c r="E514" s="3">
        <v>7820</v>
      </c>
      <c r="F514" s="3">
        <v>8053</v>
      </c>
      <c r="G514" s="3">
        <v>236477</v>
      </c>
      <c r="H514" s="3">
        <v>1.2050000000000001</v>
      </c>
      <c r="I514" s="2">
        <f t="shared" si="101"/>
        <v>0</v>
      </c>
      <c r="J514" s="10">
        <f t="shared" si="103"/>
        <v>-14</v>
      </c>
      <c r="K514" s="10">
        <f t="shared" si="102"/>
        <v>212</v>
      </c>
      <c r="L514" s="10">
        <f t="shared" ca="1" si="107"/>
        <v>0</v>
      </c>
      <c r="M514" s="10">
        <f t="shared" ca="1" si="109"/>
        <v>1</v>
      </c>
      <c r="N514" s="30">
        <f t="shared" ca="1" si="110"/>
        <v>0</v>
      </c>
      <c r="O514" s="10">
        <f t="shared" ca="1" si="111"/>
        <v>1556800</v>
      </c>
      <c r="P514" s="29">
        <f t="shared" ca="1" si="112"/>
        <v>39600</v>
      </c>
      <c r="Q514" s="12">
        <f t="shared" ca="1" si="113"/>
        <v>-326900</v>
      </c>
      <c r="R514" s="10">
        <f t="shared" ca="1" si="114"/>
        <v>2.5436793422404933</v>
      </c>
      <c r="S514" s="10">
        <f t="shared" ca="1" si="104"/>
        <v>-1.5185014586212191</v>
      </c>
      <c r="T514" s="14">
        <f t="shared" ca="1" si="105"/>
        <v>-0.27898839100979161</v>
      </c>
      <c r="U514" s="12">
        <f t="shared" ca="1" si="115"/>
        <v>7900</v>
      </c>
      <c r="V514" s="14">
        <f t="shared" ca="1" si="116"/>
        <v>-4237.9746835443038</v>
      </c>
      <c r="W514" s="12">
        <f t="shared" ca="1" si="106"/>
        <v>0</v>
      </c>
      <c r="X514" s="7">
        <f ca="1">AVERAGE(E514:OFFSET(F514,-$X$5+1,0))</f>
        <v>7826.1</v>
      </c>
      <c r="Y514" s="7">
        <f ca="1">AVERAGE(E514:OFFSET(F514,-$Y$5+1,0))</f>
        <v>7758.8</v>
      </c>
      <c r="Z514" s="7">
        <f t="shared" ca="1" si="108"/>
        <v>0</v>
      </c>
    </row>
    <row r="515" spans="1:26">
      <c r="A515" s="3" t="s">
        <v>48</v>
      </c>
      <c r="B515" s="4">
        <v>42399</v>
      </c>
      <c r="C515" s="3">
        <v>8103</v>
      </c>
      <c r="D515" s="3">
        <v>8167</v>
      </c>
      <c r="E515" s="3">
        <v>8091</v>
      </c>
      <c r="F515" s="3">
        <v>8163</v>
      </c>
      <c r="G515" s="3">
        <v>68665</v>
      </c>
      <c r="H515" s="3">
        <v>1.2050000000000001</v>
      </c>
      <c r="I515" s="2">
        <f t="shared" si="101"/>
        <v>0</v>
      </c>
      <c r="J515" s="10">
        <f t="shared" si="103"/>
        <v>50</v>
      </c>
      <c r="K515" s="10">
        <f t="shared" si="102"/>
        <v>60</v>
      </c>
      <c r="L515" s="10">
        <f t="shared" ca="1" si="107"/>
        <v>0</v>
      </c>
      <c r="M515" s="10">
        <f t="shared" ca="1" si="109"/>
        <v>1</v>
      </c>
      <c r="N515" s="30">
        <f t="shared" ca="1" si="110"/>
        <v>0</v>
      </c>
      <c r="O515" s="10">
        <f t="shared" ca="1" si="111"/>
        <v>1556800</v>
      </c>
      <c r="P515" s="29">
        <f t="shared" ca="1" si="112"/>
        <v>22000</v>
      </c>
      <c r="Q515" s="12">
        <f t="shared" ca="1" si="113"/>
        <v>-304900</v>
      </c>
      <c r="R515" s="10">
        <f t="shared" ca="1" si="114"/>
        <v>1.4131551901336075</v>
      </c>
      <c r="S515" s="10">
        <f t="shared" ca="1" si="104"/>
        <v>-1.4059061364450587</v>
      </c>
      <c r="T515" s="14">
        <f t="shared" ca="1" si="105"/>
        <v>-0.26546541304390592</v>
      </c>
      <c r="U515" s="12">
        <f t="shared" ca="1" si="115"/>
        <v>7900</v>
      </c>
      <c r="V515" s="14">
        <f t="shared" ca="1" si="116"/>
        <v>-3959.493670886076</v>
      </c>
      <c r="W515" s="12">
        <f t="shared" ca="1" si="106"/>
        <v>0</v>
      </c>
      <c r="X515" s="7">
        <f ca="1">AVERAGE(E515:OFFSET(F515,-$X$5+1,0))</f>
        <v>7891.6</v>
      </c>
      <c r="Y515" s="7">
        <f ca="1">AVERAGE(E515:OFFSET(F515,-$Y$5+1,0))</f>
        <v>7805.65</v>
      </c>
      <c r="Z515" s="7">
        <f t="shared" ca="1" si="108"/>
        <v>0</v>
      </c>
    </row>
    <row r="516" spans="1:26">
      <c r="A516" s="3" t="s">
        <v>48</v>
      </c>
      <c r="B516" s="4">
        <v>42401</v>
      </c>
      <c r="C516" s="3">
        <v>8131</v>
      </c>
      <c r="D516" s="3">
        <v>8150</v>
      </c>
      <c r="E516" s="3">
        <v>8067</v>
      </c>
      <c r="F516" s="3">
        <v>8124</v>
      </c>
      <c r="G516" s="3">
        <v>152839</v>
      </c>
      <c r="H516" s="3">
        <v>1.2050000000000001</v>
      </c>
      <c r="I516" s="2">
        <f t="shared" ref="I516:I579" si="117">IF(A516=A517,0,1)</f>
        <v>0</v>
      </c>
      <c r="J516" s="10">
        <f t="shared" si="103"/>
        <v>-32</v>
      </c>
      <c r="K516" s="10">
        <f t="shared" ref="K516:K579" si="118">F516-C516</f>
        <v>-7</v>
      </c>
      <c r="L516" s="10">
        <f t="shared" ca="1" si="107"/>
        <v>0</v>
      </c>
      <c r="M516" s="10">
        <f t="shared" ca="1" si="109"/>
        <v>1</v>
      </c>
      <c r="N516" s="30">
        <f t="shared" ca="1" si="110"/>
        <v>0</v>
      </c>
      <c r="O516" s="10">
        <f t="shared" ca="1" si="111"/>
        <v>1556800</v>
      </c>
      <c r="P516" s="29">
        <f t="shared" ca="1" si="112"/>
        <v>-7800</v>
      </c>
      <c r="Q516" s="12">
        <f t="shared" ca="1" si="113"/>
        <v>-312700</v>
      </c>
      <c r="R516" s="10">
        <f t="shared" ca="1" si="114"/>
        <v>-0.50102774922918802</v>
      </c>
      <c r="S516" s="10">
        <f t="shared" ca="1" si="104"/>
        <v>-1.6100888324873097</v>
      </c>
      <c r="T516" s="14">
        <f t="shared" ca="1" si="105"/>
        <v>-0.28536461279188607</v>
      </c>
      <c r="U516" s="12">
        <f t="shared" ca="1" si="115"/>
        <v>7900</v>
      </c>
      <c r="V516" s="14">
        <f t="shared" ca="1" si="116"/>
        <v>-4058.2278481012659</v>
      </c>
      <c r="W516" s="12">
        <f t="shared" ca="1" si="106"/>
        <v>0</v>
      </c>
      <c r="X516" s="7">
        <f ca="1">AVERAGE(E516:OFFSET(F516,-$X$5+1,0))</f>
        <v>7958.3</v>
      </c>
      <c r="Y516" s="7">
        <f ca="1">AVERAGE(E516:OFFSET(F516,-$Y$5+1,0))</f>
        <v>7834.35</v>
      </c>
      <c r="Z516" s="7">
        <f t="shared" ca="1" si="108"/>
        <v>0</v>
      </c>
    </row>
    <row r="517" spans="1:26">
      <c r="A517" s="3" t="s">
        <v>48</v>
      </c>
      <c r="B517" s="4">
        <v>42402</v>
      </c>
      <c r="C517" s="3">
        <v>8079</v>
      </c>
      <c r="D517" s="3">
        <v>8149</v>
      </c>
      <c r="E517" s="3">
        <v>8061</v>
      </c>
      <c r="F517" s="3">
        <v>8105</v>
      </c>
      <c r="G517" s="3">
        <v>133729</v>
      </c>
      <c r="H517" s="3">
        <v>1.2050000000000001</v>
      </c>
      <c r="I517" s="2">
        <f t="shared" si="117"/>
        <v>0</v>
      </c>
      <c r="J517" s="10">
        <f t="shared" ref="J517:J580" si="119">C517-F516</f>
        <v>-45</v>
      </c>
      <c r="K517" s="10">
        <f t="shared" si="118"/>
        <v>26</v>
      </c>
      <c r="L517" s="10">
        <f t="shared" ca="1" si="107"/>
        <v>0</v>
      </c>
      <c r="M517" s="10">
        <f t="shared" ca="1" si="109"/>
        <v>1</v>
      </c>
      <c r="N517" s="30">
        <f t="shared" ca="1" si="110"/>
        <v>0</v>
      </c>
      <c r="O517" s="10">
        <f t="shared" ca="1" si="111"/>
        <v>1556800</v>
      </c>
      <c r="P517" s="29">
        <f t="shared" ca="1" si="112"/>
        <v>-3800</v>
      </c>
      <c r="Q517" s="12">
        <f t="shared" ca="1" si="113"/>
        <v>-316500</v>
      </c>
      <c r="R517" s="10">
        <f t="shared" ca="1" si="114"/>
        <v>-0.24409044193216856</v>
      </c>
      <c r="S517" s="10">
        <f t="shared" ca="1" si="104"/>
        <v>-1.6112218999274837</v>
      </c>
      <c r="T517" s="14">
        <f t="shared" ca="1" si="105"/>
        <v>-0.28555097547361369</v>
      </c>
      <c r="U517" s="12">
        <f t="shared" ca="1" si="115"/>
        <v>7900</v>
      </c>
      <c r="V517" s="14">
        <f t="shared" ca="1" si="116"/>
        <v>-4106.3291139240509</v>
      </c>
      <c r="W517" s="12">
        <f t="shared" ca="1" si="106"/>
        <v>0</v>
      </c>
      <c r="X517" s="7">
        <f ca="1">AVERAGE(E517:OFFSET(F517,-$X$5+1,0))</f>
        <v>8013.2</v>
      </c>
      <c r="Y517" s="7">
        <f ca="1">AVERAGE(E517:OFFSET(F517,-$Y$5+1,0))</f>
        <v>7873.75</v>
      </c>
      <c r="Z517" s="7">
        <f t="shared" ca="1" si="108"/>
        <v>0</v>
      </c>
    </row>
    <row r="518" spans="1:26">
      <c r="A518" s="3" t="s">
        <v>48</v>
      </c>
      <c r="B518" s="4">
        <v>42403</v>
      </c>
      <c r="C518" s="3">
        <v>8026</v>
      </c>
      <c r="D518" s="3">
        <v>8085</v>
      </c>
      <c r="E518" s="3">
        <v>7993</v>
      </c>
      <c r="F518" s="3">
        <v>8034</v>
      </c>
      <c r="G518" s="3">
        <v>158007</v>
      </c>
      <c r="H518" s="3">
        <v>1.2050000000000001</v>
      </c>
      <c r="I518" s="2">
        <f t="shared" si="117"/>
        <v>0</v>
      </c>
      <c r="J518" s="10">
        <f t="shared" si="119"/>
        <v>-79</v>
      </c>
      <c r="K518" s="10">
        <f t="shared" si="118"/>
        <v>8</v>
      </c>
      <c r="L518" s="10">
        <f t="shared" ca="1" si="107"/>
        <v>0</v>
      </c>
      <c r="M518" s="10">
        <f t="shared" ca="1" si="109"/>
        <v>1</v>
      </c>
      <c r="N518" s="30">
        <f t="shared" ca="1" si="110"/>
        <v>0</v>
      </c>
      <c r="O518" s="10">
        <f t="shared" ca="1" si="111"/>
        <v>1556800</v>
      </c>
      <c r="P518" s="29">
        <f t="shared" ca="1" si="112"/>
        <v>-14200</v>
      </c>
      <c r="Q518" s="12">
        <f t="shared" ca="1" si="113"/>
        <v>-330700</v>
      </c>
      <c r="R518" s="10">
        <f t="shared" ca="1" si="114"/>
        <v>-0.91212744090441933</v>
      </c>
      <c r="S518" s="10">
        <f t="shared" ca="1" si="104"/>
        <v>-1.7460569253081943</v>
      </c>
      <c r="T518" s="14">
        <f t="shared" ca="1" si="105"/>
        <v>-0.29830654344757618</v>
      </c>
      <c r="U518" s="12">
        <f t="shared" ca="1" si="115"/>
        <v>7900</v>
      </c>
      <c r="V518" s="14">
        <f t="shared" ca="1" si="116"/>
        <v>-4286.0759493670885</v>
      </c>
      <c r="W518" s="12">
        <f t="shared" ca="1" si="106"/>
        <v>0</v>
      </c>
      <c r="X518" s="7">
        <f ca="1">AVERAGE(E518:OFFSET(F518,-$X$5+1,0))</f>
        <v>8051.1</v>
      </c>
      <c r="Y518" s="7">
        <f ca="1">AVERAGE(E518:OFFSET(F518,-$Y$5+1,0))</f>
        <v>7914.4</v>
      </c>
      <c r="Z518" s="7">
        <f t="shared" ca="1" si="108"/>
        <v>0</v>
      </c>
    </row>
    <row r="519" spans="1:26">
      <c r="A519" s="3" t="s">
        <v>48</v>
      </c>
      <c r="B519" s="4">
        <v>42415</v>
      </c>
      <c r="C519" s="3">
        <v>7920</v>
      </c>
      <c r="D519" s="3">
        <v>8068</v>
      </c>
      <c r="E519" s="3">
        <v>7907</v>
      </c>
      <c r="F519" s="3">
        <v>8049</v>
      </c>
      <c r="G519" s="3">
        <v>132682</v>
      </c>
      <c r="H519" s="3">
        <v>1.2050000000000001</v>
      </c>
      <c r="I519" s="2">
        <f t="shared" si="117"/>
        <v>0</v>
      </c>
      <c r="J519" s="10">
        <f t="shared" si="119"/>
        <v>-114</v>
      </c>
      <c r="K519" s="10">
        <f t="shared" si="118"/>
        <v>129</v>
      </c>
      <c r="L519" s="10">
        <f t="shared" ca="1" si="107"/>
        <v>0</v>
      </c>
      <c r="M519" s="10">
        <f t="shared" ca="1" si="109"/>
        <v>1</v>
      </c>
      <c r="N519" s="30">
        <f t="shared" ca="1" si="110"/>
        <v>0</v>
      </c>
      <c r="O519" s="10">
        <f t="shared" ca="1" si="111"/>
        <v>1556800</v>
      </c>
      <c r="P519" s="29">
        <f t="shared" ca="1" si="112"/>
        <v>3000</v>
      </c>
      <c r="Q519" s="12">
        <f t="shared" ca="1" si="113"/>
        <v>-327700</v>
      </c>
      <c r="R519" s="10">
        <f t="shared" ca="1" si="114"/>
        <v>0.19270298047276466</v>
      </c>
      <c r="S519" s="10">
        <f t="shared" ca="1" si="104"/>
        <v>-1.7290609137055837</v>
      </c>
      <c r="T519" s="14">
        <f t="shared" ca="1" si="105"/>
        <v>-0.29659583396882278</v>
      </c>
      <c r="U519" s="12">
        <f t="shared" ca="1" si="115"/>
        <v>7900</v>
      </c>
      <c r="V519" s="14">
        <f t="shared" ca="1" si="116"/>
        <v>-4248.1012658227846</v>
      </c>
      <c r="W519" s="12">
        <f t="shared" ca="1" si="106"/>
        <v>0</v>
      </c>
      <c r="X519" s="7">
        <f ca="1">AVERAGE(E519:OFFSET(F519,-$X$5+1,0))</f>
        <v>8059.4</v>
      </c>
      <c r="Y519" s="7">
        <f ca="1">AVERAGE(E519:OFFSET(F519,-$Y$5+1,0))</f>
        <v>7942.75</v>
      </c>
      <c r="Z519" s="7">
        <f t="shared" ca="1" si="108"/>
        <v>0</v>
      </c>
    </row>
    <row r="520" spans="1:26">
      <c r="A520" s="3" t="s">
        <v>48</v>
      </c>
      <c r="B520" s="4">
        <v>42416</v>
      </c>
      <c r="C520" s="3">
        <v>8080</v>
      </c>
      <c r="D520" s="3">
        <v>8232</v>
      </c>
      <c r="E520" s="3">
        <v>8077</v>
      </c>
      <c r="F520" s="3">
        <v>8205</v>
      </c>
      <c r="G520" s="3">
        <v>153558</v>
      </c>
      <c r="H520" s="3">
        <v>1.2050000000000001</v>
      </c>
      <c r="I520" s="2">
        <f t="shared" si="117"/>
        <v>0</v>
      </c>
      <c r="J520" s="10">
        <f t="shared" si="119"/>
        <v>31</v>
      </c>
      <c r="K520" s="10">
        <f t="shared" si="118"/>
        <v>125</v>
      </c>
      <c r="L520" s="10">
        <f t="shared" ca="1" si="107"/>
        <v>0</v>
      </c>
      <c r="M520" s="10">
        <f t="shared" ca="1" si="109"/>
        <v>1</v>
      </c>
      <c r="N520" s="30">
        <f t="shared" ca="1" si="110"/>
        <v>0</v>
      </c>
      <c r="O520" s="10">
        <f t="shared" ca="1" si="111"/>
        <v>1556800</v>
      </c>
      <c r="P520" s="29">
        <f t="shared" ca="1" si="112"/>
        <v>31200</v>
      </c>
      <c r="Q520" s="12">
        <f t="shared" ca="1" si="113"/>
        <v>-296500</v>
      </c>
      <c r="R520" s="10">
        <f t="shared" ca="1" si="114"/>
        <v>2.0041109969167521</v>
      </c>
      <c r="S520" s="10">
        <f t="shared" ca="1" si="104"/>
        <v>-1.590826686004351</v>
      </c>
      <c r="T520" s="14">
        <f t="shared" ca="1" si="105"/>
        <v>-0.2781601013333273</v>
      </c>
      <c r="U520" s="12">
        <f t="shared" ca="1" si="115"/>
        <v>7900</v>
      </c>
      <c r="V520" s="14">
        <f t="shared" ca="1" si="116"/>
        <v>-3853.1645569620255</v>
      </c>
      <c r="W520" s="12">
        <f t="shared" ca="1" si="106"/>
        <v>0</v>
      </c>
      <c r="X520" s="7">
        <f ca="1">AVERAGE(E520:OFFSET(F520,-$X$5+1,0))</f>
        <v>8062.2</v>
      </c>
      <c r="Y520" s="7">
        <f ca="1">AVERAGE(E520:OFFSET(F520,-$Y$5+1,0))</f>
        <v>7976.9</v>
      </c>
      <c r="Z520" s="7">
        <f t="shared" ca="1" si="108"/>
        <v>0</v>
      </c>
    </row>
    <row r="521" spans="1:26">
      <c r="A521" s="3" t="s">
        <v>48</v>
      </c>
      <c r="B521" s="4">
        <v>42417</v>
      </c>
      <c r="C521" s="3">
        <v>8232</v>
      </c>
      <c r="D521" s="3">
        <v>8251</v>
      </c>
      <c r="E521" s="3">
        <v>8193</v>
      </c>
      <c r="F521" s="3">
        <v>8212</v>
      </c>
      <c r="G521" s="3">
        <v>73251</v>
      </c>
      <c r="H521" s="3">
        <v>1.2050000000000001</v>
      </c>
      <c r="I521" s="2">
        <f t="shared" si="117"/>
        <v>1</v>
      </c>
      <c r="J521" s="10">
        <f t="shared" si="119"/>
        <v>27</v>
      </c>
      <c r="K521" s="10">
        <f t="shared" si="118"/>
        <v>-20</v>
      </c>
      <c r="L521" s="10">
        <f t="shared" ca="1" si="107"/>
        <v>0</v>
      </c>
      <c r="M521" s="10">
        <f t="shared" si="109"/>
        <v>0</v>
      </c>
      <c r="N521" s="30">
        <f t="shared" si="110"/>
        <v>0</v>
      </c>
      <c r="O521" s="10">
        <f t="shared" si="111"/>
        <v>0</v>
      </c>
      <c r="P521" s="29">
        <f t="shared" ca="1" si="112"/>
        <v>4900</v>
      </c>
      <c r="Q521" s="12">
        <f t="shared" ca="1" si="113"/>
        <v>-291600</v>
      </c>
      <c r="R521" s="10">
        <f t="shared" ca="1" si="114"/>
        <v>0.31474820143884891</v>
      </c>
      <c r="S521" s="10">
        <f t="shared" ca="1" si="104"/>
        <v>-1.6372824510514865</v>
      </c>
      <c r="T521" s="14">
        <f t="shared" ca="1" si="105"/>
        <v>-0.28249220489672555</v>
      </c>
      <c r="U521" s="12">
        <f t="shared" ca="1" si="115"/>
        <v>7900</v>
      </c>
      <c r="V521" s="14">
        <f t="shared" ca="1" si="116"/>
        <v>-3791.1392405063293</v>
      </c>
      <c r="W521" s="12">
        <f t="shared" ca="1" si="106"/>
        <v>0</v>
      </c>
      <c r="X521" s="7">
        <f ca="1">AVERAGE(E521:OFFSET(F521,-$X$5+1,0))</f>
        <v>8083.6</v>
      </c>
      <c r="Y521" s="7">
        <f ca="1">AVERAGE(E521:OFFSET(F521,-$Y$5+1,0))</f>
        <v>8020.95</v>
      </c>
      <c r="Z521" s="7">
        <f t="shared" ca="1" si="108"/>
        <v>0</v>
      </c>
    </row>
    <row r="522" spans="1:26">
      <c r="A522" s="3" t="s">
        <v>49</v>
      </c>
      <c r="B522" s="4">
        <v>42418</v>
      </c>
      <c r="C522" s="3">
        <v>8290</v>
      </c>
      <c r="D522" s="3">
        <v>8332</v>
      </c>
      <c r="E522" s="3">
        <v>8233</v>
      </c>
      <c r="F522" s="3">
        <v>8284</v>
      </c>
      <c r="G522" s="3">
        <v>123075</v>
      </c>
      <c r="H522" s="3">
        <v>1.2050000000000001</v>
      </c>
      <c r="I522" s="2">
        <f t="shared" si="117"/>
        <v>0</v>
      </c>
      <c r="J522" s="10">
        <f t="shared" si="119"/>
        <v>78</v>
      </c>
      <c r="K522" s="10">
        <f t="shared" si="118"/>
        <v>-6</v>
      </c>
      <c r="L522" s="10">
        <f t="shared" ca="1" si="107"/>
        <v>0</v>
      </c>
      <c r="M522" s="10">
        <f t="shared" ca="1" si="109"/>
        <v>0</v>
      </c>
      <c r="N522" s="30">
        <f t="shared" ca="1" si="110"/>
        <v>0</v>
      </c>
      <c r="O522" s="10">
        <f t="shared" ca="1" si="111"/>
        <v>0</v>
      </c>
      <c r="P522" s="29">
        <f t="shared" ca="1" si="112"/>
        <v>0</v>
      </c>
      <c r="Q522" s="12">
        <f t="shared" ca="1" si="113"/>
        <v>-291600</v>
      </c>
      <c r="R522" s="10">
        <f t="shared" ca="1" si="114"/>
        <v>0</v>
      </c>
      <c r="S522" s="10">
        <f t="shared" ca="1" si="104"/>
        <v>-1.6372824510514865</v>
      </c>
      <c r="T522" s="14">
        <f t="shared" ca="1" si="105"/>
        <v>-0.28751005082666187</v>
      </c>
      <c r="U522" s="12">
        <f t="shared" ca="1" si="115"/>
        <v>7900</v>
      </c>
      <c r="V522" s="14">
        <f t="shared" ca="1" si="116"/>
        <v>-3791.1392405063293</v>
      </c>
      <c r="W522" s="12">
        <f t="shared" ca="1" si="106"/>
        <v>0</v>
      </c>
      <c r="X522" s="7">
        <f ca="1">AVERAGE(E522:OFFSET(F522,-$X$5+1,0))</f>
        <v>8118.7</v>
      </c>
      <c r="Y522" s="7">
        <f ca="1">AVERAGE(E522:OFFSET(F522,-$Y$5+1,0))</f>
        <v>8065.95</v>
      </c>
      <c r="Z522" s="7">
        <f t="shared" ca="1" si="108"/>
        <v>0</v>
      </c>
    </row>
    <row r="523" spans="1:26">
      <c r="A523" s="3" t="s">
        <v>49</v>
      </c>
      <c r="B523" s="4">
        <v>42419</v>
      </c>
      <c r="C523" s="3">
        <v>8278</v>
      </c>
      <c r="D523" s="3">
        <v>8318</v>
      </c>
      <c r="E523" s="3">
        <v>8253</v>
      </c>
      <c r="F523" s="3">
        <v>8304</v>
      </c>
      <c r="G523" s="3">
        <v>93479</v>
      </c>
      <c r="H523" s="3">
        <v>1.2050000000000001</v>
      </c>
      <c r="I523" s="2">
        <f t="shared" si="117"/>
        <v>0</v>
      </c>
      <c r="J523" s="10">
        <f t="shared" si="119"/>
        <v>-6</v>
      </c>
      <c r="K523" s="10">
        <f t="shared" si="118"/>
        <v>26</v>
      </c>
      <c r="L523" s="10">
        <f t="shared" ca="1" si="107"/>
        <v>0</v>
      </c>
      <c r="M523" s="10">
        <f t="shared" ca="1" si="109"/>
        <v>0</v>
      </c>
      <c r="N523" s="30">
        <f t="shared" ca="1" si="110"/>
        <v>0</v>
      </c>
      <c r="O523" s="10">
        <f t="shared" ca="1" si="111"/>
        <v>0</v>
      </c>
      <c r="P523" s="29">
        <f t="shared" ca="1" si="112"/>
        <v>0</v>
      </c>
      <c r="Q523" s="12">
        <f t="shared" ca="1" si="113"/>
        <v>-291600</v>
      </c>
      <c r="R523" s="10">
        <f t="shared" ca="1" si="114"/>
        <v>0</v>
      </c>
      <c r="S523" s="10">
        <f t="shared" ca="1" si="104"/>
        <v>-1.6372824510514865</v>
      </c>
      <c r="T523" s="14">
        <f t="shared" ca="1" si="105"/>
        <v>-0.28746673324761041</v>
      </c>
      <c r="U523" s="12">
        <f t="shared" ca="1" si="115"/>
        <v>7900</v>
      </c>
      <c r="V523" s="14">
        <f t="shared" ca="1" si="116"/>
        <v>-3791.1392405063293</v>
      </c>
      <c r="W523" s="12">
        <f t="shared" ca="1" si="106"/>
        <v>0</v>
      </c>
      <c r="X523" s="7">
        <f ca="1">AVERAGE(E523:OFFSET(F523,-$X$5+1,0))</f>
        <v>8171.7</v>
      </c>
      <c r="Y523" s="7">
        <f ca="1">AVERAGE(E523:OFFSET(F523,-$Y$5+1,0))</f>
        <v>8111.4</v>
      </c>
      <c r="Z523" s="7">
        <f t="shared" ca="1" si="108"/>
        <v>0</v>
      </c>
    </row>
    <row r="524" spans="1:26">
      <c r="A524" s="3" t="s">
        <v>49</v>
      </c>
      <c r="B524" s="4">
        <v>42422</v>
      </c>
      <c r="C524" s="3">
        <v>8289</v>
      </c>
      <c r="D524" s="3">
        <v>8404</v>
      </c>
      <c r="E524" s="3">
        <v>8261</v>
      </c>
      <c r="F524" s="3">
        <v>8302</v>
      </c>
      <c r="G524" s="3">
        <v>140771</v>
      </c>
      <c r="H524" s="3">
        <v>1.2050000000000001</v>
      </c>
      <c r="I524" s="2">
        <f t="shared" si="117"/>
        <v>0</v>
      </c>
      <c r="J524" s="10">
        <f t="shared" si="119"/>
        <v>-15</v>
      </c>
      <c r="K524" s="10">
        <f t="shared" si="118"/>
        <v>13</v>
      </c>
      <c r="L524" s="10">
        <f t="shared" ca="1" si="107"/>
        <v>0</v>
      </c>
      <c r="M524" s="10">
        <f t="shared" ca="1" si="109"/>
        <v>0</v>
      </c>
      <c r="N524" s="30">
        <f t="shared" ca="1" si="110"/>
        <v>0</v>
      </c>
      <c r="O524" s="10">
        <f t="shared" ca="1" si="111"/>
        <v>0</v>
      </c>
      <c r="P524" s="29">
        <f t="shared" ca="1" si="112"/>
        <v>0</v>
      </c>
      <c r="Q524" s="12">
        <f t="shared" ca="1" si="113"/>
        <v>-291600</v>
      </c>
      <c r="R524" s="10">
        <f t="shared" ca="1" si="114"/>
        <v>0</v>
      </c>
      <c r="S524" s="10">
        <f t="shared" ca="1" si="104"/>
        <v>-1.6372824510514865</v>
      </c>
      <c r="T524" s="14">
        <f t="shared" ca="1" si="105"/>
        <v>-0.2881668758776566</v>
      </c>
      <c r="U524" s="12">
        <f t="shared" ca="1" si="115"/>
        <v>7900</v>
      </c>
      <c r="V524" s="14">
        <f t="shared" ca="1" si="116"/>
        <v>-3791.1392405063293</v>
      </c>
      <c r="W524" s="12">
        <f t="shared" ca="1" si="106"/>
        <v>0</v>
      </c>
      <c r="X524" s="7">
        <f ca="1">AVERAGE(E524:OFFSET(F524,-$X$5+1,0))</f>
        <v>8232.4</v>
      </c>
      <c r="Y524" s="7">
        <f ca="1">AVERAGE(E524:OFFSET(F524,-$Y$5+1,0))</f>
        <v>8145.9</v>
      </c>
      <c r="Z524" s="7">
        <f t="shared" ca="1" si="108"/>
        <v>0</v>
      </c>
    </row>
    <row r="525" spans="1:26">
      <c r="A525" s="3" t="s">
        <v>49</v>
      </c>
      <c r="B525" s="4">
        <v>42423</v>
      </c>
      <c r="C525" s="3">
        <v>8321</v>
      </c>
      <c r="D525" s="3">
        <v>8331</v>
      </c>
      <c r="E525" s="3">
        <v>8271</v>
      </c>
      <c r="F525" s="3">
        <v>8318</v>
      </c>
      <c r="G525" s="3">
        <v>109053</v>
      </c>
      <c r="H525" s="3">
        <v>1.2050000000000001</v>
      </c>
      <c r="I525" s="2">
        <f t="shared" si="117"/>
        <v>0</v>
      </c>
      <c r="J525" s="10">
        <f t="shared" si="119"/>
        <v>19</v>
      </c>
      <c r="K525" s="10">
        <f t="shared" si="118"/>
        <v>-3</v>
      </c>
      <c r="L525" s="10">
        <f t="shared" ca="1" si="107"/>
        <v>0</v>
      </c>
      <c r="M525" s="10">
        <f t="shared" ca="1" si="109"/>
        <v>0</v>
      </c>
      <c r="N525" s="30">
        <f t="shared" ca="1" si="110"/>
        <v>0</v>
      </c>
      <c r="O525" s="10">
        <f t="shared" ca="1" si="111"/>
        <v>0</v>
      </c>
      <c r="P525" s="29">
        <f t="shared" ca="1" si="112"/>
        <v>0</v>
      </c>
      <c r="Q525" s="12">
        <f t="shared" ca="1" si="113"/>
        <v>-291600</v>
      </c>
      <c r="R525" s="10">
        <f t="shared" ca="1" si="114"/>
        <v>0</v>
      </c>
      <c r="S525" s="10">
        <f t="shared" ca="1" si="104"/>
        <v>-1.6372824510514865</v>
      </c>
      <c r="T525" s="14">
        <f t="shared" ca="1" si="105"/>
        <v>-0.28811267563691501</v>
      </c>
      <c r="U525" s="12">
        <f t="shared" ca="1" si="115"/>
        <v>7900</v>
      </c>
      <c r="V525" s="14">
        <f t="shared" ca="1" si="116"/>
        <v>-3791.1392405063293</v>
      </c>
      <c r="W525" s="12">
        <f t="shared" ca="1" si="106"/>
        <v>0</v>
      </c>
      <c r="X525" s="7">
        <f ca="1">AVERAGE(E525:OFFSET(F525,-$X$5+1,0))</f>
        <v>8263.1</v>
      </c>
      <c r="Y525" s="7">
        <f ca="1">AVERAGE(E525:OFFSET(F525,-$Y$5+1,0))</f>
        <v>8162.65</v>
      </c>
      <c r="Z525" s="7">
        <f t="shared" ca="1" si="108"/>
        <v>0</v>
      </c>
    </row>
    <row r="526" spans="1:26">
      <c r="A526" s="3" t="s">
        <v>49</v>
      </c>
      <c r="B526" s="4">
        <v>42424</v>
      </c>
      <c r="C526" s="3">
        <v>8300</v>
      </c>
      <c r="D526" s="3">
        <v>8382</v>
      </c>
      <c r="E526" s="3">
        <v>8216</v>
      </c>
      <c r="F526" s="3">
        <v>8248</v>
      </c>
      <c r="G526" s="3">
        <v>163799</v>
      </c>
      <c r="H526" s="3">
        <v>1.2050000000000001</v>
      </c>
      <c r="I526" s="2">
        <f t="shared" si="117"/>
        <v>0</v>
      </c>
      <c r="J526" s="10">
        <f t="shared" si="119"/>
        <v>-18</v>
      </c>
      <c r="K526" s="10">
        <f t="shared" si="118"/>
        <v>-52</v>
      </c>
      <c r="L526" s="10">
        <f t="shared" ca="1" si="107"/>
        <v>0</v>
      </c>
      <c r="M526" s="10">
        <f t="shared" ca="1" si="109"/>
        <v>0</v>
      </c>
      <c r="N526" s="30">
        <f t="shared" ca="1" si="110"/>
        <v>0</v>
      </c>
      <c r="O526" s="10">
        <f t="shared" ca="1" si="111"/>
        <v>0</v>
      </c>
      <c r="P526" s="29">
        <f t="shared" ca="1" si="112"/>
        <v>0</v>
      </c>
      <c r="Q526" s="12">
        <f t="shared" ca="1" si="113"/>
        <v>-291600</v>
      </c>
      <c r="R526" s="10">
        <f t="shared" ca="1" si="114"/>
        <v>0</v>
      </c>
      <c r="S526" s="10">
        <f t="shared" ca="1" si="104"/>
        <v>-1.6372824510514865</v>
      </c>
      <c r="T526" s="14">
        <f t="shared" ca="1" si="105"/>
        <v>-0.28805847539617335</v>
      </c>
      <c r="U526" s="12">
        <f t="shared" ca="1" si="115"/>
        <v>7900</v>
      </c>
      <c r="V526" s="14">
        <f t="shared" ca="1" si="116"/>
        <v>-3791.1392405063293</v>
      </c>
      <c r="W526" s="12">
        <f t="shared" ca="1" si="106"/>
        <v>0</v>
      </c>
      <c r="X526" s="7">
        <f ca="1">AVERAGE(E526:OFFSET(F526,-$X$5+1,0))</f>
        <v>8269</v>
      </c>
      <c r="Y526" s="7">
        <f ca="1">AVERAGE(E526:OFFSET(F526,-$Y$5+1,0))</f>
        <v>8176.3</v>
      </c>
      <c r="Z526" s="7">
        <f t="shared" ca="1" si="108"/>
        <v>0</v>
      </c>
    </row>
    <row r="527" spans="1:26">
      <c r="A527" s="3" t="s">
        <v>49</v>
      </c>
      <c r="B527" s="4">
        <v>42425</v>
      </c>
      <c r="C527" s="3">
        <v>8287</v>
      </c>
      <c r="D527" s="3">
        <v>8375</v>
      </c>
      <c r="E527" s="3">
        <v>8271</v>
      </c>
      <c r="F527" s="3">
        <v>8337</v>
      </c>
      <c r="G527" s="3">
        <v>146795</v>
      </c>
      <c r="H527" s="3">
        <v>1.2050000000000001</v>
      </c>
      <c r="I527" s="2">
        <f t="shared" si="117"/>
        <v>0</v>
      </c>
      <c r="J527" s="10">
        <f t="shared" si="119"/>
        <v>39</v>
      </c>
      <c r="K527" s="10">
        <f t="shared" si="118"/>
        <v>50</v>
      </c>
      <c r="L527" s="10">
        <f t="shared" ca="1" si="107"/>
        <v>0</v>
      </c>
      <c r="M527" s="10">
        <f t="shared" ca="1" si="109"/>
        <v>0</v>
      </c>
      <c r="N527" s="30">
        <f t="shared" ca="1" si="110"/>
        <v>0</v>
      </c>
      <c r="O527" s="10">
        <f t="shared" ca="1" si="111"/>
        <v>0</v>
      </c>
      <c r="P527" s="29">
        <f t="shared" ca="1" si="112"/>
        <v>0</v>
      </c>
      <c r="Q527" s="12">
        <f t="shared" ca="1" si="113"/>
        <v>-291600</v>
      </c>
      <c r="R527" s="10">
        <f t="shared" ca="1" si="114"/>
        <v>0</v>
      </c>
      <c r="S527" s="10">
        <f t="shared" ca="1" si="104"/>
        <v>-1.6372824510514865</v>
      </c>
      <c r="T527" s="14">
        <f t="shared" ca="1" si="105"/>
        <v>-0.2880042751554317</v>
      </c>
      <c r="U527" s="12">
        <f t="shared" ca="1" si="115"/>
        <v>7900</v>
      </c>
      <c r="V527" s="14">
        <f t="shared" ca="1" si="116"/>
        <v>-3791.1392405063293</v>
      </c>
      <c r="W527" s="12">
        <f t="shared" ca="1" si="106"/>
        <v>0</v>
      </c>
      <c r="X527" s="7">
        <f ca="1">AVERAGE(E527:OFFSET(F527,-$X$5+1,0))</f>
        <v>8278.1</v>
      </c>
      <c r="Y527" s="7">
        <f ca="1">AVERAGE(E527:OFFSET(F527,-$Y$5+1,0))</f>
        <v>8198.4</v>
      </c>
      <c r="Z527" s="7">
        <f t="shared" ca="1" si="108"/>
        <v>0</v>
      </c>
    </row>
    <row r="528" spans="1:26">
      <c r="A528" s="3" t="s">
        <v>49</v>
      </c>
      <c r="B528" s="4">
        <v>42426</v>
      </c>
      <c r="C528" s="3">
        <v>8390</v>
      </c>
      <c r="D528" s="3">
        <v>8416</v>
      </c>
      <c r="E528" s="3">
        <v>8311</v>
      </c>
      <c r="F528" s="3">
        <v>8391</v>
      </c>
      <c r="G528" s="3">
        <v>139525</v>
      </c>
      <c r="H528" s="3">
        <v>1.2050000000000001</v>
      </c>
      <c r="I528" s="2">
        <f t="shared" si="117"/>
        <v>0</v>
      </c>
      <c r="J528" s="10">
        <f t="shared" si="119"/>
        <v>53</v>
      </c>
      <c r="K528" s="10">
        <f t="shared" si="118"/>
        <v>1</v>
      </c>
      <c r="L528" s="10">
        <f t="shared" ca="1" si="107"/>
        <v>0</v>
      </c>
      <c r="M528" s="10">
        <f t="shared" ca="1" si="109"/>
        <v>0</v>
      </c>
      <c r="N528" s="30">
        <f t="shared" ca="1" si="110"/>
        <v>0</v>
      </c>
      <c r="O528" s="10">
        <f t="shared" ca="1" si="111"/>
        <v>0</v>
      </c>
      <c r="P528" s="29">
        <f t="shared" ca="1" si="112"/>
        <v>0</v>
      </c>
      <c r="Q528" s="12">
        <f t="shared" ca="1" si="113"/>
        <v>-291600</v>
      </c>
      <c r="R528" s="10">
        <f t="shared" ca="1" si="114"/>
        <v>0</v>
      </c>
      <c r="S528" s="10">
        <f t="shared" ca="1" si="104"/>
        <v>-1.6372824510514865</v>
      </c>
      <c r="T528" s="14">
        <f t="shared" ca="1" si="105"/>
        <v>-0.2879500749146901</v>
      </c>
      <c r="U528" s="12">
        <f t="shared" ca="1" si="115"/>
        <v>7900</v>
      </c>
      <c r="V528" s="14">
        <f t="shared" ca="1" si="116"/>
        <v>-3791.1392405063293</v>
      </c>
      <c r="W528" s="12">
        <f t="shared" ca="1" si="106"/>
        <v>0</v>
      </c>
      <c r="X528" s="7">
        <f ca="1">AVERAGE(E528:OFFSET(F528,-$X$5+1,0))</f>
        <v>8292.6</v>
      </c>
      <c r="Y528" s="7">
        <f ca="1">AVERAGE(E528:OFFSET(F528,-$Y$5+1,0))</f>
        <v>8232.15</v>
      </c>
      <c r="Z528" s="7">
        <f t="shared" ca="1" si="108"/>
        <v>0</v>
      </c>
    </row>
    <row r="529" spans="1:26">
      <c r="A529" s="3" t="s">
        <v>49</v>
      </c>
      <c r="B529" s="4">
        <v>42430</v>
      </c>
      <c r="C529" s="3">
        <v>8372</v>
      </c>
      <c r="D529" s="3">
        <v>8484</v>
      </c>
      <c r="E529" s="3">
        <v>8360</v>
      </c>
      <c r="F529" s="3">
        <v>8448</v>
      </c>
      <c r="G529" s="3">
        <v>136259</v>
      </c>
      <c r="H529" s="3">
        <v>1.2050000000000001</v>
      </c>
      <c r="I529" s="2">
        <f t="shared" si="117"/>
        <v>0</v>
      </c>
      <c r="J529" s="10">
        <f t="shared" si="119"/>
        <v>-19</v>
      </c>
      <c r="K529" s="10">
        <f t="shared" si="118"/>
        <v>76</v>
      </c>
      <c r="L529" s="10">
        <f t="shared" ca="1" si="107"/>
        <v>0</v>
      </c>
      <c r="M529" s="10">
        <f t="shared" ca="1" si="109"/>
        <v>0</v>
      </c>
      <c r="N529" s="30">
        <f t="shared" ca="1" si="110"/>
        <v>0</v>
      </c>
      <c r="O529" s="10">
        <f t="shared" ca="1" si="111"/>
        <v>0</v>
      </c>
      <c r="P529" s="29">
        <f t="shared" ca="1" si="112"/>
        <v>0</v>
      </c>
      <c r="Q529" s="12">
        <f t="shared" ca="1" si="113"/>
        <v>-291600</v>
      </c>
      <c r="R529" s="10">
        <f t="shared" ca="1" si="114"/>
        <v>0</v>
      </c>
      <c r="S529" s="10">
        <f t="shared" ca="1" si="104"/>
        <v>-1.6372824510514865</v>
      </c>
      <c r="T529" s="14">
        <f t="shared" ca="1" si="105"/>
        <v>-0.28790644635785878</v>
      </c>
      <c r="U529" s="12">
        <f t="shared" ca="1" si="115"/>
        <v>7900</v>
      </c>
      <c r="V529" s="14">
        <f t="shared" ca="1" si="116"/>
        <v>-3791.1392405063293</v>
      </c>
      <c r="W529" s="12">
        <f t="shared" ca="1" si="106"/>
        <v>0</v>
      </c>
      <c r="X529" s="7">
        <f ca="1">AVERAGE(E529:OFFSET(F529,-$X$5+1,0))</f>
        <v>8317.1</v>
      </c>
      <c r="Y529" s="7">
        <f ca="1">AVERAGE(E529:OFFSET(F529,-$Y$5+1,0))</f>
        <v>8274.75</v>
      </c>
      <c r="Z529" s="7">
        <f t="shared" ca="1" si="108"/>
        <v>0</v>
      </c>
    </row>
    <row r="530" spans="1:26">
      <c r="A530" s="3" t="s">
        <v>49</v>
      </c>
      <c r="B530" s="4">
        <v>42431</v>
      </c>
      <c r="C530" s="3">
        <v>8540</v>
      </c>
      <c r="D530" s="3">
        <v>8575</v>
      </c>
      <c r="E530" s="3">
        <v>8500</v>
      </c>
      <c r="F530" s="3">
        <v>8517</v>
      </c>
      <c r="G530" s="3">
        <v>130846</v>
      </c>
      <c r="H530" s="3">
        <v>1.2050000000000001</v>
      </c>
      <c r="I530" s="2">
        <f t="shared" si="117"/>
        <v>0</v>
      </c>
      <c r="J530" s="10">
        <f t="shared" si="119"/>
        <v>92</v>
      </c>
      <c r="K530" s="10">
        <f t="shared" si="118"/>
        <v>-23</v>
      </c>
      <c r="L530" s="10">
        <f t="shared" ca="1" si="107"/>
        <v>0</v>
      </c>
      <c r="M530" s="10">
        <f t="shared" ca="1" si="109"/>
        <v>0</v>
      </c>
      <c r="N530" s="30">
        <f t="shared" ca="1" si="110"/>
        <v>0</v>
      </c>
      <c r="O530" s="10">
        <f t="shared" ca="1" si="111"/>
        <v>0</v>
      </c>
      <c r="P530" s="29">
        <f t="shared" ca="1" si="112"/>
        <v>0</v>
      </c>
      <c r="Q530" s="12">
        <f t="shared" ca="1" si="113"/>
        <v>-291600</v>
      </c>
      <c r="R530" s="10">
        <f t="shared" ca="1" si="114"/>
        <v>0</v>
      </c>
      <c r="S530" s="10">
        <f t="shared" ca="1" si="104"/>
        <v>-1.6865708846990572</v>
      </c>
      <c r="T530" s="14">
        <f t="shared" ca="1" si="105"/>
        <v>-0.29351883211313967</v>
      </c>
      <c r="U530" s="12">
        <f t="shared" ca="1" si="115"/>
        <v>7900</v>
      </c>
      <c r="V530" s="14">
        <f t="shared" ca="1" si="116"/>
        <v>-3791.1392405063293</v>
      </c>
      <c r="W530" s="12">
        <f t="shared" ca="1" si="106"/>
        <v>0</v>
      </c>
      <c r="X530" s="7">
        <f ca="1">AVERAGE(E530:OFFSET(F530,-$X$5+1,0))</f>
        <v>8359.9</v>
      </c>
      <c r="Y530" s="7">
        <f ca="1">AVERAGE(E530:OFFSET(F530,-$Y$5+1,0))</f>
        <v>8311.5</v>
      </c>
      <c r="Z530" s="7">
        <f t="shared" ca="1" si="108"/>
        <v>0</v>
      </c>
    </row>
    <row r="531" spans="1:26">
      <c r="A531" s="3" t="s">
        <v>49</v>
      </c>
      <c r="B531" s="4">
        <v>42432</v>
      </c>
      <c r="C531" s="3">
        <v>8530</v>
      </c>
      <c r="D531" s="3">
        <v>8606</v>
      </c>
      <c r="E531" s="3">
        <v>8517</v>
      </c>
      <c r="F531" s="3">
        <v>8566</v>
      </c>
      <c r="G531" s="3">
        <v>133529</v>
      </c>
      <c r="H531" s="3">
        <v>1.2050000000000001</v>
      </c>
      <c r="I531" s="2">
        <f t="shared" si="117"/>
        <v>0</v>
      </c>
      <c r="J531" s="10">
        <f t="shared" si="119"/>
        <v>13</v>
      </c>
      <c r="K531" s="10">
        <f t="shared" si="118"/>
        <v>36</v>
      </c>
      <c r="L531" s="10">
        <f t="shared" ca="1" si="107"/>
        <v>0</v>
      </c>
      <c r="M531" s="10">
        <f t="shared" ca="1" si="109"/>
        <v>0</v>
      </c>
      <c r="N531" s="30">
        <f t="shared" ca="1" si="110"/>
        <v>0</v>
      </c>
      <c r="O531" s="10">
        <f t="shared" ca="1" si="111"/>
        <v>0</v>
      </c>
      <c r="P531" s="29">
        <f t="shared" ca="1" si="112"/>
        <v>0</v>
      </c>
      <c r="Q531" s="12">
        <f t="shared" ca="1" si="113"/>
        <v>-291600</v>
      </c>
      <c r="R531" s="10">
        <f t="shared" ca="1" si="114"/>
        <v>0</v>
      </c>
      <c r="S531" s="10">
        <f t="shared" ca="1" si="104"/>
        <v>-1.6967684916606236</v>
      </c>
      <c r="T531" s="14">
        <f t="shared" ca="1" si="105"/>
        <v>-0.2951872901405968</v>
      </c>
      <c r="U531" s="12">
        <f t="shared" ca="1" si="115"/>
        <v>7900</v>
      </c>
      <c r="V531" s="14">
        <f t="shared" ca="1" si="116"/>
        <v>-3791.1392405063293</v>
      </c>
      <c r="W531" s="12">
        <f t="shared" ca="1" si="106"/>
        <v>-30.379746835443036</v>
      </c>
      <c r="X531" s="7">
        <f ca="1">AVERAGE(E531:OFFSET(F531,-$X$5+1,0))</f>
        <v>8421.7999999999993</v>
      </c>
      <c r="Y531" s="7">
        <f ca="1">AVERAGE(E531:OFFSET(F531,-$Y$5+1,0))</f>
        <v>8345.4</v>
      </c>
      <c r="Z531" s="7">
        <f t="shared" ca="1" si="108"/>
        <v>0</v>
      </c>
    </row>
    <row r="532" spans="1:26">
      <c r="A532" s="3" t="s">
        <v>49</v>
      </c>
      <c r="B532" s="4">
        <v>42433</v>
      </c>
      <c r="C532" s="3">
        <v>8570</v>
      </c>
      <c r="D532" s="3">
        <v>8618</v>
      </c>
      <c r="E532" s="3">
        <v>8548</v>
      </c>
      <c r="F532" s="3">
        <v>8602</v>
      </c>
      <c r="G532" s="3">
        <v>124749</v>
      </c>
      <c r="H532" s="3">
        <v>1.2050000000000001</v>
      </c>
      <c r="I532" s="2">
        <f t="shared" si="117"/>
        <v>0</v>
      </c>
      <c r="J532" s="10">
        <f t="shared" si="119"/>
        <v>4</v>
      </c>
      <c r="K532" s="10">
        <f t="shared" si="118"/>
        <v>32</v>
      </c>
      <c r="L532" s="10">
        <f t="shared" ca="1" si="107"/>
        <v>0</v>
      </c>
      <c r="M532" s="10">
        <f t="shared" ca="1" si="109"/>
        <v>0</v>
      </c>
      <c r="N532" s="30">
        <f t="shared" ca="1" si="110"/>
        <v>0</v>
      </c>
      <c r="O532" s="10">
        <f t="shared" ca="1" si="111"/>
        <v>0</v>
      </c>
      <c r="P532" s="29">
        <f t="shared" ca="1" si="112"/>
        <v>0</v>
      </c>
      <c r="Q532" s="12">
        <f t="shared" ca="1" si="113"/>
        <v>-291600</v>
      </c>
      <c r="R532" s="10">
        <f t="shared" ca="1" si="114"/>
        <v>0</v>
      </c>
      <c r="S532" s="10">
        <f t="shared" ca="1" si="104"/>
        <v>-1.5970585569253082</v>
      </c>
      <c r="T532" s="14">
        <f t="shared" ca="1" si="105"/>
        <v>-0.28655929309618788</v>
      </c>
      <c r="U532" s="12">
        <f t="shared" ca="1" si="115"/>
        <v>7900</v>
      </c>
      <c r="V532" s="14">
        <f t="shared" ca="1" si="116"/>
        <v>-3791.1392405063293</v>
      </c>
      <c r="W532" s="12">
        <f t="shared" ca="1" si="106"/>
        <v>-30.379746835443036</v>
      </c>
      <c r="X532" s="7">
        <f ca="1">AVERAGE(E532:OFFSET(F532,-$X$5+1,0))</f>
        <v>8476</v>
      </c>
      <c r="Y532" s="7">
        <f ca="1">AVERAGE(E532:OFFSET(F532,-$Y$5+1,0))</f>
        <v>8377.0499999999993</v>
      </c>
      <c r="Z532" s="7">
        <f t="shared" ca="1" si="108"/>
        <v>0</v>
      </c>
    </row>
    <row r="533" spans="1:26">
      <c r="A533" s="3" t="s">
        <v>49</v>
      </c>
      <c r="B533" s="4">
        <v>42436</v>
      </c>
      <c r="C533" s="3">
        <v>8605</v>
      </c>
      <c r="D533" s="3">
        <v>8685</v>
      </c>
      <c r="E533" s="3">
        <v>8573</v>
      </c>
      <c r="F533" s="3">
        <v>8605</v>
      </c>
      <c r="G533" s="3">
        <v>128900</v>
      </c>
      <c r="H533" s="3">
        <v>1.2050000000000001</v>
      </c>
      <c r="I533" s="2">
        <f t="shared" si="117"/>
        <v>0</v>
      </c>
      <c r="J533" s="10">
        <f t="shared" si="119"/>
        <v>3</v>
      </c>
      <c r="K533" s="10">
        <f t="shared" si="118"/>
        <v>0</v>
      </c>
      <c r="L533" s="10">
        <f t="shared" ca="1" si="107"/>
        <v>0</v>
      </c>
      <c r="M533" s="10">
        <f t="shared" ca="1" si="109"/>
        <v>0</v>
      </c>
      <c r="N533" s="30">
        <f t="shared" ca="1" si="110"/>
        <v>0</v>
      </c>
      <c r="O533" s="10">
        <f t="shared" ca="1" si="111"/>
        <v>0</v>
      </c>
      <c r="P533" s="29">
        <f t="shared" ca="1" si="112"/>
        <v>0</v>
      </c>
      <c r="Q533" s="12">
        <f t="shared" ca="1" si="113"/>
        <v>-291600</v>
      </c>
      <c r="R533" s="10">
        <f t="shared" ca="1" si="114"/>
        <v>0</v>
      </c>
      <c r="S533" s="10">
        <f t="shared" ca="1" si="104"/>
        <v>-1.6072561638868745</v>
      </c>
      <c r="T533" s="14">
        <f t="shared" ca="1" si="105"/>
        <v>-0.28754279897307111</v>
      </c>
      <c r="U533" s="12">
        <f t="shared" ca="1" si="115"/>
        <v>7900</v>
      </c>
      <c r="V533" s="14">
        <f t="shared" ca="1" si="116"/>
        <v>-3791.1392405063293</v>
      </c>
      <c r="W533" s="12">
        <f t="shared" ca="1" si="106"/>
        <v>-30.379746835443036</v>
      </c>
      <c r="X533" s="7">
        <f ca="1">AVERAGE(E533:OFFSET(F533,-$X$5+1,0))</f>
        <v>8523.6</v>
      </c>
      <c r="Y533" s="7">
        <f ca="1">AVERAGE(E533:OFFSET(F533,-$Y$5+1,0))</f>
        <v>8408.1</v>
      </c>
      <c r="Z533" s="7">
        <f t="shared" ca="1" si="108"/>
        <v>0</v>
      </c>
    </row>
    <row r="534" spans="1:26">
      <c r="A534" s="3" t="s">
        <v>49</v>
      </c>
      <c r="B534" s="4">
        <v>42437</v>
      </c>
      <c r="C534" s="3">
        <v>8611</v>
      </c>
      <c r="D534" s="3">
        <v>8620</v>
      </c>
      <c r="E534" s="3">
        <v>8525</v>
      </c>
      <c r="F534" s="3">
        <v>8614</v>
      </c>
      <c r="G534" s="3">
        <v>136044</v>
      </c>
      <c r="H534" s="3">
        <v>1.2050000000000001</v>
      </c>
      <c r="I534" s="2">
        <f t="shared" si="117"/>
        <v>0</v>
      </c>
      <c r="J534" s="10">
        <f t="shared" si="119"/>
        <v>6</v>
      </c>
      <c r="K534" s="10">
        <f t="shared" si="118"/>
        <v>3</v>
      </c>
      <c r="L534" s="10">
        <f t="shared" ca="1" si="107"/>
        <v>0</v>
      </c>
      <c r="M534" s="10">
        <f t="shared" ca="1" si="109"/>
        <v>0</v>
      </c>
      <c r="N534" s="30">
        <f t="shared" ca="1" si="110"/>
        <v>0</v>
      </c>
      <c r="O534" s="10">
        <f t="shared" ca="1" si="111"/>
        <v>0</v>
      </c>
      <c r="P534" s="29">
        <f t="shared" ca="1" si="112"/>
        <v>0</v>
      </c>
      <c r="Q534" s="12">
        <f t="shared" ca="1" si="113"/>
        <v>-291600</v>
      </c>
      <c r="R534" s="10">
        <f t="shared" ca="1" si="114"/>
        <v>0</v>
      </c>
      <c r="S534" s="10">
        <f t="shared" ca="1" si="104"/>
        <v>-1.6661756707759245</v>
      </c>
      <c r="T534" s="14">
        <f t="shared" ca="1" si="105"/>
        <v>-0.29329266378539792</v>
      </c>
      <c r="U534" s="12">
        <f t="shared" ca="1" si="115"/>
        <v>7900</v>
      </c>
      <c r="V534" s="14">
        <f t="shared" ca="1" si="116"/>
        <v>-3791.1392405063293</v>
      </c>
      <c r="W534" s="12">
        <f t="shared" ca="1" si="106"/>
        <v>-30.379746835443036</v>
      </c>
      <c r="X534" s="7">
        <f ca="1">AVERAGE(E534:OFFSET(F534,-$X$5+1,0))</f>
        <v>8556.7000000000007</v>
      </c>
      <c r="Y534" s="7">
        <f ca="1">AVERAGE(E534:OFFSET(F534,-$Y$5+1,0))</f>
        <v>8436.9</v>
      </c>
      <c r="Z534" s="7">
        <f t="shared" ca="1" si="108"/>
        <v>0</v>
      </c>
    </row>
    <row r="535" spans="1:26">
      <c r="A535" s="3" t="s">
        <v>49</v>
      </c>
      <c r="B535" s="4">
        <v>42438</v>
      </c>
      <c r="C535" s="3">
        <v>8613</v>
      </c>
      <c r="D535" s="3">
        <v>8632</v>
      </c>
      <c r="E535" s="3">
        <v>8555</v>
      </c>
      <c r="F535" s="3">
        <v>8620</v>
      </c>
      <c r="G535" s="3">
        <v>117377</v>
      </c>
      <c r="H535" s="3">
        <v>1.2050000000000001</v>
      </c>
      <c r="I535" s="2">
        <f t="shared" si="117"/>
        <v>0</v>
      </c>
      <c r="J535" s="10">
        <f t="shared" si="119"/>
        <v>-1</v>
      </c>
      <c r="K535" s="10">
        <f t="shared" si="118"/>
        <v>7</v>
      </c>
      <c r="L535" s="10">
        <f t="shared" ca="1" si="107"/>
        <v>0</v>
      </c>
      <c r="M535" s="10">
        <f t="shared" ca="1" si="109"/>
        <v>0</v>
      </c>
      <c r="N535" s="30">
        <f t="shared" ca="1" si="110"/>
        <v>0</v>
      </c>
      <c r="O535" s="10">
        <f t="shared" ca="1" si="111"/>
        <v>0</v>
      </c>
      <c r="P535" s="29">
        <f t="shared" ca="1" si="112"/>
        <v>0</v>
      </c>
      <c r="Q535" s="12">
        <f t="shared" ca="1" si="113"/>
        <v>-291600</v>
      </c>
      <c r="R535" s="10">
        <f t="shared" ca="1" si="114"/>
        <v>0</v>
      </c>
      <c r="S535" s="10">
        <f t="shared" ca="1" si="104"/>
        <v>-1.6571111312545324</v>
      </c>
      <c r="T535" s="14">
        <f t="shared" ca="1" si="105"/>
        <v>-0.29235095087201241</v>
      </c>
      <c r="U535" s="12">
        <f t="shared" ca="1" si="115"/>
        <v>7900</v>
      </c>
      <c r="V535" s="14">
        <f t="shared" ca="1" si="116"/>
        <v>-3791.1392405063293</v>
      </c>
      <c r="W535" s="12">
        <f t="shared" ca="1" si="106"/>
        <v>-30.379746835443036</v>
      </c>
      <c r="X535" s="7">
        <f ca="1">AVERAGE(E535:OFFSET(F535,-$X$5+1,0))</f>
        <v>8572.5</v>
      </c>
      <c r="Y535" s="7">
        <f ca="1">AVERAGE(E535:OFFSET(F535,-$Y$5+1,0))</f>
        <v>8466.2000000000007</v>
      </c>
      <c r="Z535" s="7">
        <f t="shared" ca="1" si="108"/>
        <v>0</v>
      </c>
    </row>
    <row r="536" spans="1:26">
      <c r="A536" s="3" t="s">
        <v>49</v>
      </c>
      <c r="B536" s="4">
        <v>42439</v>
      </c>
      <c r="C536" s="3">
        <v>8629</v>
      </c>
      <c r="D536" s="3">
        <v>8676</v>
      </c>
      <c r="E536" s="3">
        <v>8601</v>
      </c>
      <c r="F536" s="3">
        <v>8641</v>
      </c>
      <c r="G536" s="3">
        <v>120396</v>
      </c>
      <c r="H536" s="3">
        <v>1.2050000000000001</v>
      </c>
      <c r="I536" s="2">
        <f t="shared" si="117"/>
        <v>0</v>
      </c>
      <c r="J536" s="10">
        <f t="shared" si="119"/>
        <v>9</v>
      </c>
      <c r="K536" s="10">
        <f t="shared" si="118"/>
        <v>12</v>
      </c>
      <c r="L536" s="10">
        <f t="shared" ca="1" si="107"/>
        <v>0</v>
      </c>
      <c r="M536" s="10">
        <f t="shared" ca="1" si="109"/>
        <v>0</v>
      </c>
      <c r="N536" s="30">
        <f t="shared" ca="1" si="110"/>
        <v>0</v>
      </c>
      <c r="O536" s="10">
        <f t="shared" ca="1" si="111"/>
        <v>0</v>
      </c>
      <c r="P536" s="29">
        <f t="shared" ca="1" si="112"/>
        <v>0</v>
      </c>
      <c r="Q536" s="12">
        <f t="shared" ca="1" si="113"/>
        <v>-291600</v>
      </c>
      <c r="R536" s="10">
        <f t="shared" ca="1" si="114"/>
        <v>0</v>
      </c>
      <c r="S536" s="10">
        <f t="shared" ca="1" si="104"/>
        <v>-1.649746192893401</v>
      </c>
      <c r="T536" s="14">
        <f t="shared" ca="1" si="105"/>
        <v>-0.29158030719320532</v>
      </c>
      <c r="U536" s="12">
        <f t="shared" ca="1" si="115"/>
        <v>7900</v>
      </c>
      <c r="V536" s="14">
        <f t="shared" ca="1" si="116"/>
        <v>-3791.1392405063293</v>
      </c>
      <c r="W536" s="12">
        <f t="shared" ca="1" si="106"/>
        <v>-30.379746835443036</v>
      </c>
      <c r="X536" s="7">
        <f ca="1">AVERAGE(E536:OFFSET(F536,-$X$5+1,0))</f>
        <v>8588.4</v>
      </c>
      <c r="Y536" s="7">
        <f ca="1">AVERAGE(E536:OFFSET(F536,-$Y$5+1,0))</f>
        <v>8505.1</v>
      </c>
      <c r="Z536" s="7">
        <f t="shared" ca="1" si="108"/>
        <v>0</v>
      </c>
    </row>
    <row r="537" spans="1:26">
      <c r="A537" s="3" t="s">
        <v>49</v>
      </c>
      <c r="B537" s="4">
        <v>42440</v>
      </c>
      <c r="C537" s="3">
        <v>8618</v>
      </c>
      <c r="D537" s="3">
        <v>8707</v>
      </c>
      <c r="E537" s="3">
        <v>8608</v>
      </c>
      <c r="F537" s="3">
        <v>8707</v>
      </c>
      <c r="G537" s="3">
        <v>132707</v>
      </c>
      <c r="H537" s="3">
        <v>1.2050000000000001</v>
      </c>
      <c r="I537" s="2">
        <f t="shared" si="117"/>
        <v>0</v>
      </c>
      <c r="J537" s="10">
        <f t="shared" si="119"/>
        <v>-23</v>
      </c>
      <c r="K537" s="10">
        <f t="shared" si="118"/>
        <v>89</v>
      </c>
      <c r="L537" s="10">
        <f t="shared" ca="1" si="107"/>
        <v>0</v>
      </c>
      <c r="M537" s="10">
        <f t="shared" ca="1" si="109"/>
        <v>0</v>
      </c>
      <c r="N537" s="30">
        <f t="shared" ca="1" si="110"/>
        <v>0</v>
      </c>
      <c r="O537" s="10">
        <f t="shared" ca="1" si="111"/>
        <v>0</v>
      </c>
      <c r="P537" s="29">
        <f t="shared" ca="1" si="112"/>
        <v>0</v>
      </c>
      <c r="Q537" s="12">
        <f t="shared" ca="1" si="113"/>
        <v>-291600</v>
      </c>
      <c r="R537" s="10">
        <f t="shared" ca="1" si="114"/>
        <v>0</v>
      </c>
      <c r="S537" s="10">
        <f t="shared" ca="1" si="104"/>
        <v>-1.8918264944856218</v>
      </c>
      <c r="T537" s="14">
        <f t="shared" ca="1" si="105"/>
        <v>-0.31595167870988994</v>
      </c>
      <c r="U537" s="12">
        <f t="shared" ca="1" si="115"/>
        <v>7900</v>
      </c>
      <c r="V537" s="14">
        <f t="shared" ca="1" si="116"/>
        <v>-3791.1392405063293</v>
      </c>
      <c r="W537" s="12">
        <f t="shared" ca="1" si="106"/>
        <v>-53.164556962025316</v>
      </c>
      <c r="X537" s="7">
        <f ca="1">AVERAGE(E537:OFFSET(F537,-$X$5+1,0))</f>
        <v>8604.9</v>
      </c>
      <c r="Y537" s="7">
        <f ca="1">AVERAGE(E537:OFFSET(F537,-$Y$5+1,0))</f>
        <v>8540.4500000000007</v>
      </c>
      <c r="Z537" s="7">
        <f t="shared" ca="1" si="108"/>
        <v>0</v>
      </c>
    </row>
    <row r="538" spans="1:26">
      <c r="A538" s="3" t="s">
        <v>49</v>
      </c>
      <c r="B538" s="4">
        <v>42443</v>
      </c>
      <c r="C538" s="3">
        <v>8727</v>
      </c>
      <c r="D538" s="3">
        <v>8778</v>
      </c>
      <c r="E538" s="3">
        <v>8725</v>
      </c>
      <c r="F538" s="3">
        <v>8741</v>
      </c>
      <c r="G538" s="3">
        <v>112139</v>
      </c>
      <c r="H538" s="3">
        <v>1.2050000000000001</v>
      </c>
      <c r="I538" s="2">
        <f t="shared" si="117"/>
        <v>0</v>
      </c>
      <c r="J538" s="10">
        <f t="shared" si="119"/>
        <v>20</v>
      </c>
      <c r="K538" s="10">
        <f t="shared" si="118"/>
        <v>14</v>
      </c>
      <c r="L538" s="10">
        <f t="shared" ca="1" si="107"/>
        <v>0</v>
      </c>
      <c r="M538" s="10">
        <f t="shared" ca="1" si="109"/>
        <v>0</v>
      </c>
      <c r="N538" s="30">
        <f t="shared" ca="1" si="110"/>
        <v>0</v>
      </c>
      <c r="O538" s="10">
        <f t="shared" ca="1" si="111"/>
        <v>0</v>
      </c>
      <c r="P538" s="29">
        <f t="shared" ca="1" si="112"/>
        <v>0</v>
      </c>
      <c r="Q538" s="12">
        <f t="shared" ca="1" si="113"/>
        <v>-291600</v>
      </c>
      <c r="R538" s="10">
        <f t="shared" ca="1" si="114"/>
        <v>0</v>
      </c>
      <c r="S538" s="10">
        <f t="shared" ca="1" si="104"/>
        <v>-1.8803647385446116</v>
      </c>
      <c r="T538" s="14">
        <f t="shared" ca="1" si="105"/>
        <v>-0.31477112118449735</v>
      </c>
      <c r="U538" s="12">
        <f t="shared" ca="1" si="115"/>
        <v>7900</v>
      </c>
      <c r="V538" s="14">
        <f t="shared" ca="1" si="116"/>
        <v>-3791.1392405063293</v>
      </c>
      <c r="W538" s="12">
        <f t="shared" ca="1" si="106"/>
        <v>-73.417721518987335</v>
      </c>
      <c r="X538" s="7">
        <f ca="1">AVERAGE(E538:OFFSET(F538,-$X$5+1,0))</f>
        <v>8633.7000000000007</v>
      </c>
      <c r="Y538" s="7">
        <f ca="1">AVERAGE(E538:OFFSET(F538,-$Y$5+1,0))</f>
        <v>8578.65</v>
      </c>
      <c r="Z538" s="7">
        <f t="shared" ca="1" si="108"/>
        <v>0</v>
      </c>
    </row>
    <row r="539" spans="1:26">
      <c r="A539" s="3" t="s">
        <v>49</v>
      </c>
      <c r="B539" s="4">
        <v>42444</v>
      </c>
      <c r="C539" s="3">
        <v>8739</v>
      </c>
      <c r="D539" s="3">
        <v>8750</v>
      </c>
      <c r="E539" s="3">
        <v>8578</v>
      </c>
      <c r="F539" s="3">
        <v>8603</v>
      </c>
      <c r="G539" s="3">
        <v>167109</v>
      </c>
      <c r="H539" s="3">
        <v>1.2050000000000001</v>
      </c>
      <c r="I539" s="2">
        <f t="shared" si="117"/>
        <v>0</v>
      </c>
      <c r="J539" s="10">
        <f t="shared" si="119"/>
        <v>-2</v>
      </c>
      <c r="K539" s="10">
        <f t="shared" si="118"/>
        <v>-136</v>
      </c>
      <c r="L539" s="10">
        <f t="shared" ca="1" si="107"/>
        <v>0</v>
      </c>
      <c r="M539" s="10">
        <f t="shared" ca="1" si="109"/>
        <v>0</v>
      </c>
      <c r="N539" s="30">
        <f t="shared" ca="1" si="110"/>
        <v>0</v>
      </c>
      <c r="O539" s="10">
        <f t="shared" ca="1" si="111"/>
        <v>0</v>
      </c>
      <c r="P539" s="29">
        <f t="shared" ca="1" si="112"/>
        <v>0</v>
      </c>
      <c r="Q539" s="12">
        <f t="shared" ca="1" si="113"/>
        <v>-291600</v>
      </c>
      <c r="R539" s="10">
        <f t="shared" ca="1" si="114"/>
        <v>0</v>
      </c>
      <c r="S539" s="10">
        <f t="shared" ca="1" si="104"/>
        <v>-1.8701765110414916</v>
      </c>
      <c r="T539" s="14">
        <f t="shared" ca="1" si="105"/>
        <v>-0.31505232685274182</v>
      </c>
      <c r="U539" s="12">
        <f t="shared" ca="1" si="115"/>
        <v>7900</v>
      </c>
      <c r="V539" s="14">
        <f t="shared" ca="1" si="116"/>
        <v>-3791.1392405063293</v>
      </c>
      <c r="W539" s="12">
        <f t="shared" ca="1" si="106"/>
        <v>-144.30379746835442</v>
      </c>
      <c r="X539" s="7">
        <f ca="1">AVERAGE(E539:OFFSET(F539,-$X$5+1,0))</f>
        <v>8637.9</v>
      </c>
      <c r="Y539" s="7">
        <f ca="1">AVERAGE(E539:OFFSET(F539,-$Y$5+1,0))</f>
        <v>8597.2999999999993</v>
      </c>
      <c r="Z539" s="7">
        <f t="shared" ca="1" si="108"/>
        <v>0</v>
      </c>
    </row>
    <row r="540" spans="1:26">
      <c r="A540" s="3" t="s">
        <v>49</v>
      </c>
      <c r="B540" s="4">
        <v>42445</v>
      </c>
      <c r="C540" s="3">
        <v>8636</v>
      </c>
      <c r="D540" s="3">
        <v>8705</v>
      </c>
      <c r="E540" s="3">
        <v>8633</v>
      </c>
      <c r="F540" s="3">
        <v>8691</v>
      </c>
      <c r="G540" s="3">
        <v>64232</v>
      </c>
      <c r="H540" s="3">
        <v>1.2050000000000001</v>
      </c>
      <c r="I540" s="2">
        <f t="shared" si="117"/>
        <v>1</v>
      </c>
      <c r="J540" s="10">
        <f t="shared" si="119"/>
        <v>33</v>
      </c>
      <c r="K540" s="10">
        <f t="shared" si="118"/>
        <v>55</v>
      </c>
      <c r="L540" s="10">
        <f t="shared" ca="1" si="107"/>
        <v>0</v>
      </c>
      <c r="M540" s="10">
        <f t="shared" si="109"/>
        <v>0</v>
      </c>
      <c r="N540" s="30">
        <f t="shared" si="110"/>
        <v>0</v>
      </c>
      <c r="O540" s="10">
        <f t="shared" si="111"/>
        <v>0</v>
      </c>
      <c r="P540" s="29">
        <f t="shared" ca="1" si="112"/>
        <v>0</v>
      </c>
      <c r="Q540" s="12">
        <f t="shared" ca="1" si="113"/>
        <v>-291600</v>
      </c>
      <c r="R540" s="10">
        <f t="shared" ca="1" si="114"/>
        <v>0</v>
      </c>
      <c r="S540" s="10">
        <f t="shared" ca="1" si="104"/>
        <v>-1.8345177147805711</v>
      </c>
      <c r="T540" s="14">
        <f t="shared" ca="1" si="105"/>
        <v>-0.31154662830428204</v>
      </c>
      <c r="U540" s="12">
        <f t="shared" ca="1" si="115"/>
        <v>7900</v>
      </c>
      <c r="V540" s="14">
        <f t="shared" ca="1" si="116"/>
        <v>-3791.1392405063293</v>
      </c>
      <c r="W540" s="12">
        <f t="shared" ca="1" si="106"/>
        <v>-225.31645569620252</v>
      </c>
      <c r="X540" s="7">
        <f ca="1">AVERAGE(E540:OFFSET(F540,-$X$5+1,0))</f>
        <v>8652.7999999999993</v>
      </c>
      <c r="Y540" s="7">
        <f ca="1">AVERAGE(E540:OFFSET(F540,-$Y$5+1,0))</f>
        <v>8612.65</v>
      </c>
      <c r="Z540" s="7">
        <f t="shared" ca="1" si="108"/>
        <v>0</v>
      </c>
    </row>
    <row r="541" spans="1:26">
      <c r="A541" s="3" t="s">
        <v>50</v>
      </c>
      <c r="B541" s="4">
        <v>42446</v>
      </c>
      <c r="C541" s="3">
        <v>8754</v>
      </c>
      <c r="D541" s="3">
        <v>8819</v>
      </c>
      <c r="E541" s="3">
        <v>8681</v>
      </c>
      <c r="F541" s="3">
        <v>8698</v>
      </c>
      <c r="G541" s="3">
        <v>165522</v>
      </c>
      <c r="H541" s="3">
        <v>1.2050000000000001</v>
      </c>
      <c r="I541" s="2">
        <f t="shared" si="117"/>
        <v>0</v>
      </c>
      <c r="J541" s="10">
        <f t="shared" si="119"/>
        <v>63</v>
      </c>
      <c r="K541" s="10">
        <f t="shared" si="118"/>
        <v>-56</v>
      </c>
      <c r="L541" s="10">
        <f t="shared" ca="1" si="107"/>
        <v>0</v>
      </c>
      <c r="M541" s="10">
        <f t="shared" ca="1" si="109"/>
        <v>0</v>
      </c>
      <c r="N541" s="30">
        <f t="shared" ca="1" si="110"/>
        <v>0</v>
      </c>
      <c r="O541" s="10">
        <f t="shared" ca="1" si="111"/>
        <v>0</v>
      </c>
      <c r="P541" s="29">
        <f t="shared" ca="1" si="112"/>
        <v>0</v>
      </c>
      <c r="Q541" s="12">
        <f t="shared" ca="1" si="113"/>
        <v>-291600</v>
      </c>
      <c r="R541" s="10">
        <f t="shared" ca="1" si="114"/>
        <v>0</v>
      </c>
      <c r="S541" s="10">
        <f t="shared" ca="1" si="104"/>
        <v>-1.7937648047680905</v>
      </c>
      <c r="T541" s="14">
        <f t="shared" ca="1" si="105"/>
        <v>-0.30752904829166022</v>
      </c>
      <c r="U541" s="12">
        <f t="shared" ca="1" si="115"/>
        <v>7900</v>
      </c>
      <c r="V541" s="14">
        <f t="shared" ca="1" si="116"/>
        <v>-3791.1392405063293</v>
      </c>
      <c r="W541" s="12">
        <f t="shared" ca="1" si="106"/>
        <v>-427.84810126582278</v>
      </c>
      <c r="X541" s="7">
        <f ca="1">AVERAGE(E541:OFFSET(F541,-$X$5+1,0))</f>
        <v>8666.5</v>
      </c>
      <c r="Y541" s="7">
        <f ca="1">AVERAGE(E541:OFFSET(F541,-$Y$5+1,0))</f>
        <v>8627.4500000000007</v>
      </c>
      <c r="Z541" s="7">
        <f t="shared" ca="1" si="108"/>
        <v>0</v>
      </c>
    </row>
    <row r="542" spans="1:26">
      <c r="A542" s="3" t="s">
        <v>50</v>
      </c>
      <c r="B542" s="4">
        <v>42447</v>
      </c>
      <c r="C542" s="3">
        <v>8725</v>
      </c>
      <c r="D542" s="3">
        <v>8779</v>
      </c>
      <c r="E542" s="3">
        <v>8703</v>
      </c>
      <c r="F542" s="3">
        <v>8763</v>
      </c>
      <c r="G542" s="3">
        <v>124958</v>
      </c>
      <c r="H542" s="3">
        <v>1.2050000000000001</v>
      </c>
      <c r="I542" s="2">
        <f t="shared" si="117"/>
        <v>0</v>
      </c>
      <c r="J542" s="10">
        <f t="shared" si="119"/>
        <v>27</v>
      </c>
      <c r="K542" s="10">
        <f t="shared" si="118"/>
        <v>38</v>
      </c>
      <c r="L542" s="10">
        <f t="shared" ca="1" si="107"/>
        <v>0</v>
      </c>
      <c r="M542" s="10">
        <f t="shared" ca="1" si="109"/>
        <v>0</v>
      </c>
      <c r="N542" s="30">
        <f t="shared" ca="1" si="110"/>
        <v>0</v>
      </c>
      <c r="O542" s="10">
        <f t="shared" ca="1" si="111"/>
        <v>0</v>
      </c>
      <c r="P542" s="29">
        <f t="shared" ca="1" si="112"/>
        <v>0</v>
      </c>
      <c r="Q542" s="12">
        <f t="shared" ca="1" si="113"/>
        <v>-291600</v>
      </c>
      <c r="R542" s="10">
        <f t="shared" ca="1" si="114"/>
        <v>0</v>
      </c>
      <c r="S542" s="10">
        <f t="shared" ca="1" si="104"/>
        <v>-1.6918825297368891</v>
      </c>
      <c r="T542" s="14">
        <f t="shared" ca="1" si="105"/>
        <v>-0.29772173821064629</v>
      </c>
      <c r="U542" s="12">
        <f t="shared" ca="1" si="115"/>
        <v>7900</v>
      </c>
      <c r="V542" s="14">
        <f t="shared" ca="1" si="116"/>
        <v>-3791.1392405063293</v>
      </c>
      <c r="W542" s="12">
        <f t="shared" ca="1" si="106"/>
        <v>-456.96202531645571</v>
      </c>
      <c r="X542" s="7">
        <f ca="1">AVERAGE(E542:OFFSET(F542,-$X$5+1,0))</f>
        <v>8681.6</v>
      </c>
      <c r="Y542" s="7">
        <f ca="1">AVERAGE(E542:OFFSET(F542,-$Y$5+1,0))</f>
        <v>8643.25</v>
      </c>
      <c r="Z542" s="7">
        <f t="shared" ca="1" si="108"/>
        <v>0</v>
      </c>
    </row>
    <row r="543" spans="1:26">
      <c r="A543" s="3" t="s">
        <v>50</v>
      </c>
      <c r="B543" s="4">
        <v>42450</v>
      </c>
      <c r="C543" s="3">
        <v>8798</v>
      </c>
      <c r="D543" s="3">
        <v>8810</v>
      </c>
      <c r="E543" s="3">
        <v>8690</v>
      </c>
      <c r="F543" s="3">
        <v>8745</v>
      </c>
      <c r="G543" s="3">
        <v>118631</v>
      </c>
      <c r="H543" s="3">
        <v>1.2050000000000001</v>
      </c>
      <c r="I543" s="2">
        <f t="shared" si="117"/>
        <v>0</v>
      </c>
      <c r="J543" s="10">
        <f t="shared" si="119"/>
        <v>35</v>
      </c>
      <c r="K543" s="10">
        <f t="shared" si="118"/>
        <v>-53</v>
      </c>
      <c r="L543" s="10">
        <f t="shared" ca="1" si="107"/>
        <v>0</v>
      </c>
      <c r="M543" s="10">
        <f t="shared" ca="1" si="109"/>
        <v>0</v>
      </c>
      <c r="N543" s="30">
        <f t="shared" ca="1" si="110"/>
        <v>0</v>
      </c>
      <c r="O543" s="10">
        <f t="shared" ca="1" si="111"/>
        <v>0</v>
      </c>
      <c r="P543" s="29">
        <f t="shared" ca="1" si="112"/>
        <v>0</v>
      </c>
      <c r="Q543" s="12">
        <f t="shared" ca="1" si="113"/>
        <v>-291600</v>
      </c>
      <c r="R543" s="10">
        <f t="shared" ca="1" si="114"/>
        <v>0</v>
      </c>
      <c r="S543" s="10">
        <f t="shared" ca="1" si="104"/>
        <v>-1.6052825959603678</v>
      </c>
      <c r="T543" s="14">
        <f t="shared" ca="1" si="105"/>
        <v>-0.28960344418836431</v>
      </c>
      <c r="U543" s="12">
        <f t="shared" ca="1" si="115"/>
        <v>7900</v>
      </c>
      <c r="V543" s="14">
        <f t="shared" ca="1" si="116"/>
        <v>-3791.1392405063293</v>
      </c>
      <c r="W543" s="12">
        <f t="shared" ca="1" si="106"/>
        <v>-456.96202531645571</v>
      </c>
      <c r="X543" s="7">
        <f ca="1">AVERAGE(E543:OFFSET(F543,-$X$5+1,0))</f>
        <v>8678.5</v>
      </c>
      <c r="Y543" s="7">
        <f ca="1">AVERAGE(E543:OFFSET(F543,-$Y$5+1,0))</f>
        <v>8656.1</v>
      </c>
      <c r="Z543" s="7">
        <f t="shared" ca="1" si="108"/>
        <v>0</v>
      </c>
    </row>
    <row r="544" spans="1:26">
      <c r="A544" s="3" t="s">
        <v>50</v>
      </c>
      <c r="B544" s="4">
        <v>42451</v>
      </c>
      <c r="C544" s="3">
        <v>8775</v>
      </c>
      <c r="D544" s="3">
        <v>8776</v>
      </c>
      <c r="E544" s="3">
        <v>8660</v>
      </c>
      <c r="F544" s="3">
        <v>8752</v>
      </c>
      <c r="G544" s="3">
        <v>145545</v>
      </c>
      <c r="H544" s="3">
        <v>1.2050000000000001</v>
      </c>
      <c r="I544" s="2">
        <f t="shared" si="117"/>
        <v>0</v>
      </c>
      <c r="J544" s="10">
        <f t="shared" si="119"/>
        <v>30</v>
      </c>
      <c r="K544" s="10">
        <f t="shared" si="118"/>
        <v>-23</v>
      </c>
      <c r="L544" s="10">
        <f t="shared" ca="1" si="107"/>
        <v>0</v>
      </c>
      <c r="M544" s="10">
        <f t="shared" ca="1" si="109"/>
        <v>0</v>
      </c>
      <c r="N544" s="30">
        <f t="shared" ca="1" si="110"/>
        <v>0</v>
      </c>
      <c r="O544" s="10">
        <f t="shared" ca="1" si="111"/>
        <v>0</v>
      </c>
      <c r="P544" s="29">
        <f t="shared" ca="1" si="112"/>
        <v>0</v>
      </c>
      <c r="Q544" s="12">
        <f t="shared" ca="1" si="113"/>
        <v>-291600</v>
      </c>
      <c r="R544" s="10">
        <f t="shared" ca="1" si="114"/>
        <v>0</v>
      </c>
      <c r="S544" s="10">
        <f t="shared" ca="1" si="104"/>
        <v>-1.6192914087771579</v>
      </c>
      <c r="T544" s="14">
        <f t="shared" ca="1" si="105"/>
        <v>-0.29093939559730703</v>
      </c>
      <c r="U544" s="12">
        <f t="shared" ca="1" si="115"/>
        <v>7900</v>
      </c>
      <c r="V544" s="14">
        <f t="shared" ca="1" si="116"/>
        <v>-3791.1392405063293</v>
      </c>
      <c r="W544" s="12">
        <f t="shared" ca="1" si="106"/>
        <v>-456.96202531645571</v>
      </c>
      <c r="X544" s="7">
        <f ca="1">AVERAGE(E544:OFFSET(F544,-$X$5+1,0))</f>
        <v>8701.6</v>
      </c>
      <c r="Y544" s="7">
        <f ca="1">AVERAGE(E544:OFFSET(F544,-$Y$5+1,0))</f>
        <v>8669.75</v>
      </c>
      <c r="Z544" s="7">
        <f t="shared" ca="1" si="108"/>
        <v>0</v>
      </c>
    </row>
    <row r="545" spans="1:26">
      <c r="A545" s="3" t="s">
        <v>50</v>
      </c>
      <c r="B545" s="4">
        <v>42452</v>
      </c>
      <c r="C545" s="3">
        <v>8761</v>
      </c>
      <c r="D545" s="3">
        <v>8787</v>
      </c>
      <c r="E545" s="3">
        <v>8698</v>
      </c>
      <c r="F545" s="3">
        <v>8721</v>
      </c>
      <c r="G545" s="3">
        <v>137212</v>
      </c>
      <c r="H545" s="3">
        <v>1.2050000000000001</v>
      </c>
      <c r="I545" s="2">
        <f t="shared" si="117"/>
        <v>0</v>
      </c>
      <c r="J545" s="10">
        <f t="shared" si="119"/>
        <v>9</v>
      </c>
      <c r="K545" s="10">
        <f t="shared" si="118"/>
        <v>-40</v>
      </c>
      <c r="L545" s="10">
        <f t="shared" ca="1" si="107"/>
        <v>0</v>
      </c>
      <c r="M545" s="10">
        <f t="shared" ca="1" si="109"/>
        <v>0</v>
      </c>
      <c r="N545" s="30">
        <f t="shared" ca="1" si="110"/>
        <v>0</v>
      </c>
      <c r="O545" s="10">
        <f t="shared" ca="1" si="111"/>
        <v>0</v>
      </c>
      <c r="P545" s="29">
        <f t="shared" ca="1" si="112"/>
        <v>0</v>
      </c>
      <c r="Q545" s="12">
        <f t="shared" ca="1" si="113"/>
        <v>-291600</v>
      </c>
      <c r="R545" s="10">
        <f t="shared" ca="1" si="114"/>
        <v>0</v>
      </c>
      <c r="S545" s="10">
        <f t="shared" ca="1" si="104"/>
        <v>-1.6772369527011539</v>
      </c>
      <c r="T545" s="14">
        <f t="shared" ca="1" si="105"/>
        <v>-0.2966485070223856</v>
      </c>
      <c r="U545" s="12">
        <f t="shared" ca="1" si="115"/>
        <v>7900</v>
      </c>
      <c r="V545" s="14">
        <f t="shared" ca="1" si="116"/>
        <v>-3791.1392405063293</v>
      </c>
      <c r="W545" s="12">
        <f t="shared" ca="1" si="106"/>
        <v>-456.96202531645571</v>
      </c>
      <c r="X545" s="7">
        <f ca="1">AVERAGE(E545:OFFSET(F545,-$X$5+1,0))</f>
        <v>8711.1</v>
      </c>
      <c r="Y545" s="7">
        <f ca="1">AVERAGE(E545:OFFSET(F545,-$Y$5+1,0))</f>
        <v>8681.9500000000007</v>
      </c>
      <c r="Z545" s="7">
        <f t="shared" ca="1" si="108"/>
        <v>0</v>
      </c>
    </row>
    <row r="546" spans="1:26">
      <c r="A546" s="3" t="s">
        <v>50</v>
      </c>
      <c r="B546" s="4">
        <v>42453</v>
      </c>
      <c r="C546" s="3">
        <v>8685</v>
      </c>
      <c r="D546" s="3">
        <v>8751</v>
      </c>
      <c r="E546" s="3">
        <v>8627</v>
      </c>
      <c r="F546" s="3">
        <v>8714</v>
      </c>
      <c r="G546" s="3">
        <v>151791</v>
      </c>
      <c r="H546" s="3">
        <v>1.2050000000000001</v>
      </c>
      <c r="I546" s="2">
        <f t="shared" si="117"/>
        <v>0</v>
      </c>
      <c r="J546" s="10">
        <f t="shared" si="119"/>
        <v>-36</v>
      </c>
      <c r="K546" s="10">
        <f t="shared" si="118"/>
        <v>29</v>
      </c>
      <c r="L546" s="10">
        <f t="shared" ca="1" si="107"/>
        <v>0</v>
      </c>
      <c r="M546" s="10">
        <f t="shared" ca="1" si="109"/>
        <v>0</v>
      </c>
      <c r="N546" s="30">
        <f t="shared" ca="1" si="110"/>
        <v>0</v>
      </c>
      <c r="O546" s="10">
        <f t="shared" ca="1" si="111"/>
        <v>0</v>
      </c>
      <c r="P546" s="29">
        <f t="shared" ca="1" si="112"/>
        <v>0</v>
      </c>
      <c r="Q546" s="12">
        <f t="shared" ca="1" si="113"/>
        <v>-291600</v>
      </c>
      <c r="R546" s="10">
        <f t="shared" ca="1" si="114"/>
        <v>0</v>
      </c>
      <c r="S546" s="10">
        <f t="shared" ca="1" si="104"/>
        <v>-1.6772369527011539</v>
      </c>
      <c r="T546" s="14">
        <f t="shared" ca="1" si="105"/>
        <v>-0.29661526665504001</v>
      </c>
      <c r="U546" s="12">
        <f t="shared" ca="1" si="115"/>
        <v>7900</v>
      </c>
      <c r="V546" s="14">
        <f t="shared" ca="1" si="116"/>
        <v>-3791.1392405063293</v>
      </c>
      <c r="W546" s="12">
        <f t="shared" ca="1" si="106"/>
        <v>-456.96202531645571</v>
      </c>
      <c r="X546" s="7">
        <f ca="1">AVERAGE(E546:OFFSET(F546,-$X$5+1,0))</f>
        <v>8707.2999999999993</v>
      </c>
      <c r="Y546" s="7">
        <f ca="1">AVERAGE(E546:OFFSET(F546,-$Y$5+1,0))</f>
        <v>8686.9</v>
      </c>
      <c r="Z546" s="7">
        <f t="shared" ca="1" si="108"/>
        <v>0</v>
      </c>
    </row>
    <row r="547" spans="1:26">
      <c r="A547" s="3" t="s">
        <v>50</v>
      </c>
      <c r="B547" s="4">
        <v>42454</v>
      </c>
      <c r="C547" s="3">
        <v>8727</v>
      </c>
      <c r="D547" s="3">
        <v>8759</v>
      </c>
      <c r="E547" s="3">
        <v>8671</v>
      </c>
      <c r="F547" s="3">
        <v>8702</v>
      </c>
      <c r="G547" s="3">
        <v>106496</v>
      </c>
      <c r="H547" s="3">
        <v>1.2050000000000001</v>
      </c>
      <c r="I547" s="2">
        <f t="shared" si="117"/>
        <v>0</v>
      </c>
      <c r="J547" s="10">
        <f t="shared" si="119"/>
        <v>13</v>
      </c>
      <c r="K547" s="10">
        <f t="shared" si="118"/>
        <v>-25</v>
      </c>
      <c r="L547" s="10">
        <f t="shared" ca="1" si="107"/>
        <v>0</v>
      </c>
      <c r="M547" s="10">
        <f t="shared" ca="1" si="109"/>
        <v>0</v>
      </c>
      <c r="N547" s="30">
        <f t="shared" ca="1" si="110"/>
        <v>0</v>
      </c>
      <c r="O547" s="10">
        <f t="shared" ca="1" si="111"/>
        <v>0</v>
      </c>
      <c r="P547" s="29">
        <f t="shared" ca="1" si="112"/>
        <v>0</v>
      </c>
      <c r="Q547" s="12">
        <f t="shared" ca="1" si="113"/>
        <v>-291600</v>
      </c>
      <c r="R547" s="10">
        <f t="shared" ca="1" si="114"/>
        <v>0</v>
      </c>
      <c r="S547" s="10">
        <f t="shared" ca="1" si="104"/>
        <v>-1.6772369527011539</v>
      </c>
      <c r="T547" s="14">
        <f t="shared" ca="1" si="105"/>
        <v>-0.29658355578254469</v>
      </c>
      <c r="U547" s="12">
        <f t="shared" ca="1" si="115"/>
        <v>7900</v>
      </c>
      <c r="V547" s="14">
        <f t="shared" ca="1" si="116"/>
        <v>-3791.1392405063293</v>
      </c>
      <c r="W547" s="12">
        <f t="shared" ca="1" si="106"/>
        <v>-456.96202531645571</v>
      </c>
      <c r="X547" s="7">
        <f ca="1">AVERAGE(E547:OFFSET(F547,-$X$5+1,0))</f>
        <v>8698</v>
      </c>
      <c r="Y547" s="7">
        <f ca="1">AVERAGE(E547:OFFSET(F547,-$Y$5+1,0))</f>
        <v>8689.7999999999993</v>
      </c>
      <c r="Z547" s="7">
        <f t="shared" ca="1" si="108"/>
        <v>0</v>
      </c>
    </row>
    <row r="548" spans="1:26">
      <c r="A548" s="3" t="s">
        <v>50</v>
      </c>
      <c r="B548" s="4">
        <v>42457</v>
      </c>
      <c r="C548" s="3">
        <v>8720</v>
      </c>
      <c r="D548" s="3">
        <v>8733</v>
      </c>
      <c r="E548" s="3">
        <v>8653</v>
      </c>
      <c r="F548" s="3">
        <v>8683</v>
      </c>
      <c r="G548" s="3">
        <v>108424</v>
      </c>
      <c r="H548" s="3">
        <v>1.2050000000000001</v>
      </c>
      <c r="I548" s="2">
        <f t="shared" si="117"/>
        <v>0</v>
      </c>
      <c r="J548" s="10">
        <f t="shared" si="119"/>
        <v>18</v>
      </c>
      <c r="K548" s="10">
        <f t="shared" si="118"/>
        <v>-37</v>
      </c>
      <c r="L548" s="10">
        <f t="shared" ca="1" si="107"/>
        <v>0</v>
      </c>
      <c r="M548" s="10">
        <f t="shared" ca="1" si="109"/>
        <v>0</v>
      </c>
      <c r="N548" s="30">
        <f t="shared" ca="1" si="110"/>
        <v>0</v>
      </c>
      <c r="O548" s="10">
        <f t="shared" ca="1" si="111"/>
        <v>0</v>
      </c>
      <c r="P548" s="29">
        <f t="shared" ca="1" si="112"/>
        <v>0</v>
      </c>
      <c r="Q548" s="12">
        <f t="shared" ca="1" si="113"/>
        <v>-291600</v>
      </c>
      <c r="R548" s="10">
        <f t="shared" ca="1" si="114"/>
        <v>0</v>
      </c>
      <c r="S548" s="10">
        <f t="shared" ca="1" si="104"/>
        <v>-1.6772369527011539</v>
      </c>
      <c r="T548" s="14">
        <f t="shared" ca="1" si="105"/>
        <v>-0.29693268423790964</v>
      </c>
      <c r="U548" s="12">
        <f t="shared" ca="1" si="115"/>
        <v>7900</v>
      </c>
      <c r="V548" s="14">
        <f t="shared" ca="1" si="116"/>
        <v>-3791.1392405063293</v>
      </c>
      <c r="W548" s="12">
        <f t="shared" ca="1" si="106"/>
        <v>-456.96202531645571</v>
      </c>
      <c r="X548" s="7">
        <f ca="1">AVERAGE(E548:OFFSET(F548,-$X$5+1,0))</f>
        <v>8688.1</v>
      </c>
      <c r="Y548" s="7">
        <f ca="1">AVERAGE(E548:OFFSET(F548,-$Y$5+1,0))</f>
        <v>8683.2999999999993</v>
      </c>
      <c r="Z548" s="7">
        <f t="shared" ca="1" si="108"/>
        <v>0</v>
      </c>
    </row>
    <row r="549" spans="1:26">
      <c r="A549" s="3" t="s">
        <v>50</v>
      </c>
      <c r="B549" s="4">
        <v>42458</v>
      </c>
      <c r="C549" s="3">
        <v>8682</v>
      </c>
      <c r="D549" s="3">
        <v>8697</v>
      </c>
      <c r="E549" s="3">
        <v>8564</v>
      </c>
      <c r="F549" s="3">
        <v>8600</v>
      </c>
      <c r="G549" s="3">
        <v>158070</v>
      </c>
      <c r="H549" s="3">
        <v>1.125</v>
      </c>
      <c r="I549" s="2">
        <f t="shared" si="117"/>
        <v>0</v>
      </c>
      <c r="J549" s="10">
        <f t="shared" si="119"/>
        <v>-1</v>
      </c>
      <c r="K549" s="10">
        <f t="shared" si="118"/>
        <v>-82</v>
      </c>
      <c r="L549" s="10">
        <f t="shared" ca="1" si="107"/>
        <v>-1</v>
      </c>
      <c r="M549" s="10">
        <f t="shared" ca="1" si="109"/>
        <v>0</v>
      </c>
      <c r="N549" s="30">
        <f t="shared" ca="1" si="110"/>
        <v>0</v>
      </c>
      <c r="O549" s="10">
        <f t="shared" ca="1" si="111"/>
        <v>0</v>
      </c>
      <c r="P549" s="29">
        <f t="shared" ca="1" si="112"/>
        <v>0</v>
      </c>
      <c r="Q549" s="12">
        <f t="shared" ca="1" si="113"/>
        <v>-291600</v>
      </c>
      <c r="R549" s="10">
        <f t="shared" ca="1" si="114"/>
        <v>0</v>
      </c>
      <c r="S549" s="10">
        <f t="shared" ca="1" si="104"/>
        <v>-1.6772369527011539</v>
      </c>
      <c r="T549" s="14">
        <f t="shared" ca="1" si="105"/>
        <v>-0.29684781406451793</v>
      </c>
      <c r="U549" s="12">
        <f t="shared" ca="1" si="115"/>
        <v>7900</v>
      </c>
      <c r="V549" s="14">
        <f t="shared" ca="1" si="116"/>
        <v>-3791.1392405063293</v>
      </c>
      <c r="W549" s="12">
        <f t="shared" ca="1" si="106"/>
        <v>-456.96202531645571</v>
      </c>
      <c r="X549" s="7">
        <f ca="1">AVERAGE(E549:OFFSET(F549,-$X$5+1,0))</f>
        <v>8663.2999999999993</v>
      </c>
      <c r="Y549" s="7">
        <f ca="1">AVERAGE(E549:OFFSET(F549,-$Y$5+1,0))</f>
        <v>8682.4500000000007</v>
      </c>
      <c r="Z549" s="7">
        <f t="shared" ca="1" si="108"/>
        <v>-1</v>
      </c>
    </row>
    <row r="550" spans="1:26">
      <c r="A550" s="3" t="s">
        <v>50</v>
      </c>
      <c r="B550" s="4">
        <v>42459</v>
      </c>
      <c r="C550" s="3">
        <v>8645</v>
      </c>
      <c r="D550" s="3">
        <v>8747</v>
      </c>
      <c r="E550" s="3">
        <v>8626</v>
      </c>
      <c r="F550" s="3">
        <v>8740</v>
      </c>
      <c r="G550" s="3">
        <v>148145</v>
      </c>
      <c r="H550" s="3">
        <v>1.125</v>
      </c>
      <c r="I550" s="2">
        <f t="shared" si="117"/>
        <v>0</v>
      </c>
      <c r="J550" s="10">
        <f t="shared" si="119"/>
        <v>45</v>
      </c>
      <c r="K550" s="10">
        <f t="shared" si="118"/>
        <v>95</v>
      </c>
      <c r="L550" s="10">
        <f t="shared" ca="1" si="107"/>
        <v>0</v>
      </c>
      <c r="M550" s="10">
        <f t="shared" ca="1" si="109"/>
        <v>-1</v>
      </c>
      <c r="N550" s="30">
        <f t="shared" ca="1" si="110"/>
        <v>0</v>
      </c>
      <c r="O550" s="10">
        <f t="shared" ca="1" si="111"/>
        <v>1729000</v>
      </c>
      <c r="P550" s="29">
        <f t="shared" ca="1" si="112"/>
        <v>-19500</v>
      </c>
      <c r="Q550" s="12">
        <f t="shared" ca="1" si="113"/>
        <v>-311100</v>
      </c>
      <c r="R550" s="10">
        <f t="shared" ca="1" si="114"/>
        <v>-1.1278195488721805</v>
      </c>
      <c r="S550" s="10">
        <f t="shared" ca="1" si="104"/>
        <v>-1.8014059753954306</v>
      </c>
      <c r="T550" s="14">
        <f t="shared" ca="1" si="105"/>
        <v>-0.30779289241986935</v>
      </c>
      <c r="U550" s="12">
        <f t="shared" ca="1" si="115"/>
        <v>7900</v>
      </c>
      <c r="V550" s="14">
        <f t="shared" ca="1" si="116"/>
        <v>-4037.9746835443038</v>
      </c>
      <c r="W550" s="12">
        <f t="shared" ca="1" si="106"/>
        <v>-456.96202531645571</v>
      </c>
      <c r="X550" s="7">
        <f ca="1">AVERAGE(E550:OFFSET(F550,-$X$5+1,0))</f>
        <v>8658</v>
      </c>
      <c r="Y550" s="7">
        <f ca="1">AVERAGE(E550:OFFSET(F550,-$Y$5+1,0))</f>
        <v>8684.5499999999993</v>
      </c>
      <c r="Z550" s="7">
        <f t="shared" ca="1" si="108"/>
        <v>0</v>
      </c>
    </row>
    <row r="551" spans="1:26">
      <c r="A551" s="3" t="s">
        <v>50</v>
      </c>
      <c r="B551" s="4">
        <v>42460</v>
      </c>
      <c r="C551" s="3">
        <v>8784</v>
      </c>
      <c r="D551" s="3">
        <v>8815</v>
      </c>
      <c r="E551" s="3">
        <v>8691</v>
      </c>
      <c r="F551" s="3">
        <v>8715</v>
      </c>
      <c r="G551" s="3">
        <v>166161</v>
      </c>
      <c r="H551" s="3">
        <v>1.125</v>
      </c>
      <c r="I551" s="2">
        <f t="shared" si="117"/>
        <v>0</v>
      </c>
      <c r="J551" s="10">
        <f t="shared" si="119"/>
        <v>44</v>
      </c>
      <c r="K551" s="10">
        <f t="shared" si="118"/>
        <v>-69</v>
      </c>
      <c r="L551" s="10">
        <f t="shared" ca="1" si="107"/>
        <v>0</v>
      </c>
      <c r="M551" s="10">
        <f t="shared" ca="1" si="109"/>
        <v>-1</v>
      </c>
      <c r="N551" s="30">
        <f t="shared" ca="1" si="110"/>
        <v>0</v>
      </c>
      <c r="O551" s="10">
        <f t="shared" ca="1" si="111"/>
        <v>1729000</v>
      </c>
      <c r="P551" s="29">
        <f t="shared" ca="1" si="112"/>
        <v>5000</v>
      </c>
      <c r="Q551" s="12">
        <f t="shared" ca="1" si="113"/>
        <v>-306100</v>
      </c>
      <c r="R551" s="10">
        <f t="shared" ca="1" si="114"/>
        <v>0.2891844997108155</v>
      </c>
      <c r="S551" s="10">
        <f t="shared" ca="1" si="104"/>
        <v>-1.7695677644481802</v>
      </c>
      <c r="T551" s="14">
        <f t="shared" ca="1" si="105"/>
        <v>-0.30514436862994082</v>
      </c>
      <c r="U551" s="12">
        <f t="shared" ca="1" si="115"/>
        <v>7900</v>
      </c>
      <c r="V551" s="14">
        <f t="shared" ca="1" si="116"/>
        <v>-3974.6835443037976</v>
      </c>
      <c r="W551" s="12">
        <f t="shared" ca="1" si="106"/>
        <v>-501.26582278481015</v>
      </c>
      <c r="X551" s="7">
        <f ca="1">AVERAGE(E551:OFFSET(F551,-$X$5+1,0))</f>
        <v>8664.5</v>
      </c>
      <c r="Y551" s="7">
        <f ca="1">AVERAGE(E551:OFFSET(F551,-$Y$5+1,0))</f>
        <v>8685.9</v>
      </c>
      <c r="Z551" s="7">
        <f t="shared" ca="1" si="108"/>
        <v>0</v>
      </c>
    </row>
    <row r="552" spans="1:26">
      <c r="A552" s="3" t="s">
        <v>50</v>
      </c>
      <c r="B552" s="4">
        <v>42461</v>
      </c>
      <c r="C552" s="3">
        <v>8670</v>
      </c>
      <c r="D552" s="3">
        <v>8694</v>
      </c>
      <c r="E552" s="3">
        <v>8598</v>
      </c>
      <c r="F552" s="3">
        <v>8629</v>
      </c>
      <c r="G552" s="3">
        <v>156482</v>
      </c>
      <c r="H552" s="3">
        <v>1.125</v>
      </c>
      <c r="I552" s="2">
        <f t="shared" si="117"/>
        <v>0</v>
      </c>
      <c r="J552" s="10">
        <f t="shared" si="119"/>
        <v>-45</v>
      </c>
      <c r="K552" s="10">
        <f t="shared" si="118"/>
        <v>-41</v>
      </c>
      <c r="L552" s="10">
        <f t="shared" ca="1" si="107"/>
        <v>0</v>
      </c>
      <c r="M552" s="10">
        <f t="shared" ca="1" si="109"/>
        <v>-1</v>
      </c>
      <c r="N552" s="30">
        <f t="shared" ca="1" si="110"/>
        <v>0</v>
      </c>
      <c r="O552" s="10">
        <f t="shared" ca="1" si="111"/>
        <v>1729000</v>
      </c>
      <c r="P552" s="29">
        <f t="shared" ca="1" si="112"/>
        <v>17200</v>
      </c>
      <c r="Q552" s="12">
        <f t="shared" ca="1" si="113"/>
        <v>-288900</v>
      </c>
      <c r="R552" s="10">
        <f t="shared" ca="1" si="114"/>
        <v>0.99479467900520535</v>
      </c>
      <c r="S552" s="10">
        <f t="shared" ca="1" si="104"/>
        <v>-1.8678557422765762</v>
      </c>
      <c r="T552" s="14">
        <f t="shared" ca="1" si="105"/>
        <v>-0.31331520480748076</v>
      </c>
      <c r="U552" s="12">
        <f t="shared" ca="1" si="115"/>
        <v>7900</v>
      </c>
      <c r="V552" s="14">
        <f t="shared" ca="1" si="116"/>
        <v>-3756.9620253164558</v>
      </c>
      <c r="W552" s="12">
        <f t="shared" ca="1" si="106"/>
        <v>-521.51898734177212</v>
      </c>
      <c r="X552" s="7">
        <f ca="1">AVERAGE(E552:OFFSET(F552,-$X$5+1,0))</f>
        <v>8649.9</v>
      </c>
      <c r="Y552" s="7">
        <f ca="1">AVERAGE(E552:OFFSET(F552,-$Y$5+1,0))</f>
        <v>8673.9500000000007</v>
      </c>
      <c r="Z552" s="7">
        <f t="shared" ca="1" si="108"/>
        <v>0</v>
      </c>
    </row>
    <row r="553" spans="1:26">
      <c r="A553" s="3" t="s">
        <v>50</v>
      </c>
      <c r="B553" s="4">
        <v>42466</v>
      </c>
      <c r="C553" s="3">
        <v>8591</v>
      </c>
      <c r="D553" s="3">
        <v>8599</v>
      </c>
      <c r="E553" s="3">
        <v>8453</v>
      </c>
      <c r="F553" s="3">
        <v>8460</v>
      </c>
      <c r="G553" s="3">
        <v>156407</v>
      </c>
      <c r="H553" s="3">
        <v>1.125</v>
      </c>
      <c r="I553" s="2">
        <f t="shared" si="117"/>
        <v>0</v>
      </c>
      <c r="J553" s="10">
        <f t="shared" si="119"/>
        <v>-38</v>
      </c>
      <c r="K553" s="10">
        <f t="shared" si="118"/>
        <v>-131</v>
      </c>
      <c r="L553" s="10">
        <f t="shared" ca="1" si="107"/>
        <v>0</v>
      </c>
      <c r="M553" s="10">
        <f t="shared" ca="1" si="109"/>
        <v>-1</v>
      </c>
      <c r="N553" s="30">
        <f t="shared" ca="1" si="110"/>
        <v>0</v>
      </c>
      <c r="O553" s="10">
        <f t="shared" ca="1" si="111"/>
        <v>1729000</v>
      </c>
      <c r="P553" s="29">
        <f t="shared" ca="1" si="112"/>
        <v>33800</v>
      </c>
      <c r="Q553" s="12">
        <f t="shared" ca="1" si="113"/>
        <v>-255100</v>
      </c>
      <c r="R553" s="10">
        <f t="shared" ca="1" si="114"/>
        <v>1.9548872180451127</v>
      </c>
      <c r="S553" s="10">
        <f t="shared" ca="1" si="104"/>
        <v>-1.6035091286728929</v>
      </c>
      <c r="T553" s="14">
        <f t="shared" ca="1" si="105"/>
        <v>-0.28218138557420747</v>
      </c>
      <c r="U553" s="12">
        <f t="shared" ca="1" si="115"/>
        <v>7900</v>
      </c>
      <c r="V553" s="14">
        <f t="shared" ca="1" si="116"/>
        <v>-3329.1139240506327</v>
      </c>
      <c r="W553" s="12">
        <f t="shared" ca="1" si="106"/>
        <v>-521.51898734177212</v>
      </c>
      <c r="X553" s="7">
        <f ca="1">AVERAGE(E553:OFFSET(F553,-$X$5+1,0))</f>
        <v>8607.6</v>
      </c>
      <c r="Y553" s="7">
        <f ca="1">AVERAGE(E553:OFFSET(F553,-$Y$5+1,0))</f>
        <v>8647.85</v>
      </c>
      <c r="Z553" s="7">
        <f t="shared" ca="1" si="108"/>
        <v>0</v>
      </c>
    </row>
    <row r="554" spans="1:26">
      <c r="A554" s="3" t="s">
        <v>50</v>
      </c>
      <c r="B554" s="4">
        <v>42467</v>
      </c>
      <c r="C554" s="3">
        <v>8470</v>
      </c>
      <c r="D554" s="3">
        <v>8493</v>
      </c>
      <c r="E554" s="3">
        <v>8381</v>
      </c>
      <c r="F554" s="3">
        <v>8438</v>
      </c>
      <c r="G554" s="3">
        <v>152741</v>
      </c>
      <c r="H554" s="3">
        <v>1.125</v>
      </c>
      <c r="I554" s="2">
        <f t="shared" si="117"/>
        <v>0</v>
      </c>
      <c r="J554" s="10">
        <f t="shared" si="119"/>
        <v>10</v>
      </c>
      <c r="K554" s="10">
        <f t="shared" si="118"/>
        <v>-32</v>
      </c>
      <c r="L554" s="10">
        <f t="shared" ca="1" si="107"/>
        <v>0</v>
      </c>
      <c r="M554" s="10">
        <f t="shared" ca="1" si="109"/>
        <v>-1</v>
      </c>
      <c r="N554" s="30">
        <f t="shared" ca="1" si="110"/>
        <v>0</v>
      </c>
      <c r="O554" s="10">
        <f t="shared" ca="1" si="111"/>
        <v>1729000</v>
      </c>
      <c r="P554" s="29">
        <f t="shared" ca="1" si="112"/>
        <v>4400</v>
      </c>
      <c r="Q554" s="12">
        <f t="shared" ca="1" si="113"/>
        <v>-250700</v>
      </c>
      <c r="R554" s="10">
        <f t="shared" ca="1" si="114"/>
        <v>0.25448235974551764</v>
      </c>
      <c r="S554" s="10">
        <f t="shared" ca="1" si="104"/>
        <v>-1.5403273831137707</v>
      </c>
      <c r="T554" s="14">
        <f t="shared" ca="1" si="105"/>
        <v>-0.27585358776319158</v>
      </c>
      <c r="U554" s="12">
        <f t="shared" ca="1" si="115"/>
        <v>7900</v>
      </c>
      <c r="V554" s="14">
        <f t="shared" ca="1" si="116"/>
        <v>-3273.4177215189875</v>
      </c>
      <c r="W554" s="12">
        <f t="shared" ca="1" si="106"/>
        <v>-521.51898734177212</v>
      </c>
      <c r="X554" s="7">
        <f ca="1">AVERAGE(E554:OFFSET(F554,-$X$5+1,0))</f>
        <v>8573.1</v>
      </c>
      <c r="Y554" s="7">
        <f ca="1">AVERAGE(E554:OFFSET(F554,-$Y$5+1,0))</f>
        <v>8618.2000000000007</v>
      </c>
      <c r="Z554" s="7">
        <f t="shared" ca="1" si="108"/>
        <v>0</v>
      </c>
    </row>
    <row r="555" spans="1:26">
      <c r="A555" s="3" t="s">
        <v>50</v>
      </c>
      <c r="B555" s="4">
        <v>42468</v>
      </c>
      <c r="C555" s="3">
        <v>8388</v>
      </c>
      <c r="D555" s="3">
        <v>8500</v>
      </c>
      <c r="E555" s="3">
        <v>8375</v>
      </c>
      <c r="F555" s="3">
        <v>8484</v>
      </c>
      <c r="G555" s="3">
        <v>141629</v>
      </c>
      <c r="H555" s="3">
        <v>1.125</v>
      </c>
      <c r="I555" s="2">
        <f t="shared" si="117"/>
        <v>0</v>
      </c>
      <c r="J555" s="10">
        <f t="shared" si="119"/>
        <v>-50</v>
      </c>
      <c r="K555" s="10">
        <f t="shared" si="118"/>
        <v>96</v>
      </c>
      <c r="L555" s="10">
        <f t="shared" ca="1" si="107"/>
        <v>0</v>
      </c>
      <c r="M555" s="10">
        <f t="shared" ca="1" si="109"/>
        <v>-1</v>
      </c>
      <c r="N555" s="30">
        <f t="shared" ca="1" si="110"/>
        <v>0</v>
      </c>
      <c r="O555" s="10">
        <f t="shared" ca="1" si="111"/>
        <v>1729000</v>
      </c>
      <c r="P555" s="29">
        <f t="shared" ca="1" si="112"/>
        <v>-9200</v>
      </c>
      <c r="Q555" s="12">
        <f t="shared" ca="1" si="113"/>
        <v>-259900</v>
      </c>
      <c r="R555" s="10">
        <f t="shared" ca="1" si="114"/>
        <v>-0.53209947946790048</v>
      </c>
      <c r="S555" s="10">
        <f t="shared" ca="1" si="104"/>
        <v>-1.6071402634751413</v>
      </c>
      <c r="T555" s="14">
        <f t="shared" ca="1" si="105"/>
        <v>-0.28198594380270331</v>
      </c>
      <c r="U555" s="12">
        <f t="shared" ca="1" si="115"/>
        <v>7900</v>
      </c>
      <c r="V555" s="14">
        <f t="shared" ca="1" si="116"/>
        <v>-3389.8734177215188</v>
      </c>
      <c r="W555" s="12">
        <f t="shared" ca="1" si="106"/>
        <v>-521.51898734177212</v>
      </c>
      <c r="X555" s="7">
        <f ca="1">AVERAGE(E555:OFFSET(F555,-$X$5+1,0))</f>
        <v>8522.4</v>
      </c>
      <c r="Y555" s="7">
        <f ca="1">AVERAGE(E555:OFFSET(F555,-$Y$5+1,0))</f>
        <v>8590.2000000000007</v>
      </c>
      <c r="Z555" s="7">
        <f t="shared" ca="1" si="108"/>
        <v>0</v>
      </c>
    </row>
    <row r="556" spans="1:26">
      <c r="A556" s="3" t="s">
        <v>50</v>
      </c>
      <c r="B556" s="4">
        <v>42471</v>
      </c>
      <c r="C556" s="3">
        <v>8456</v>
      </c>
      <c r="D556" s="3">
        <v>8530</v>
      </c>
      <c r="E556" s="3">
        <v>8415</v>
      </c>
      <c r="F556" s="3">
        <v>8514</v>
      </c>
      <c r="G556" s="3">
        <v>130911</v>
      </c>
      <c r="H556" s="3">
        <v>1.125</v>
      </c>
      <c r="I556" s="2">
        <f t="shared" si="117"/>
        <v>0</v>
      </c>
      <c r="J556" s="10">
        <f t="shared" si="119"/>
        <v>-28</v>
      </c>
      <c r="K556" s="10">
        <f t="shared" si="118"/>
        <v>58</v>
      </c>
      <c r="L556" s="10">
        <f t="shared" ca="1" si="107"/>
        <v>0</v>
      </c>
      <c r="M556" s="10">
        <f t="shared" ca="1" si="109"/>
        <v>-1</v>
      </c>
      <c r="N556" s="30">
        <f t="shared" ca="1" si="110"/>
        <v>0</v>
      </c>
      <c r="O556" s="10">
        <f t="shared" ca="1" si="111"/>
        <v>1729000</v>
      </c>
      <c r="P556" s="29">
        <f t="shared" ca="1" si="112"/>
        <v>-6000</v>
      </c>
      <c r="Q556" s="12">
        <f t="shared" ca="1" si="113"/>
        <v>-265900</v>
      </c>
      <c r="R556" s="10">
        <f t="shared" ca="1" si="114"/>
        <v>-0.34702139965297862</v>
      </c>
      <c r="S556" s="10">
        <f t="shared" ref="S556:S619" ca="1" si="120">100*SUM(P317:P556)/SUM(N317:N556)</f>
        <v>-1.650713881102122</v>
      </c>
      <c r="T556" s="14">
        <f t="shared" ca="1" si="105"/>
        <v>-0.28602871892505305</v>
      </c>
      <c r="U556" s="12">
        <f t="shared" ca="1" si="115"/>
        <v>7900</v>
      </c>
      <c r="V556" s="14">
        <f t="shared" ca="1" si="116"/>
        <v>-3465.8227848101264</v>
      </c>
      <c r="W556" s="12">
        <f t="shared" ca="1" si="106"/>
        <v>-521.51898734177212</v>
      </c>
      <c r="X556" s="7">
        <f ca="1">AVERAGE(E556:OFFSET(F556,-$X$5+1,0))</f>
        <v>8474.7000000000007</v>
      </c>
      <c r="Y556" s="7">
        <f ca="1">AVERAGE(E556:OFFSET(F556,-$Y$5+1,0))</f>
        <v>8569.6</v>
      </c>
      <c r="Z556" s="7">
        <f t="shared" ca="1" si="108"/>
        <v>0</v>
      </c>
    </row>
    <row r="557" spans="1:26">
      <c r="A557" s="3" t="s">
        <v>50</v>
      </c>
      <c r="B557" s="4">
        <v>42472</v>
      </c>
      <c r="C557" s="3">
        <v>8541</v>
      </c>
      <c r="D557" s="3">
        <v>8584</v>
      </c>
      <c r="E557" s="3">
        <v>8468</v>
      </c>
      <c r="F557" s="3">
        <v>8495</v>
      </c>
      <c r="G557" s="3">
        <v>148275</v>
      </c>
      <c r="H557" s="3">
        <v>1.125</v>
      </c>
      <c r="I557" s="2">
        <f t="shared" si="117"/>
        <v>0</v>
      </c>
      <c r="J557" s="10">
        <f t="shared" si="119"/>
        <v>27</v>
      </c>
      <c r="K557" s="10">
        <f t="shared" si="118"/>
        <v>-46</v>
      </c>
      <c r="L557" s="10">
        <f t="shared" ca="1" si="107"/>
        <v>0</v>
      </c>
      <c r="M557" s="10">
        <f t="shared" ca="1" si="109"/>
        <v>-1</v>
      </c>
      <c r="N557" s="30">
        <f t="shared" ca="1" si="110"/>
        <v>0</v>
      </c>
      <c r="O557" s="10">
        <f t="shared" ca="1" si="111"/>
        <v>1729000</v>
      </c>
      <c r="P557" s="29">
        <f t="shared" ca="1" si="112"/>
        <v>3800</v>
      </c>
      <c r="Q557" s="12">
        <f t="shared" ca="1" si="113"/>
        <v>-262100</v>
      </c>
      <c r="R557" s="10">
        <f t="shared" ca="1" si="114"/>
        <v>0.21978021978021978</v>
      </c>
      <c r="S557" s="10">
        <f t="shared" ca="1" si="120"/>
        <v>-1.6231172566050343</v>
      </c>
      <c r="T557" s="14">
        <f t="shared" ref="T557:T620" ca="1" si="121">(S557-AVERAGE(H288:H557))/(_xlfn.STDEV.S(R288:R557)*SQRT(240))</f>
        <v>-0.28318516583506548</v>
      </c>
      <c r="U557" s="12">
        <f t="shared" ca="1" si="115"/>
        <v>7900</v>
      </c>
      <c r="V557" s="14">
        <f t="shared" ca="1" si="116"/>
        <v>-3417.7215189873418</v>
      </c>
      <c r="W557" s="12">
        <f t="shared" ref="W557:W620" ca="1" si="122">MAX(V318:V557)</f>
        <v>-521.51898734177212</v>
      </c>
      <c r="X557" s="7">
        <f ca="1">AVERAGE(E557:OFFSET(F557,-$X$5+1,0))</f>
        <v>8448.2999999999993</v>
      </c>
      <c r="Y557" s="7">
        <f ca="1">AVERAGE(E557:OFFSET(F557,-$Y$5+1,0))</f>
        <v>8549.1</v>
      </c>
      <c r="Z557" s="7">
        <f t="shared" ca="1" si="108"/>
        <v>0</v>
      </c>
    </row>
    <row r="558" spans="1:26">
      <c r="A558" s="3" t="s">
        <v>50</v>
      </c>
      <c r="B558" s="4">
        <v>42473</v>
      </c>
      <c r="C558" s="3">
        <v>8542</v>
      </c>
      <c r="D558" s="3">
        <v>8644</v>
      </c>
      <c r="E558" s="3">
        <v>8529</v>
      </c>
      <c r="F558" s="3">
        <v>8638</v>
      </c>
      <c r="G558" s="3">
        <v>147192</v>
      </c>
      <c r="H558" s="3">
        <v>1.125</v>
      </c>
      <c r="I558" s="2">
        <f t="shared" si="117"/>
        <v>0</v>
      </c>
      <c r="J558" s="10">
        <f t="shared" si="119"/>
        <v>47</v>
      </c>
      <c r="K558" s="10">
        <f t="shared" si="118"/>
        <v>96</v>
      </c>
      <c r="L558" s="10">
        <f t="shared" ca="1" si="107"/>
        <v>0</v>
      </c>
      <c r="M558" s="10">
        <f t="shared" ca="1" si="109"/>
        <v>-1</v>
      </c>
      <c r="N558" s="30">
        <f t="shared" ca="1" si="110"/>
        <v>0</v>
      </c>
      <c r="O558" s="10">
        <f t="shared" ca="1" si="111"/>
        <v>1729000</v>
      </c>
      <c r="P558" s="29">
        <f t="shared" ca="1" si="112"/>
        <v>-28600</v>
      </c>
      <c r="Q558" s="12">
        <f t="shared" ca="1" si="113"/>
        <v>-290700</v>
      </c>
      <c r="R558" s="10">
        <f t="shared" ca="1" si="114"/>
        <v>-1.6541353383458646</v>
      </c>
      <c r="S558" s="10">
        <f t="shared" ca="1" si="120"/>
        <v>-1.8693081961974756</v>
      </c>
      <c r="T558" s="14">
        <f t="shared" ca="1" si="121"/>
        <v>-0.30372989426425451</v>
      </c>
      <c r="U558" s="12">
        <f t="shared" ca="1" si="115"/>
        <v>7900</v>
      </c>
      <c r="V558" s="14">
        <f t="shared" ca="1" si="116"/>
        <v>-3779.746835443038</v>
      </c>
      <c r="W558" s="12">
        <f t="shared" ca="1" si="122"/>
        <v>-665.82278481012656</v>
      </c>
      <c r="X558" s="7">
        <f ca="1">AVERAGE(E558:OFFSET(F558,-$X$5+1,0))</f>
        <v>8473.7000000000007</v>
      </c>
      <c r="Y558" s="7">
        <f ca="1">AVERAGE(E558:OFFSET(F558,-$Y$5+1,0))</f>
        <v>8540.65</v>
      </c>
      <c r="Z558" s="7">
        <f t="shared" ca="1" si="108"/>
        <v>0</v>
      </c>
    </row>
    <row r="559" spans="1:26">
      <c r="A559" s="3" t="s">
        <v>50</v>
      </c>
      <c r="B559" s="4">
        <v>42474</v>
      </c>
      <c r="C559" s="3">
        <v>8705</v>
      </c>
      <c r="D559" s="3">
        <v>8724</v>
      </c>
      <c r="E559" s="3">
        <v>8645</v>
      </c>
      <c r="F559" s="3">
        <v>8661</v>
      </c>
      <c r="G559" s="3">
        <v>119974</v>
      </c>
      <c r="H559" s="3">
        <v>1.125</v>
      </c>
      <c r="I559" s="2">
        <f t="shared" si="117"/>
        <v>0</v>
      </c>
      <c r="J559" s="10">
        <f t="shared" si="119"/>
        <v>67</v>
      </c>
      <c r="K559" s="10">
        <f t="shared" si="118"/>
        <v>-44</v>
      </c>
      <c r="L559" s="10">
        <f t="shared" ca="1" si="107"/>
        <v>0</v>
      </c>
      <c r="M559" s="10">
        <f t="shared" ca="1" si="109"/>
        <v>-1</v>
      </c>
      <c r="N559" s="30">
        <f t="shared" ca="1" si="110"/>
        <v>0</v>
      </c>
      <c r="O559" s="10">
        <f t="shared" ca="1" si="111"/>
        <v>1729000</v>
      </c>
      <c r="P559" s="29">
        <f t="shared" ca="1" si="112"/>
        <v>-4600</v>
      </c>
      <c r="Q559" s="12">
        <f t="shared" ca="1" si="113"/>
        <v>-295300</v>
      </c>
      <c r="R559" s="10">
        <f t="shared" ca="1" si="114"/>
        <v>-0.26604973973395024</v>
      </c>
      <c r="S559" s="10">
        <f t="shared" ca="1" si="120"/>
        <v>-1.8199247628868973</v>
      </c>
      <c r="T559" s="14">
        <f t="shared" ca="1" si="121"/>
        <v>-0.29885566488737453</v>
      </c>
      <c r="U559" s="12">
        <f t="shared" ca="1" si="115"/>
        <v>7900</v>
      </c>
      <c r="V559" s="14">
        <f t="shared" ca="1" si="116"/>
        <v>-3837.9746835443038</v>
      </c>
      <c r="W559" s="12">
        <f t="shared" ca="1" si="122"/>
        <v>-1060.7594936708861</v>
      </c>
      <c r="X559" s="7">
        <f ca="1">AVERAGE(E559:OFFSET(F559,-$X$5+1,0))</f>
        <v>8522.4</v>
      </c>
      <c r="Y559" s="7">
        <f ca="1">AVERAGE(E559:OFFSET(F559,-$Y$5+1,0))</f>
        <v>8547.75</v>
      </c>
      <c r="Z559" s="7">
        <f t="shared" ca="1" si="108"/>
        <v>0</v>
      </c>
    </row>
    <row r="560" spans="1:26">
      <c r="A560" s="3" t="s">
        <v>50</v>
      </c>
      <c r="B560" s="4">
        <v>42475</v>
      </c>
      <c r="C560" s="3">
        <v>8620</v>
      </c>
      <c r="D560" s="3">
        <v>8719</v>
      </c>
      <c r="E560" s="3">
        <v>8591</v>
      </c>
      <c r="F560" s="3">
        <v>8716</v>
      </c>
      <c r="G560" s="3">
        <v>136854</v>
      </c>
      <c r="H560" s="3">
        <v>1.125</v>
      </c>
      <c r="I560" s="2">
        <f t="shared" si="117"/>
        <v>0</v>
      </c>
      <c r="J560" s="10">
        <f t="shared" si="119"/>
        <v>-41</v>
      </c>
      <c r="K560" s="10">
        <f t="shared" si="118"/>
        <v>96</v>
      </c>
      <c r="L560" s="10">
        <f t="shared" ca="1" si="107"/>
        <v>1</v>
      </c>
      <c r="M560" s="10">
        <f t="shared" ca="1" si="109"/>
        <v>-1</v>
      </c>
      <c r="N560" s="30">
        <f t="shared" ca="1" si="110"/>
        <v>0</v>
      </c>
      <c r="O560" s="10">
        <f t="shared" ca="1" si="111"/>
        <v>1729000</v>
      </c>
      <c r="P560" s="29">
        <f t="shared" ca="1" si="112"/>
        <v>-11000</v>
      </c>
      <c r="Q560" s="12">
        <f t="shared" ca="1" si="113"/>
        <v>-306300</v>
      </c>
      <c r="R560" s="10">
        <f t="shared" ca="1" si="114"/>
        <v>-0.63620589936379413</v>
      </c>
      <c r="S560" s="10">
        <f t="shared" ca="1" si="120"/>
        <v>-1.5730075963340062</v>
      </c>
      <c r="T560" s="14">
        <f t="shared" ca="1" si="121"/>
        <v>-0.27498928749072421</v>
      </c>
      <c r="U560" s="12">
        <f t="shared" ca="1" si="115"/>
        <v>7900</v>
      </c>
      <c r="V560" s="14">
        <f t="shared" ca="1" si="116"/>
        <v>-3977.2151898734178</v>
      </c>
      <c r="W560" s="12">
        <f t="shared" ca="1" si="122"/>
        <v>-1060.7594936708861</v>
      </c>
      <c r="X560" s="7">
        <f ca="1">AVERAGE(E560:OFFSET(F560,-$X$5+1,0))</f>
        <v>8567.2000000000007</v>
      </c>
      <c r="Y560" s="7">
        <f ca="1">AVERAGE(E560:OFFSET(F560,-$Y$5+1,0))</f>
        <v>8544.7999999999993</v>
      </c>
      <c r="Z560" s="7">
        <f t="shared" ca="1" si="108"/>
        <v>1</v>
      </c>
    </row>
    <row r="561" spans="1:26">
      <c r="A561" s="3" t="s">
        <v>50</v>
      </c>
      <c r="B561" s="4">
        <v>42478</v>
      </c>
      <c r="C561" s="3">
        <v>8651</v>
      </c>
      <c r="D561" s="3">
        <v>8684</v>
      </c>
      <c r="E561" s="3">
        <v>8630</v>
      </c>
      <c r="F561" s="3">
        <v>8645</v>
      </c>
      <c r="G561" s="3">
        <v>111226</v>
      </c>
      <c r="H561" s="3">
        <v>1.125</v>
      </c>
      <c r="I561" s="2">
        <f t="shared" si="117"/>
        <v>0</v>
      </c>
      <c r="J561" s="10">
        <f t="shared" si="119"/>
        <v>-65</v>
      </c>
      <c r="K561" s="10">
        <f t="shared" si="118"/>
        <v>-6</v>
      </c>
      <c r="L561" s="10">
        <f t="shared" ca="1" si="107"/>
        <v>0</v>
      </c>
      <c r="M561" s="10">
        <f t="shared" ca="1" si="109"/>
        <v>0</v>
      </c>
      <c r="N561" s="30">
        <f t="shared" ca="1" si="110"/>
        <v>0</v>
      </c>
      <c r="O561" s="10">
        <f t="shared" ca="1" si="111"/>
        <v>0</v>
      </c>
      <c r="P561" s="29">
        <f t="shared" ca="1" si="112"/>
        <v>12500</v>
      </c>
      <c r="Q561" s="12">
        <f t="shared" ca="1" si="113"/>
        <v>-293800</v>
      </c>
      <c r="R561" s="10">
        <f t="shared" ca="1" si="114"/>
        <v>0.72296124927703875</v>
      </c>
      <c r="S561" s="10">
        <f t="shared" ca="1" si="120"/>
        <v>-1.3631280047640488</v>
      </c>
      <c r="T561" s="14">
        <f t="shared" ca="1" si="121"/>
        <v>-0.25415827091020948</v>
      </c>
      <c r="U561" s="12">
        <f t="shared" ca="1" si="115"/>
        <v>7900</v>
      </c>
      <c r="V561" s="14">
        <f t="shared" ca="1" si="116"/>
        <v>-3818.9873417721519</v>
      </c>
      <c r="W561" s="12">
        <f t="shared" ca="1" si="122"/>
        <v>-1060.7594936708861</v>
      </c>
      <c r="X561" s="7">
        <f ca="1">AVERAGE(E561:OFFSET(F561,-$X$5+1,0))</f>
        <v>8601.7999999999993</v>
      </c>
      <c r="Y561" s="7">
        <f ca="1">AVERAGE(E561:OFFSET(F561,-$Y$5+1,0))</f>
        <v>8538.25</v>
      </c>
      <c r="Z561" s="7">
        <f t="shared" ca="1" si="108"/>
        <v>0</v>
      </c>
    </row>
    <row r="562" spans="1:26">
      <c r="A562" s="3" t="s">
        <v>50</v>
      </c>
      <c r="B562" s="4">
        <v>42479</v>
      </c>
      <c r="C562" s="3">
        <v>8700</v>
      </c>
      <c r="D562" s="3">
        <v>8748</v>
      </c>
      <c r="E562" s="3">
        <v>8598</v>
      </c>
      <c r="F562" s="3">
        <v>8636</v>
      </c>
      <c r="G562" s="3">
        <v>158491</v>
      </c>
      <c r="H562" s="3">
        <v>1.125</v>
      </c>
      <c r="I562" s="2">
        <f t="shared" si="117"/>
        <v>0</v>
      </c>
      <c r="J562" s="10">
        <f t="shared" si="119"/>
        <v>55</v>
      </c>
      <c r="K562" s="10">
        <f t="shared" si="118"/>
        <v>-64</v>
      </c>
      <c r="L562" s="10">
        <f t="shared" ca="1" si="107"/>
        <v>0</v>
      </c>
      <c r="M562" s="10">
        <f t="shared" ca="1" si="109"/>
        <v>0</v>
      </c>
      <c r="N562" s="30">
        <f t="shared" ca="1" si="110"/>
        <v>0</v>
      </c>
      <c r="O562" s="10">
        <f t="shared" ca="1" si="111"/>
        <v>0</v>
      </c>
      <c r="P562" s="29">
        <f t="shared" ca="1" si="112"/>
        <v>0</v>
      </c>
      <c r="Q562" s="12">
        <f t="shared" ca="1" si="113"/>
        <v>-293800</v>
      </c>
      <c r="R562" s="10">
        <f t="shared" ca="1" si="114"/>
        <v>0</v>
      </c>
      <c r="S562" s="10">
        <f t="shared" ca="1" si="120"/>
        <v>-1.3043036209676249</v>
      </c>
      <c r="T562" s="14">
        <f t="shared" ca="1" si="121"/>
        <v>-0.24920577575513747</v>
      </c>
      <c r="U562" s="12">
        <f t="shared" ca="1" si="115"/>
        <v>7900</v>
      </c>
      <c r="V562" s="14">
        <f t="shared" ca="1" si="116"/>
        <v>-3818.9873417721519</v>
      </c>
      <c r="W562" s="12">
        <f t="shared" ca="1" si="122"/>
        <v>-1060.7594936708861</v>
      </c>
      <c r="X562" s="7">
        <f ca="1">AVERAGE(E562:OFFSET(F562,-$X$5+1,0))</f>
        <v>8628.9</v>
      </c>
      <c r="Y562" s="7">
        <f ca="1">AVERAGE(E562:OFFSET(F562,-$Y$5+1,0))</f>
        <v>8538.6</v>
      </c>
      <c r="Z562" s="7">
        <f t="shared" ca="1" si="108"/>
        <v>0</v>
      </c>
    </row>
    <row r="563" spans="1:26">
      <c r="A563" s="3" t="s">
        <v>50</v>
      </c>
      <c r="B563" s="4">
        <v>42480</v>
      </c>
      <c r="C563" s="3">
        <v>8657</v>
      </c>
      <c r="D563" s="3">
        <v>8684</v>
      </c>
      <c r="E563" s="3">
        <v>8498</v>
      </c>
      <c r="F563" s="3">
        <v>8519</v>
      </c>
      <c r="G563" s="3">
        <v>105896</v>
      </c>
      <c r="H563" s="3">
        <v>1.125</v>
      </c>
      <c r="I563" s="2">
        <f t="shared" si="117"/>
        <v>1</v>
      </c>
      <c r="J563" s="10">
        <f t="shared" si="119"/>
        <v>21</v>
      </c>
      <c r="K563" s="10">
        <f t="shared" si="118"/>
        <v>-138</v>
      </c>
      <c r="L563" s="10">
        <f t="shared" ca="1" si="107"/>
        <v>0</v>
      </c>
      <c r="M563" s="10">
        <f t="shared" si="109"/>
        <v>0</v>
      </c>
      <c r="N563" s="30">
        <f t="shared" si="110"/>
        <v>0</v>
      </c>
      <c r="O563" s="10">
        <f t="shared" si="111"/>
        <v>0</v>
      </c>
      <c r="P563" s="29">
        <f t="shared" ca="1" si="112"/>
        <v>0</v>
      </c>
      <c r="Q563" s="12">
        <f t="shared" ca="1" si="113"/>
        <v>-293800</v>
      </c>
      <c r="R563" s="10">
        <f t="shared" ca="1" si="114"/>
        <v>0</v>
      </c>
      <c r="S563" s="10">
        <f t="shared" ca="1" si="120"/>
        <v>-1.3043036209676249</v>
      </c>
      <c r="T563" s="14">
        <f t="shared" ca="1" si="121"/>
        <v>-0.24914322785961332</v>
      </c>
      <c r="U563" s="12">
        <f t="shared" ca="1" si="115"/>
        <v>7900</v>
      </c>
      <c r="V563" s="14">
        <f t="shared" ca="1" si="116"/>
        <v>-3818.9873417721519</v>
      </c>
      <c r="W563" s="12">
        <f t="shared" ca="1" si="122"/>
        <v>-1060.7594936708861</v>
      </c>
      <c r="X563" s="7">
        <f ca="1">AVERAGE(E563:OFFSET(F563,-$X$5+1,0))</f>
        <v>8613.9</v>
      </c>
      <c r="Y563" s="7">
        <f ca="1">AVERAGE(E563:OFFSET(F563,-$Y$5+1,0))</f>
        <v>8543.7999999999993</v>
      </c>
      <c r="Z563" s="7">
        <f t="shared" ca="1" si="108"/>
        <v>0</v>
      </c>
    </row>
    <row r="564" spans="1:26">
      <c r="A564" s="3" t="s">
        <v>51</v>
      </c>
      <c r="B564" s="4">
        <v>42481</v>
      </c>
      <c r="C564" s="3">
        <v>8513</v>
      </c>
      <c r="D564" s="3">
        <v>8535</v>
      </c>
      <c r="E564" s="3">
        <v>8455</v>
      </c>
      <c r="F564" s="3">
        <v>8530</v>
      </c>
      <c r="G564" s="3">
        <v>121720</v>
      </c>
      <c r="H564" s="3">
        <v>1.125</v>
      </c>
      <c r="I564" s="2">
        <f t="shared" si="117"/>
        <v>0</v>
      </c>
      <c r="J564" s="10">
        <f t="shared" si="119"/>
        <v>-6</v>
      </c>
      <c r="K564" s="10">
        <f t="shared" si="118"/>
        <v>17</v>
      </c>
      <c r="L564" s="10">
        <f t="shared" ca="1" si="107"/>
        <v>0</v>
      </c>
      <c r="M564" s="10">
        <f t="shared" ca="1" si="109"/>
        <v>0</v>
      </c>
      <c r="N564" s="30">
        <f t="shared" ca="1" si="110"/>
        <v>0</v>
      </c>
      <c r="O564" s="10">
        <f t="shared" ca="1" si="111"/>
        <v>0</v>
      </c>
      <c r="P564" s="29">
        <f t="shared" ca="1" si="112"/>
        <v>0</v>
      </c>
      <c r="Q564" s="12">
        <f t="shared" ca="1" si="113"/>
        <v>-293800</v>
      </c>
      <c r="R564" s="10">
        <f t="shared" ca="1" si="114"/>
        <v>0</v>
      </c>
      <c r="S564" s="10">
        <f t="shared" ca="1" si="120"/>
        <v>-1.3043036209676249</v>
      </c>
      <c r="T564" s="14">
        <f t="shared" ca="1" si="121"/>
        <v>-0.24942459229124389</v>
      </c>
      <c r="U564" s="12">
        <f t="shared" ca="1" si="115"/>
        <v>7900</v>
      </c>
      <c r="V564" s="14">
        <f t="shared" ca="1" si="116"/>
        <v>-3818.9873417721519</v>
      </c>
      <c r="W564" s="12">
        <f t="shared" ca="1" si="122"/>
        <v>-1060.7594936708861</v>
      </c>
      <c r="X564" s="7">
        <f ca="1">AVERAGE(E564:OFFSET(F564,-$X$5+1,0))</f>
        <v>8581.7999999999993</v>
      </c>
      <c r="Y564" s="7">
        <f ca="1">AVERAGE(E564:OFFSET(F564,-$Y$5+1,0))</f>
        <v>8552.1</v>
      </c>
      <c r="Z564" s="7">
        <f t="shared" ca="1" si="108"/>
        <v>0</v>
      </c>
    </row>
    <row r="565" spans="1:26">
      <c r="A565" s="3" t="s">
        <v>51</v>
      </c>
      <c r="B565" s="4">
        <v>42482</v>
      </c>
      <c r="C565" s="3">
        <v>8513</v>
      </c>
      <c r="D565" s="3">
        <v>8560</v>
      </c>
      <c r="E565" s="3">
        <v>8461</v>
      </c>
      <c r="F565" s="3">
        <v>8498</v>
      </c>
      <c r="G565" s="3">
        <v>150062</v>
      </c>
      <c r="H565" s="3">
        <v>1.125</v>
      </c>
      <c r="I565" s="2">
        <f t="shared" si="117"/>
        <v>0</v>
      </c>
      <c r="J565" s="10">
        <f t="shared" si="119"/>
        <v>-17</v>
      </c>
      <c r="K565" s="10">
        <f t="shared" si="118"/>
        <v>-15</v>
      </c>
      <c r="L565" s="10">
        <f t="shared" ca="1" si="107"/>
        <v>-1</v>
      </c>
      <c r="M565" s="10">
        <f t="shared" ca="1" si="109"/>
        <v>0</v>
      </c>
      <c r="N565" s="30">
        <f t="shared" ca="1" si="110"/>
        <v>0</v>
      </c>
      <c r="O565" s="10">
        <f t="shared" ca="1" si="111"/>
        <v>0</v>
      </c>
      <c r="P565" s="29">
        <f t="shared" ca="1" si="112"/>
        <v>0</v>
      </c>
      <c r="Q565" s="12">
        <f t="shared" ca="1" si="113"/>
        <v>-293800</v>
      </c>
      <c r="R565" s="10">
        <f t="shared" ca="1" si="114"/>
        <v>0</v>
      </c>
      <c r="S565" s="10">
        <f t="shared" ca="1" si="120"/>
        <v>-1.3043036209676249</v>
      </c>
      <c r="T565" s="14">
        <f t="shared" ca="1" si="121"/>
        <v>-0.24934041807507759</v>
      </c>
      <c r="U565" s="12">
        <f t="shared" ca="1" si="115"/>
        <v>7900</v>
      </c>
      <c r="V565" s="14">
        <f t="shared" ca="1" si="116"/>
        <v>-3818.9873417721519</v>
      </c>
      <c r="W565" s="12">
        <f t="shared" ca="1" si="122"/>
        <v>-1060.7594936708861</v>
      </c>
      <c r="X565" s="7">
        <f ca="1">AVERAGE(E565:OFFSET(F565,-$X$5+1,0))</f>
        <v>8547</v>
      </c>
      <c r="Y565" s="7">
        <f ca="1">AVERAGE(E565:OFFSET(F565,-$Y$5+1,0))</f>
        <v>8557.1</v>
      </c>
      <c r="Z565" s="7">
        <f t="shared" ca="1" si="108"/>
        <v>-1</v>
      </c>
    </row>
    <row r="566" spans="1:26">
      <c r="A566" s="3" t="s">
        <v>51</v>
      </c>
      <c r="B566" s="4">
        <v>42485</v>
      </c>
      <c r="C566" s="3">
        <v>8519</v>
      </c>
      <c r="D566" s="3">
        <v>8540</v>
      </c>
      <c r="E566" s="3">
        <v>8477</v>
      </c>
      <c r="F566" s="3">
        <v>8527</v>
      </c>
      <c r="G566" s="3">
        <v>98787</v>
      </c>
      <c r="H566" s="3">
        <v>1.125</v>
      </c>
      <c r="I566" s="2">
        <f t="shared" si="117"/>
        <v>0</v>
      </c>
      <c r="J566" s="10">
        <f t="shared" si="119"/>
        <v>21</v>
      </c>
      <c r="K566" s="10">
        <f t="shared" si="118"/>
        <v>8</v>
      </c>
      <c r="L566" s="10">
        <f t="shared" ca="1" si="107"/>
        <v>0</v>
      </c>
      <c r="M566" s="10">
        <f t="shared" ca="1" si="109"/>
        <v>-1</v>
      </c>
      <c r="N566" s="30">
        <f t="shared" ca="1" si="110"/>
        <v>0</v>
      </c>
      <c r="O566" s="10">
        <f t="shared" ca="1" si="111"/>
        <v>1703800</v>
      </c>
      <c r="P566" s="29">
        <f t="shared" ca="1" si="112"/>
        <v>-2100</v>
      </c>
      <c r="Q566" s="12">
        <f t="shared" ca="1" si="113"/>
        <v>-295900</v>
      </c>
      <c r="R566" s="10">
        <f t="shared" ca="1" si="114"/>
        <v>-0.12325390304026294</v>
      </c>
      <c r="S566" s="10">
        <f t="shared" ca="1" si="120"/>
        <v>-1.3195543871370681</v>
      </c>
      <c r="T566" s="14">
        <f t="shared" ca="1" si="121"/>
        <v>-0.25072037794726421</v>
      </c>
      <c r="U566" s="12">
        <f t="shared" ca="1" si="115"/>
        <v>7900</v>
      </c>
      <c r="V566" s="14">
        <f t="shared" ca="1" si="116"/>
        <v>-3845.5696202531644</v>
      </c>
      <c r="W566" s="12">
        <f t="shared" ca="1" si="122"/>
        <v>-1060.7594936708861</v>
      </c>
      <c r="X566" s="7">
        <f ca="1">AVERAGE(E566:OFFSET(F566,-$X$5+1,0))</f>
        <v>8519.9</v>
      </c>
      <c r="Y566" s="7">
        <f ca="1">AVERAGE(E566:OFFSET(F566,-$Y$5+1,0))</f>
        <v>8560.85</v>
      </c>
      <c r="Z566" s="7">
        <f t="shared" ca="1" si="108"/>
        <v>0</v>
      </c>
    </row>
    <row r="567" spans="1:26">
      <c r="A567" s="3" t="s">
        <v>51</v>
      </c>
      <c r="B567" s="4">
        <v>42486</v>
      </c>
      <c r="C567" s="3">
        <v>8533</v>
      </c>
      <c r="D567" s="3">
        <v>8619</v>
      </c>
      <c r="E567" s="3">
        <v>8523</v>
      </c>
      <c r="F567" s="3">
        <v>8573</v>
      </c>
      <c r="G567" s="3">
        <v>135704</v>
      </c>
      <c r="H567" s="3">
        <v>1.125</v>
      </c>
      <c r="I567" s="2">
        <f t="shared" si="117"/>
        <v>0</v>
      </c>
      <c r="J567" s="10">
        <f t="shared" si="119"/>
        <v>6</v>
      </c>
      <c r="K567" s="10">
        <f t="shared" si="118"/>
        <v>40</v>
      </c>
      <c r="L567" s="10">
        <f t="shared" ca="1" si="107"/>
        <v>0</v>
      </c>
      <c r="M567" s="10">
        <f t="shared" ca="1" si="109"/>
        <v>-1</v>
      </c>
      <c r="N567" s="30">
        <f t="shared" ca="1" si="110"/>
        <v>0</v>
      </c>
      <c r="O567" s="10">
        <f t="shared" ca="1" si="111"/>
        <v>1703800</v>
      </c>
      <c r="P567" s="29">
        <f t="shared" ca="1" si="112"/>
        <v>-9200</v>
      </c>
      <c r="Q567" s="12">
        <f t="shared" ca="1" si="113"/>
        <v>-305100</v>
      </c>
      <c r="R567" s="10">
        <f t="shared" ca="1" si="114"/>
        <v>-0.53996947998591383</v>
      </c>
      <c r="S567" s="10">
        <f t="shared" ca="1" si="120"/>
        <v>-1.3863672674984386</v>
      </c>
      <c r="T567" s="14">
        <f t="shared" ca="1" si="121"/>
        <v>-0.25695253075971658</v>
      </c>
      <c r="U567" s="12">
        <f t="shared" ca="1" si="115"/>
        <v>7900</v>
      </c>
      <c r="V567" s="14">
        <f t="shared" ca="1" si="116"/>
        <v>-3962.0253164556962</v>
      </c>
      <c r="W567" s="12">
        <f t="shared" ca="1" si="122"/>
        <v>-1060.7594936708861</v>
      </c>
      <c r="X567" s="7">
        <f ca="1">AVERAGE(E567:OFFSET(F567,-$X$5+1,0))</f>
        <v>8506.1</v>
      </c>
      <c r="Y567" s="7">
        <f ca="1">AVERAGE(E567:OFFSET(F567,-$Y$5+1,0))</f>
        <v>8567.5</v>
      </c>
      <c r="Z567" s="7">
        <f t="shared" ca="1" si="108"/>
        <v>0</v>
      </c>
    </row>
    <row r="568" spans="1:26">
      <c r="A568" s="3" t="s">
        <v>51</v>
      </c>
      <c r="B568" s="4">
        <v>42487</v>
      </c>
      <c r="C568" s="3">
        <v>8560</v>
      </c>
      <c r="D568" s="3">
        <v>8590</v>
      </c>
      <c r="E568" s="3">
        <v>8506</v>
      </c>
      <c r="F568" s="3">
        <v>8557</v>
      </c>
      <c r="G568" s="3">
        <v>116757</v>
      </c>
      <c r="H568" s="3">
        <v>1.125</v>
      </c>
      <c r="I568" s="2">
        <f t="shared" si="117"/>
        <v>0</v>
      </c>
      <c r="J568" s="10">
        <f t="shared" si="119"/>
        <v>-13</v>
      </c>
      <c r="K568" s="10">
        <f t="shared" si="118"/>
        <v>-3</v>
      </c>
      <c r="L568" s="10">
        <f t="shared" ca="1" si="107"/>
        <v>0</v>
      </c>
      <c r="M568" s="10">
        <f t="shared" ca="1" si="109"/>
        <v>-1</v>
      </c>
      <c r="N568" s="30">
        <f t="shared" ca="1" si="110"/>
        <v>0</v>
      </c>
      <c r="O568" s="10">
        <f t="shared" ca="1" si="111"/>
        <v>1703800</v>
      </c>
      <c r="P568" s="29">
        <f t="shared" ca="1" si="112"/>
        <v>3200</v>
      </c>
      <c r="Q568" s="12">
        <f t="shared" ca="1" si="113"/>
        <v>-301900</v>
      </c>
      <c r="R568" s="10">
        <f t="shared" ca="1" si="114"/>
        <v>0.18781547129944828</v>
      </c>
      <c r="S568" s="10">
        <f t="shared" ca="1" si="120"/>
        <v>-1.3631280047640488</v>
      </c>
      <c r="T568" s="14">
        <f t="shared" ca="1" si="121"/>
        <v>-0.25457504074635179</v>
      </c>
      <c r="U568" s="12">
        <f t="shared" ca="1" si="115"/>
        <v>7900</v>
      </c>
      <c r="V568" s="14">
        <f t="shared" ca="1" si="116"/>
        <v>-3921.5189873417721</v>
      </c>
      <c r="W568" s="12">
        <f t="shared" ca="1" si="122"/>
        <v>-1060.7594936708861</v>
      </c>
      <c r="X568" s="7">
        <f ca="1">AVERAGE(E568:OFFSET(F568,-$X$5+1,0))</f>
        <v>8510.7000000000007</v>
      </c>
      <c r="Y568" s="7">
        <f ca="1">AVERAGE(E568:OFFSET(F568,-$Y$5+1,0))</f>
        <v>8562.2999999999993</v>
      </c>
      <c r="Z568" s="7">
        <f t="shared" ca="1" si="108"/>
        <v>0</v>
      </c>
    </row>
    <row r="569" spans="1:26">
      <c r="A569" s="3" t="s">
        <v>51</v>
      </c>
      <c r="B569" s="4">
        <v>42488</v>
      </c>
      <c r="C569" s="3">
        <v>8586</v>
      </c>
      <c r="D569" s="3">
        <v>8599</v>
      </c>
      <c r="E569" s="3">
        <v>8408</v>
      </c>
      <c r="F569" s="3">
        <v>8417</v>
      </c>
      <c r="G569" s="3">
        <v>190019</v>
      </c>
      <c r="H569" s="3">
        <v>1.125</v>
      </c>
      <c r="I569" s="2">
        <f t="shared" si="117"/>
        <v>0</v>
      </c>
      <c r="J569" s="10">
        <f t="shared" si="119"/>
        <v>29</v>
      </c>
      <c r="K569" s="10">
        <f t="shared" si="118"/>
        <v>-169</v>
      </c>
      <c r="L569" s="10">
        <f t="shared" ca="1" si="107"/>
        <v>0</v>
      </c>
      <c r="M569" s="10">
        <f t="shared" ca="1" si="109"/>
        <v>-1</v>
      </c>
      <c r="N569" s="30">
        <f t="shared" ca="1" si="110"/>
        <v>0</v>
      </c>
      <c r="O569" s="10">
        <f t="shared" ca="1" si="111"/>
        <v>1703800</v>
      </c>
      <c r="P569" s="29">
        <f t="shared" ca="1" si="112"/>
        <v>28000</v>
      </c>
      <c r="Q569" s="12">
        <f t="shared" ca="1" si="113"/>
        <v>-273900</v>
      </c>
      <c r="R569" s="10">
        <f t="shared" ca="1" si="114"/>
        <v>1.6433853738701725</v>
      </c>
      <c r="S569" s="10">
        <f t="shared" ca="1" si="120"/>
        <v>-1.1597844558381385</v>
      </c>
      <c r="T569" s="14">
        <f t="shared" ca="1" si="121"/>
        <v>-0.23221426533824446</v>
      </c>
      <c r="U569" s="12">
        <f t="shared" ca="1" si="115"/>
        <v>7900</v>
      </c>
      <c r="V569" s="14">
        <f t="shared" ca="1" si="116"/>
        <v>-3567.0886075949365</v>
      </c>
      <c r="W569" s="12">
        <f t="shared" ca="1" si="122"/>
        <v>-1060.7594936708861</v>
      </c>
      <c r="X569" s="7">
        <f ca="1">AVERAGE(E569:OFFSET(F569,-$X$5+1,0))</f>
        <v>8494.7000000000007</v>
      </c>
      <c r="Y569" s="7">
        <f ca="1">AVERAGE(E569:OFFSET(F569,-$Y$5+1,0))</f>
        <v>8538.25</v>
      </c>
      <c r="Z569" s="7">
        <f t="shared" ca="1" si="108"/>
        <v>0</v>
      </c>
    </row>
    <row r="570" spans="1:26">
      <c r="A570" s="3" t="s">
        <v>51</v>
      </c>
      <c r="B570" s="4">
        <v>42489</v>
      </c>
      <c r="C570" s="3">
        <v>8375</v>
      </c>
      <c r="D570" s="3">
        <v>8400</v>
      </c>
      <c r="E570" s="3">
        <v>8303</v>
      </c>
      <c r="F570" s="3">
        <v>8309</v>
      </c>
      <c r="G570" s="3">
        <v>132260</v>
      </c>
      <c r="H570" s="3">
        <v>1.125</v>
      </c>
      <c r="I570" s="2">
        <f t="shared" si="117"/>
        <v>0</v>
      </c>
      <c r="J570" s="10">
        <f t="shared" si="119"/>
        <v>-42</v>
      </c>
      <c r="K570" s="10">
        <f t="shared" si="118"/>
        <v>-66</v>
      </c>
      <c r="L570" s="10">
        <f t="shared" ca="1" si="107"/>
        <v>0</v>
      </c>
      <c r="M570" s="10">
        <f t="shared" ca="1" si="109"/>
        <v>-1</v>
      </c>
      <c r="N570" s="30">
        <f t="shared" ca="1" si="110"/>
        <v>0</v>
      </c>
      <c r="O570" s="10">
        <f t="shared" ca="1" si="111"/>
        <v>1703800</v>
      </c>
      <c r="P570" s="29">
        <f t="shared" ca="1" si="112"/>
        <v>21600</v>
      </c>
      <c r="Q570" s="12">
        <f t="shared" ca="1" si="113"/>
        <v>-252300</v>
      </c>
      <c r="R570" s="10">
        <f t="shared" ca="1" si="114"/>
        <v>1.2677544312712761</v>
      </c>
      <c r="S570" s="10">
        <f t="shared" ca="1" si="120"/>
        <v>-1.0690060857819286</v>
      </c>
      <c r="T570" s="14">
        <f t="shared" ca="1" si="121"/>
        <v>-0.22202196354981732</v>
      </c>
      <c r="U570" s="12">
        <f t="shared" ca="1" si="115"/>
        <v>7900</v>
      </c>
      <c r="V570" s="14">
        <f t="shared" ca="1" si="116"/>
        <v>-3293.6708860759495</v>
      </c>
      <c r="W570" s="12">
        <f t="shared" ca="1" si="122"/>
        <v>-1060.7594936708861</v>
      </c>
      <c r="X570" s="7">
        <f ca="1">AVERAGE(E570:OFFSET(F570,-$X$5+1,0))</f>
        <v>8460</v>
      </c>
      <c r="Y570" s="7">
        <f ca="1">AVERAGE(E570:OFFSET(F570,-$Y$5+1,0))</f>
        <v>8503.5</v>
      </c>
      <c r="Z570" s="7">
        <f t="shared" ca="1" si="108"/>
        <v>0</v>
      </c>
    </row>
    <row r="571" spans="1:26">
      <c r="A571" s="3" t="s">
        <v>51</v>
      </c>
      <c r="B571" s="4">
        <v>42493</v>
      </c>
      <c r="C571" s="3">
        <v>8319</v>
      </c>
      <c r="D571" s="3">
        <v>8330</v>
      </c>
      <c r="E571" s="3">
        <v>8220</v>
      </c>
      <c r="F571" s="3">
        <v>8259</v>
      </c>
      <c r="G571" s="3">
        <v>123157</v>
      </c>
      <c r="H571" s="3">
        <v>1.125</v>
      </c>
      <c r="I571" s="2">
        <f t="shared" si="117"/>
        <v>0</v>
      </c>
      <c r="J571" s="10">
        <f t="shared" si="119"/>
        <v>10</v>
      </c>
      <c r="K571" s="10">
        <f t="shared" si="118"/>
        <v>-60</v>
      </c>
      <c r="L571" s="10">
        <f t="shared" ca="1" si="107"/>
        <v>0</v>
      </c>
      <c r="M571" s="10">
        <f t="shared" ca="1" si="109"/>
        <v>-1</v>
      </c>
      <c r="N571" s="30">
        <f t="shared" ca="1" si="110"/>
        <v>0</v>
      </c>
      <c r="O571" s="10">
        <f t="shared" ca="1" si="111"/>
        <v>1703800</v>
      </c>
      <c r="P571" s="29">
        <f t="shared" ca="1" si="112"/>
        <v>10000</v>
      </c>
      <c r="Q571" s="12">
        <f t="shared" ca="1" si="113"/>
        <v>-242300</v>
      </c>
      <c r="R571" s="10">
        <f t="shared" ca="1" si="114"/>
        <v>0.58692334781077593</v>
      </c>
      <c r="S571" s="10">
        <f t="shared" ca="1" si="120"/>
        <v>-0.99347848189516186</v>
      </c>
      <c r="T571" s="14">
        <f t="shared" ca="1" si="121"/>
        <v>-0.21454756985975196</v>
      </c>
      <c r="U571" s="12">
        <f t="shared" ca="1" si="115"/>
        <v>7900</v>
      </c>
      <c r="V571" s="14">
        <f t="shared" ca="1" si="116"/>
        <v>-3167.0886075949365</v>
      </c>
      <c r="W571" s="12">
        <f t="shared" ca="1" si="122"/>
        <v>-1060.7594936708861</v>
      </c>
      <c r="X571" s="7">
        <f ca="1">AVERAGE(E571:OFFSET(F571,-$X$5+1,0))</f>
        <v>8407.5</v>
      </c>
      <c r="Y571" s="7">
        <f ca="1">AVERAGE(E571:OFFSET(F571,-$Y$5+1,0))</f>
        <v>8463.7000000000007</v>
      </c>
      <c r="Z571" s="7">
        <f t="shared" ca="1" si="108"/>
        <v>0</v>
      </c>
    </row>
    <row r="572" spans="1:26">
      <c r="A572" s="3" t="s">
        <v>51</v>
      </c>
      <c r="B572" s="4">
        <v>42494</v>
      </c>
      <c r="C572" s="3">
        <v>8238</v>
      </c>
      <c r="D572" s="3">
        <v>8257</v>
      </c>
      <c r="E572" s="3">
        <v>8105</v>
      </c>
      <c r="F572" s="3">
        <v>8177</v>
      </c>
      <c r="G572" s="3">
        <v>176592</v>
      </c>
      <c r="H572" s="3">
        <v>1.125</v>
      </c>
      <c r="I572" s="2">
        <f t="shared" si="117"/>
        <v>0</v>
      </c>
      <c r="J572" s="10">
        <f t="shared" si="119"/>
        <v>-21</v>
      </c>
      <c r="K572" s="10">
        <f t="shared" si="118"/>
        <v>-61</v>
      </c>
      <c r="L572" s="10">
        <f t="shared" ca="1" si="107"/>
        <v>0</v>
      </c>
      <c r="M572" s="10">
        <f t="shared" ca="1" si="109"/>
        <v>-1</v>
      </c>
      <c r="N572" s="30">
        <f t="shared" ca="1" si="110"/>
        <v>0</v>
      </c>
      <c r="O572" s="10">
        <f t="shared" ca="1" si="111"/>
        <v>1703800</v>
      </c>
      <c r="P572" s="29">
        <f t="shared" ca="1" si="112"/>
        <v>16400</v>
      </c>
      <c r="Q572" s="12">
        <f t="shared" ca="1" si="113"/>
        <v>-225900</v>
      </c>
      <c r="R572" s="10">
        <f t="shared" ca="1" si="114"/>
        <v>0.96255429040967244</v>
      </c>
      <c r="S572" s="10">
        <f t="shared" ca="1" si="120"/>
        <v>-0.89906897703670352</v>
      </c>
      <c r="T572" s="14">
        <f t="shared" ca="1" si="121"/>
        <v>-0.20525698998484967</v>
      </c>
      <c r="U572" s="12">
        <f t="shared" ca="1" si="115"/>
        <v>7900</v>
      </c>
      <c r="V572" s="14">
        <f t="shared" ca="1" si="116"/>
        <v>-2959.493670886076</v>
      </c>
      <c r="W572" s="12">
        <f t="shared" ca="1" si="122"/>
        <v>-1060.7594936708861</v>
      </c>
      <c r="X572" s="7">
        <f ca="1">AVERAGE(E572:OFFSET(F572,-$X$5+1,0))</f>
        <v>8326.1</v>
      </c>
      <c r="Y572" s="7">
        <f ca="1">AVERAGE(E572:OFFSET(F572,-$Y$5+1,0))</f>
        <v>8416.1</v>
      </c>
      <c r="Z572" s="7">
        <f t="shared" ca="1" si="108"/>
        <v>0</v>
      </c>
    </row>
    <row r="573" spans="1:26">
      <c r="A573" s="3" t="s">
        <v>51</v>
      </c>
      <c r="B573" s="4">
        <v>42495</v>
      </c>
      <c r="C573" s="3">
        <v>8160</v>
      </c>
      <c r="D573" s="3">
        <v>8181</v>
      </c>
      <c r="E573" s="3">
        <v>8095</v>
      </c>
      <c r="F573" s="3">
        <v>8142</v>
      </c>
      <c r="G573" s="3">
        <v>137990</v>
      </c>
      <c r="H573" s="3">
        <v>1.125</v>
      </c>
      <c r="I573" s="2">
        <f t="shared" si="117"/>
        <v>0</v>
      </c>
      <c r="J573" s="10">
        <f t="shared" si="119"/>
        <v>-17</v>
      </c>
      <c r="K573" s="10">
        <f t="shared" si="118"/>
        <v>-18</v>
      </c>
      <c r="L573" s="10">
        <f t="shared" ref="L573:L636" ca="1" si="123">Z573</f>
        <v>0</v>
      </c>
      <c r="M573" s="10">
        <f t="shared" ca="1" si="109"/>
        <v>-1</v>
      </c>
      <c r="N573" s="30">
        <f t="shared" ca="1" si="110"/>
        <v>0</v>
      </c>
      <c r="O573" s="10">
        <f t="shared" ca="1" si="111"/>
        <v>1703800</v>
      </c>
      <c r="P573" s="29">
        <f t="shared" ca="1" si="112"/>
        <v>7000</v>
      </c>
      <c r="Q573" s="12">
        <f t="shared" ca="1" si="113"/>
        <v>-218900</v>
      </c>
      <c r="R573" s="10">
        <f t="shared" ca="1" si="114"/>
        <v>0.41084634346754312</v>
      </c>
      <c r="S573" s="10">
        <f t="shared" ca="1" si="120"/>
        <v>-0.80030211041554711</v>
      </c>
      <c r="T573" s="14">
        <f t="shared" ca="1" si="121"/>
        <v>-0.19607570230442126</v>
      </c>
      <c r="U573" s="12">
        <f t="shared" ca="1" si="115"/>
        <v>7900</v>
      </c>
      <c r="V573" s="14">
        <f t="shared" ca="1" si="116"/>
        <v>-2870.8860759493673</v>
      </c>
      <c r="W573" s="12">
        <f t="shared" ca="1" si="122"/>
        <v>-1060.7594936708861</v>
      </c>
      <c r="X573" s="7">
        <f ca="1">AVERAGE(E573:OFFSET(F573,-$X$5+1,0))</f>
        <v>8243.5</v>
      </c>
      <c r="Y573" s="7">
        <f ca="1">AVERAGE(E573:OFFSET(F573,-$Y$5+1,0))</f>
        <v>8377.1</v>
      </c>
      <c r="Z573" s="7">
        <f t="shared" ref="Z573:Z636" ca="1" si="124">IF(AND(X572&lt;=Y572,X573&gt;Y573),1,IF(AND(X572&gt;Y572,X573&lt;=Y573),-1,0))</f>
        <v>0</v>
      </c>
    </row>
    <row r="574" spans="1:26">
      <c r="A574" s="3" t="s">
        <v>51</v>
      </c>
      <c r="B574" s="4">
        <v>42496</v>
      </c>
      <c r="C574" s="3">
        <v>8118</v>
      </c>
      <c r="D574" s="3">
        <v>8140</v>
      </c>
      <c r="E574" s="3">
        <v>8061</v>
      </c>
      <c r="F574" s="3">
        <v>8102</v>
      </c>
      <c r="G574" s="3">
        <v>132563</v>
      </c>
      <c r="H574" s="3">
        <v>1.125</v>
      </c>
      <c r="I574" s="2">
        <f t="shared" si="117"/>
        <v>0</v>
      </c>
      <c r="J574" s="10">
        <f t="shared" si="119"/>
        <v>-24</v>
      </c>
      <c r="K574" s="10">
        <f t="shared" si="118"/>
        <v>-16</v>
      </c>
      <c r="L574" s="10">
        <f t="shared" ca="1" si="123"/>
        <v>0</v>
      </c>
      <c r="M574" s="10">
        <f t="shared" ref="M574:M637" ca="1" si="125">IF(I574=1,0,IF(M573+L573&gt;=$M$5,$M$5,IF(M573+L573&lt;=$M$7,$M$7,M573+L573)))</f>
        <v>-1</v>
      </c>
      <c r="N574" s="30">
        <f t="shared" ref="N574:N637" ca="1" si="126">IF(M574=0,0,IF(M574&gt;M573,(C574+N573*M573)*$S$5,0))</f>
        <v>0</v>
      </c>
      <c r="O574" s="10">
        <f t="shared" ref="O574:O637" ca="1" si="127">IF(M574=0,0,IF(M574=M573,O573,((M574-M573)*C574+N573*M573)*$S$5/M574))</f>
        <v>1703800</v>
      </c>
      <c r="P574" s="29">
        <f t="shared" ref="P574:P637" ca="1" si="128">IF(M573=M574,(M573*J574+M574*K574)*$S$5,(M573*J574+M574*K574)*$S$5-$S$6)</f>
        <v>8000</v>
      </c>
      <c r="Q574" s="12">
        <f t="shared" ref="Q574:Q637" ca="1" si="129">P574+Q573</f>
        <v>-210900</v>
      </c>
      <c r="R574" s="10">
        <f t="shared" ref="R574:R637" ca="1" si="130">IF(P574=0,0,IF(O574=0,100*P574/O573,100*P574/O574))</f>
        <v>0.46953867824862072</v>
      </c>
      <c r="S574" s="10">
        <f t="shared" ca="1" si="120"/>
        <v>-0.9382852329009862</v>
      </c>
      <c r="T574" s="14">
        <f t="shared" ca="1" si="121"/>
        <v>-0.20880031015031111</v>
      </c>
      <c r="U574" s="12">
        <f t="shared" ref="U574:U637" ca="1" si="131">IF(Q574&gt;U573,Q574,U573)</f>
        <v>7900</v>
      </c>
      <c r="V574" s="14">
        <f t="shared" ref="V574:V637" ca="1" si="132">IF(U574=0,0,100*(Q574-U574)/U574)</f>
        <v>-2769.6202531645567</v>
      </c>
      <c r="W574" s="12">
        <f t="shared" ca="1" si="122"/>
        <v>-1060.7594936708861</v>
      </c>
      <c r="X574" s="7">
        <f ca="1">AVERAGE(E574:OFFSET(F574,-$X$5+1,0))</f>
        <v>8177.3</v>
      </c>
      <c r="Y574" s="7">
        <f ca="1">AVERAGE(E574:OFFSET(F574,-$Y$5+1,0))</f>
        <v>8336</v>
      </c>
      <c r="Z574" s="7">
        <f t="shared" ca="1" si="124"/>
        <v>0</v>
      </c>
    </row>
    <row r="575" spans="1:26">
      <c r="A575" s="3" t="s">
        <v>51</v>
      </c>
      <c r="B575" s="4">
        <v>42499</v>
      </c>
      <c r="C575" s="3">
        <v>8141</v>
      </c>
      <c r="D575" s="3">
        <v>8160</v>
      </c>
      <c r="E575" s="3">
        <v>8065</v>
      </c>
      <c r="F575" s="3">
        <v>8114</v>
      </c>
      <c r="G575" s="3">
        <v>122435</v>
      </c>
      <c r="H575" s="3">
        <v>1.125</v>
      </c>
      <c r="I575" s="2">
        <f t="shared" si="117"/>
        <v>0</v>
      </c>
      <c r="J575" s="10">
        <f t="shared" si="119"/>
        <v>39</v>
      </c>
      <c r="K575" s="10">
        <f t="shared" si="118"/>
        <v>-27</v>
      </c>
      <c r="L575" s="10">
        <f t="shared" ca="1" si="123"/>
        <v>0</v>
      </c>
      <c r="M575" s="10">
        <f t="shared" ca="1" si="125"/>
        <v>-1</v>
      </c>
      <c r="N575" s="30">
        <f t="shared" ca="1" si="126"/>
        <v>0</v>
      </c>
      <c r="O575" s="10">
        <f t="shared" ca="1" si="127"/>
        <v>1703800</v>
      </c>
      <c r="P575" s="29">
        <f t="shared" ca="1" si="128"/>
        <v>-2400</v>
      </c>
      <c r="Q575" s="12">
        <f t="shared" ca="1" si="129"/>
        <v>-213300</v>
      </c>
      <c r="R575" s="10">
        <f t="shared" ca="1" si="130"/>
        <v>-0.14086160347458621</v>
      </c>
      <c r="S575" s="10">
        <f t="shared" ca="1" si="120"/>
        <v>-0.99783584365785993</v>
      </c>
      <c r="T575" s="14">
        <f t="shared" ca="1" si="121"/>
        <v>-0.21452295639841296</v>
      </c>
      <c r="U575" s="12">
        <f t="shared" ca="1" si="131"/>
        <v>7900</v>
      </c>
      <c r="V575" s="14">
        <f t="shared" ca="1" si="132"/>
        <v>-2800</v>
      </c>
      <c r="W575" s="12">
        <f t="shared" ca="1" si="122"/>
        <v>-1118.9873417721519</v>
      </c>
      <c r="X575" s="7">
        <f ca="1">AVERAGE(E575:OFFSET(F575,-$X$5+1,0))</f>
        <v>8134</v>
      </c>
      <c r="Y575" s="7">
        <f ca="1">AVERAGE(E575:OFFSET(F575,-$Y$5+1,0))</f>
        <v>8297</v>
      </c>
      <c r="Z575" s="7">
        <f t="shared" ca="1" si="124"/>
        <v>0</v>
      </c>
    </row>
    <row r="576" spans="1:26">
      <c r="A576" s="3" t="s">
        <v>51</v>
      </c>
      <c r="B576" s="4">
        <v>42500</v>
      </c>
      <c r="C576" s="3">
        <v>8116</v>
      </c>
      <c r="D576" s="3">
        <v>8180</v>
      </c>
      <c r="E576" s="3">
        <v>8057</v>
      </c>
      <c r="F576" s="3">
        <v>8153</v>
      </c>
      <c r="G576" s="3">
        <v>151146</v>
      </c>
      <c r="H576" s="3">
        <v>1.125</v>
      </c>
      <c r="I576" s="2">
        <f t="shared" si="117"/>
        <v>0</v>
      </c>
      <c r="J576" s="10">
        <f t="shared" si="119"/>
        <v>2</v>
      </c>
      <c r="K576" s="10">
        <f t="shared" si="118"/>
        <v>37</v>
      </c>
      <c r="L576" s="10">
        <f t="shared" ca="1" si="123"/>
        <v>0</v>
      </c>
      <c r="M576" s="10">
        <f t="shared" ca="1" si="125"/>
        <v>-1</v>
      </c>
      <c r="N576" s="30">
        <f t="shared" ca="1" si="126"/>
        <v>0</v>
      </c>
      <c r="O576" s="10">
        <f t="shared" ca="1" si="127"/>
        <v>1703800</v>
      </c>
      <c r="P576" s="29">
        <f t="shared" ca="1" si="128"/>
        <v>-7800</v>
      </c>
      <c r="Q576" s="12">
        <f t="shared" ca="1" si="129"/>
        <v>-221100</v>
      </c>
      <c r="R576" s="10">
        <f t="shared" ca="1" si="130"/>
        <v>-0.45780021129240522</v>
      </c>
      <c r="S576" s="10">
        <f t="shared" ca="1" si="120"/>
        <v>-1.0210751063922496</v>
      </c>
      <c r="T576" s="14">
        <f t="shared" ca="1" si="121"/>
        <v>-0.21647736390791075</v>
      </c>
      <c r="U576" s="12">
        <f t="shared" ca="1" si="131"/>
        <v>7900</v>
      </c>
      <c r="V576" s="14">
        <f t="shared" ca="1" si="132"/>
        <v>-2898.7341772151899</v>
      </c>
      <c r="W576" s="12">
        <f t="shared" ca="1" si="122"/>
        <v>-1382.2784810126582</v>
      </c>
      <c r="X576" s="7">
        <f ca="1">AVERAGE(E576:OFFSET(F576,-$X$5+1,0))</f>
        <v>8107.1</v>
      </c>
      <c r="Y576" s="7">
        <f ca="1">AVERAGE(E576:OFFSET(F576,-$Y$5+1,0))</f>
        <v>8257.2999999999993</v>
      </c>
      <c r="Z576" s="7">
        <f t="shared" ca="1" si="124"/>
        <v>0</v>
      </c>
    </row>
    <row r="577" spans="1:26">
      <c r="A577" s="3" t="s">
        <v>51</v>
      </c>
      <c r="B577" s="4">
        <v>42501</v>
      </c>
      <c r="C577" s="3">
        <v>8177</v>
      </c>
      <c r="D577" s="3">
        <v>8192</v>
      </c>
      <c r="E577" s="3">
        <v>8081</v>
      </c>
      <c r="F577" s="3">
        <v>8125</v>
      </c>
      <c r="G577" s="3">
        <v>152178</v>
      </c>
      <c r="H577" s="3">
        <v>1.125</v>
      </c>
      <c r="I577" s="2">
        <f t="shared" si="117"/>
        <v>0</v>
      </c>
      <c r="J577" s="10">
        <f t="shared" si="119"/>
        <v>24</v>
      </c>
      <c r="K577" s="10">
        <f t="shared" si="118"/>
        <v>-52</v>
      </c>
      <c r="L577" s="10">
        <f t="shared" ca="1" si="123"/>
        <v>0</v>
      </c>
      <c r="M577" s="10">
        <f t="shared" ca="1" si="125"/>
        <v>-1</v>
      </c>
      <c r="N577" s="30">
        <f t="shared" ca="1" si="126"/>
        <v>0</v>
      </c>
      <c r="O577" s="10">
        <f t="shared" ca="1" si="127"/>
        <v>1703800</v>
      </c>
      <c r="P577" s="29">
        <f t="shared" ca="1" si="128"/>
        <v>5600</v>
      </c>
      <c r="Q577" s="12">
        <f t="shared" ca="1" si="129"/>
        <v>-215500</v>
      </c>
      <c r="R577" s="10">
        <f t="shared" ca="1" si="130"/>
        <v>0.32867707477403452</v>
      </c>
      <c r="S577" s="10">
        <f t="shared" ca="1" si="120"/>
        <v>-0.8293511888335342</v>
      </c>
      <c r="T577" s="14">
        <f t="shared" ca="1" si="121"/>
        <v>-0.19825317473317777</v>
      </c>
      <c r="U577" s="12">
        <f t="shared" ca="1" si="131"/>
        <v>7900</v>
      </c>
      <c r="V577" s="14">
        <f t="shared" ca="1" si="132"/>
        <v>-2827.8481012658226</v>
      </c>
      <c r="W577" s="12">
        <f t="shared" ca="1" si="122"/>
        <v>-1393.6708860759493</v>
      </c>
      <c r="X577" s="7">
        <f ca="1">AVERAGE(E577:OFFSET(F577,-$X$5+1,0))</f>
        <v>8099.5</v>
      </c>
      <c r="Y577" s="7">
        <f ca="1">AVERAGE(E577:OFFSET(F577,-$Y$5+1,0))</f>
        <v>8212.7999999999993</v>
      </c>
      <c r="Z577" s="7">
        <f t="shared" ca="1" si="124"/>
        <v>0</v>
      </c>
    </row>
    <row r="578" spans="1:26">
      <c r="A578" s="3" t="s">
        <v>51</v>
      </c>
      <c r="B578" s="4">
        <v>42502</v>
      </c>
      <c r="C578" s="3">
        <v>8096</v>
      </c>
      <c r="D578" s="3">
        <v>8155</v>
      </c>
      <c r="E578" s="3">
        <v>8066</v>
      </c>
      <c r="F578" s="3">
        <v>8084</v>
      </c>
      <c r="G578" s="3">
        <v>138711</v>
      </c>
      <c r="H578" s="3">
        <v>1.125</v>
      </c>
      <c r="I578" s="2">
        <f t="shared" si="117"/>
        <v>0</v>
      </c>
      <c r="J578" s="10">
        <f t="shared" si="119"/>
        <v>-29</v>
      </c>
      <c r="K578" s="10">
        <f t="shared" si="118"/>
        <v>-12</v>
      </c>
      <c r="L578" s="10">
        <f t="shared" ca="1" si="123"/>
        <v>0</v>
      </c>
      <c r="M578" s="10">
        <f t="shared" ca="1" si="125"/>
        <v>-1</v>
      </c>
      <c r="N578" s="30">
        <f t="shared" ca="1" si="126"/>
        <v>0</v>
      </c>
      <c r="O578" s="10">
        <f t="shared" ca="1" si="127"/>
        <v>1703800</v>
      </c>
      <c r="P578" s="29">
        <f t="shared" ca="1" si="128"/>
        <v>8200</v>
      </c>
      <c r="Q578" s="12">
        <f t="shared" ca="1" si="129"/>
        <v>-207300</v>
      </c>
      <c r="R578" s="10">
        <f t="shared" ca="1" si="130"/>
        <v>0.48127714520483622</v>
      </c>
      <c r="S578" s="10">
        <f t="shared" ca="1" si="120"/>
        <v>-0.76326453543261341</v>
      </c>
      <c r="T578" s="14">
        <f t="shared" ca="1" si="121"/>
        <v>-0.19175901911483961</v>
      </c>
      <c r="U578" s="12">
        <f t="shared" ca="1" si="131"/>
        <v>7900</v>
      </c>
      <c r="V578" s="14">
        <f t="shared" ca="1" si="132"/>
        <v>-2724.0506329113923</v>
      </c>
      <c r="W578" s="12">
        <f t="shared" ca="1" si="122"/>
        <v>-1393.6708860759493</v>
      </c>
      <c r="X578" s="7">
        <f ca="1">AVERAGE(E578:OFFSET(F578,-$X$5+1,0))</f>
        <v>8090.8</v>
      </c>
      <c r="Y578" s="7">
        <f ca="1">AVERAGE(E578:OFFSET(F578,-$Y$5+1,0))</f>
        <v>8167.15</v>
      </c>
      <c r="Z578" s="7">
        <f t="shared" ca="1" si="124"/>
        <v>0</v>
      </c>
    </row>
    <row r="579" spans="1:26">
      <c r="A579" s="3" t="s">
        <v>51</v>
      </c>
      <c r="B579" s="4">
        <v>42503</v>
      </c>
      <c r="C579" s="3">
        <v>8067</v>
      </c>
      <c r="D579" s="3">
        <v>8075</v>
      </c>
      <c r="E579" s="3">
        <v>7953</v>
      </c>
      <c r="F579" s="3">
        <v>8019</v>
      </c>
      <c r="G579" s="3">
        <v>170540</v>
      </c>
      <c r="H579" s="3">
        <v>1.125</v>
      </c>
      <c r="I579" s="2">
        <f t="shared" si="117"/>
        <v>0</v>
      </c>
      <c r="J579" s="10">
        <f t="shared" si="119"/>
        <v>-17</v>
      </c>
      <c r="K579" s="10">
        <f t="shared" si="118"/>
        <v>-48</v>
      </c>
      <c r="L579" s="10">
        <f t="shared" ca="1" si="123"/>
        <v>0</v>
      </c>
      <c r="M579" s="10">
        <f t="shared" ca="1" si="125"/>
        <v>-1</v>
      </c>
      <c r="N579" s="30">
        <f t="shared" ca="1" si="126"/>
        <v>0</v>
      </c>
      <c r="O579" s="10">
        <f t="shared" ca="1" si="127"/>
        <v>1703800</v>
      </c>
      <c r="P579" s="29">
        <f t="shared" ca="1" si="128"/>
        <v>13000</v>
      </c>
      <c r="Q579" s="12">
        <f t="shared" ca="1" si="129"/>
        <v>-194300</v>
      </c>
      <c r="R579" s="10">
        <f t="shared" ca="1" si="130"/>
        <v>0.76300035215400863</v>
      </c>
      <c r="S579" s="10">
        <f t="shared" ca="1" si="120"/>
        <v>-0.66885503057415507</v>
      </c>
      <c r="T579" s="14">
        <f t="shared" ca="1" si="121"/>
        <v>-0.18235873347195949</v>
      </c>
      <c r="U579" s="12">
        <f t="shared" ca="1" si="131"/>
        <v>7900</v>
      </c>
      <c r="V579" s="14">
        <f t="shared" ca="1" si="132"/>
        <v>-2559.493670886076</v>
      </c>
      <c r="W579" s="12">
        <f t="shared" ca="1" si="122"/>
        <v>-1393.6708860759493</v>
      </c>
      <c r="X579" s="7">
        <f ca="1">AVERAGE(E579:OFFSET(F579,-$X$5+1,0))</f>
        <v>8071.7</v>
      </c>
      <c r="Y579" s="7">
        <f ca="1">AVERAGE(E579:OFFSET(F579,-$Y$5+1,0))</f>
        <v>8124.5</v>
      </c>
      <c r="Z579" s="7">
        <f t="shared" ca="1" si="124"/>
        <v>0</v>
      </c>
    </row>
    <row r="580" spans="1:26">
      <c r="A580" s="3" t="s">
        <v>51</v>
      </c>
      <c r="B580" s="4">
        <v>42506</v>
      </c>
      <c r="C580" s="3">
        <v>8021</v>
      </c>
      <c r="D580" s="3">
        <v>8085</v>
      </c>
      <c r="E580" s="3">
        <v>7988</v>
      </c>
      <c r="F580" s="3">
        <v>8062</v>
      </c>
      <c r="G580" s="3">
        <v>132897</v>
      </c>
      <c r="H580" s="3">
        <v>1.125</v>
      </c>
      <c r="I580" s="2">
        <f t="shared" ref="I580:I643" si="133">IF(A580=A581,0,1)</f>
        <v>0</v>
      </c>
      <c r="J580" s="10">
        <f t="shared" si="119"/>
        <v>2</v>
      </c>
      <c r="K580" s="10">
        <f t="shared" ref="K580:K643" si="134">F580-C580</f>
        <v>41</v>
      </c>
      <c r="L580" s="10">
        <f t="shared" ca="1" si="123"/>
        <v>0</v>
      </c>
      <c r="M580" s="10">
        <f t="shared" ca="1" si="125"/>
        <v>-1</v>
      </c>
      <c r="N580" s="30">
        <f t="shared" ca="1" si="126"/>
        <v>0</v>
      </c>
      <c r="O580" s="10">
        <f t="shared" ca="1" si="127"/>
        <v>1703800</v>
      </c>
      <c r="P580" s="29">
        <f t="shared" ca="1" si="128"/>
        <v>-8600</v>
      </c>
      <c r="Q580" s="12">
        <f t="shared" ca="1" si="129"/>
        <v>-202900</v>
      </c>
      <c r="R580" s="10">
        <f t="shared" ca="1" si="130"/>
        <v>-0.50475407911726733</v>
      </c>
      <c r="S580" s="10">
        <f t="shared" ca="1" si="120"/>
        <v>-0.73131054917282745</v>
      </c>
      <c r="T580" s="14">
        <f t="shared" ca="1" si="121"/>
        <v>-0.18796649486894745</v>
      </c>
      <c r="U580" s="12">
        <f t="shared" ca="1" si="131"/>
        <v>7900</v>
      </c>
      <c r="V580" s="14">
        <f t="shared" ca="1" si="132"/>
        <v>-2668.3544303797466</v>
      </c>
      <c r="W580" s="12">
        <f t="shared" ca="1" si="122"/>
        <v>-1393.6708860759493</v>
      </c>
      <c r="X580" s="7">
        <f ca="1">AVERAGE(E580:OFFSET(F580,-$X$5+1,0))</f>
        <v>8058.8</v>
      </c>
      <c r="Y580" s="7">
        <f ca="1">AVERAGE(E580:OFFSET(F580,-$Y$5+1,0))</f>
        <v>8096.4</v>
      </c>
      <c r="Z580" s="7">
        <f t="shared" ca="1" si="124"/>
        <v>0</v>
      </c>
    </row>
    <row r="581" spans="1:26">
      <c r="A581" s="3" t="s">
        <v>51</v>
      </c>
      <c r="B581" s="4">
        <v>42507</v>
      </c>
      <c r="C581" s="3">
        <v>8076</v>
      </c>
      <c r="D581" s="3">
        <v>8152</v>
      </c>
      <c r="E581" s="3">
        <v>8020</v>
      </c>
      <c r="F581" s="3">
        <v>8150</v>
      </c>
      <c r="G581" s="3">
        <v>164654</v>
      </c>
      <c r="H581" s="3">
        <v>1.125</v>
      </c>
      <c r="I581" s="2">
        <f t="shared" si="133"/>
        <v>0</v>
      </c>
      <c r="J581" s="10">
        <f t="shared" ref="J581:J644" si="135">C581-F580</f>
        <v>14</v>
      </c>
      <c r="K581" s="10">
        <f t="shared" si="134"/>
        <v>74</v>
      </c>
      <c r="L581" s="10">
        <f t="shared" ca="1" si="123"/>
        <v>0</v>
      </c>
      <c r="M581" s="10">
        <f t="shared" ca="1" si="125"/>
        <v>-1</v>
      </c>
      <c r="N581" s="30">
        <f t="shared" ca="1" si="126"/>
        <v>0</v>
      </c>
      <c r="O581" s="10">
        <f t="shared" ca="1" si="127"/>
        <v>1703800</v>
      </c>
      <c r="P581" s="29">
        <f t="shared" ca="1" si="128"/>
        <v>-17600</v>
      </c>
      <c r="Q581" s="12">
        <f t="shared" ca="1" si="129"/>
        <v>-220500</v>
      </c>
      <c r="R581" s="10">
        <f t="shared" ca="1" si="130"/>
        <v>-1.0329850921469657</v>
      </c>
      <c r="S581" s="10">
        <f t="shared" ca="1" si="120"/>
        <v>-0.85912649421197107</v>
      </c>
      <c r="T581" s="14">
        <f t="shared" ca="1" si="121"/>
        <v>-0.19907735577890331</v>
      </c>
      <c r="U581" s="12">
        <f t="shared" ca="1" si="131"/>
        <v>7900</v>
      </c>
      <c r="V581" s="14">
        <f t="shared" ca="1" si="132"/>
        <v>-2891.1392405063293</v>
      </c>
      <c r="W581" s="12">
        <f t="shared" ca="1" si="122"/>
        <v>-1393.6708860759493</v>
      </c>
      <c r="X581" s="7">
        <f ca="1">AVERAGE(E581:OFFSET(F581,-$X$5+1,0))</f>
        <v>8054.8</v>
      </c>
      <c r="Y581" s="7">
        <f ca="1">AVERAGE(E581:OFFSET(F581,-$Y$5+1,0))</f>
        <v>8080.95</v>
      </c>
      <c r="Z581" s="7">
        <f t="shared" ca="1" si="124"/>
        <v>0</v>
      </c>
    </row>
    <row r="582" spans="1:26">
      <c r="A582" s="3" t="s">
        <v>51</v>
      </c>
      <c r="B582" s="4">
        <v>42508</v>
      </c>
      <c r="C582" s="3">
        <v>8093</v>
      </c>
      <c r="D582" s="3">
        <v>8153</v>
      </c>
      <c r="E582" s="3">
        <v>8056</v>
      </c>
      <c r="F582" s="3">
        <v>8148</v>
      </c>
      <c r="G582" s="3">
        <v>77042</v>
      </c>
      <c r="H582" s="3">
        <v>1.125</v>
      </c>
      <c r="I582" s="2">
        <f t="shared" si="133"/>
        <v>1</v>
      </c>
      <c r="J582" s="10">
        <f t="shared" si="135"/>
        <v>-57</v>
      </c>
      <c r="K582" s="10">
        <f t="shared" si="134"/>
        <v>55</v>
      </c>
      <c r="L582" s="10">
        <f t="shared" ca="1" si="123"/>
        <v>0</v>
      </c>
      <c r="M582" s="10">
        <f t="shared" si="125"/>
        <v>0</v>
      </c>
      <c r="N582" s="30">
        <f t="shared" si="126"/>
        <v>0</v>
      </c>
      <c r="O582" s="10">
        <f t="shared" si="127"/>
        <v>0</v>
      </c>
      <c r="P582" s="29">
        <f t="shared" ca="1" si="128"/>
        <v>10900</v>
      </c>
      <c r="Q582" s="12">
        <f t="shared" ca="1" si="129"/>
        <v>-209600</v>
      </c>
      <c r="R582" s="10">
        <f t="shared" ca="1" si="130"/>
        <v>0.63974644911374579</v>
      </c>
      <c r="S582" s="10">
        <f t="shared" ca="1" si="120"/>
        <v>-0.77996775552295605</v>
      </c>
      <c r="T582" s="14">
        <f t="shared" ca="1" si="121"/>
        <v>-0.19129567629339833</v>
      </c>
      <c r="U582" s="12">
        <f t="shared" ca="1" si="131"/>
        <v>7900</v>
      </c>
      <c r="V582" s="14">
        <f t="shared" ca="1" si="132"/>
        <v>-2753.1645569620255</v>
      </c>
      <c r="W582" s="12">
        <f t="shared" ca="1" si="122"/>
        <v>-1393.6708860759493</v>
      </c>
      <c r="X582" s="7">
        <f ca="1">AVERAGE(E582:OFFSET(F582,-$X$5+1,0))</f>
        <v>8054.6</v>
      </c>
      <c r="Y582" s="7">
        <f ca="1">AVERAGE(E582:OFFSET(F582,-$Y$5+1,0))</f>
        <v>8077.05</v>
      </c>
      <c r="Z582" s="7">
        <f t="shared" ca="1" si="124"/>
        <v>0</v>
      </c>
    </row>
    <row r="583" spans="1:26">
      <c r="A583" s="3" t="s">
        <v>52</v>
      </c>
      <c r="B583" s="4">
        <v>42509</v>
      </c>
      <c r="C583" s="3">
        <v>8118</v>
      </c>
      <c r="D583" s="3">
        <v>8130</v>
      </c>
      <c r="E583" s="3">
        <v>8006</v>
      </c>
      <c r="F583" s="3">
        <v>8034</v>
      </c>
      <c r="G583" s="3">
        <v>142629</v>
      </c>
      <c r="H583" s="3">
        <v>1.125</v>
      </c>
      <c r="I583" s="2">
        <f t="shared" si="133"/>
        <v>0</v>
      </c>
      <c r="J583" s="10">
        <f t="shared" si="135"/>
        <v>-30</v>
      </c>
      <c r="K583" s="10">
        <f t="shared" si="134"/>
        <v>-84</v>
      </c>
      <c r="L583" s="10">
        <f t="shared" ca="1" si="123"/>
        <v>0</v>
      </c>
      <c r="M583" s="10">
        <f t="shared" ca="1" si="125"/>
        <v>0</v>
      </c>
      <c r="N583" s="30">
        <f t="shared" ca="1" si="126"/>
        <v>0</v>
      </c>
      <c r="O583" s="10">
        <f t="shared" ca="1" si="127"/>
        <v>0</v>
      </c>
      <c r="P583" s="29">
        <f t="shared" ca="1" si="128"/>
        <v>0</v>
      </c>
      <c r="Q583" s="12">
        <f t="shared" ca="1" si="129"/>
        <v>-209600</v>
      </c>
      <c r="R583" s="10">
        <f t="shared" ca="1" si="130"/>
        <v>0</v>
      </c>
      <c r="S583" s="10">
        <f t="shared" ca="1" si="120"/>
        <v>-0.77996775552295605</v>
      </c>
      <c r="T583" s="14">
        <f t="shared" ca="1" si="121"/>
        <v>-0.19122374233492048</v>
      </c>
      <c r="U583" s="12">
        <f t="shared" ca="1" si="131"/>
        <v>7900</v>
      </c>
      <c r="V583" s="14">
        <f t="shared" ca="1" si="132"/>
        <v>-2753.1645569620255</v>
      </c>
      <c r="W583" s="12">
        <f t="shared" ca="1" si="122"/>
        <v>-1393.6708860759493</v>
      </c>
      <c r="X583" s="7">
        <f ca="1">AVERAGE(E583:OFFSET(F583,-$X$5+1,0))</f>
        <v>8043.6</v>
      </c>
      <c r="Y583" s="7">
        <f ca="1">AVERAGE(E583:OFFSET(F583,-$Y$5+1,0))</f>
        <v>8067.2</v>
      </c>
      <c r="Z583" s="7">
        <f t="shared" ca="1" si="124"/>
        <v>0</v>
      </c>
    </row>
    <row r="584" spans="1:26">
      <c r="A584" s="3" t="s">
        <v>52</v>
      </c>
      <c r="B584" s="4">
        <v>42510</v>
      </c>
      <c r="C584" s="3">
        <v>8035</v>
      </c>
      <c r="D584" s="3">
        <v>8125</v>
      </c>
      <c r="E584" s="3">
        <v>8023</v>
      </c>
      <c r="F584" s="3">
        <v>8104</v>
      </c>
      <c r="G584" s="3">
        <v>161767</v>
      </c>
      <c r="H584" s="3">
        <v>1.125</v>
      </c>
      <c r="I584" s="2">
        <f t="shared" si="133"/>
        <v>0</v>
      </c>
      <c r="J584" s="10">
        <f t="shared" si="135"/>
        <v>1</v>
      </c>
      <c r="K584" s="10">
        <f t="shared" si="134"/>
        <v>69</v>
      </c>
      <c r="L584" s="10">
        <f t="shared" ca="1" si="123"/>
        <v>0</v>
      </c>
      <c r="M584" s="10">
        <f t="shared" ca="1" si="125"/>
        <v>0</v>
      </c>
      <c r="N584" s="30">
        <f t="shared" ca="1" si="126"/>
        <v>0</v>
      </c>
      <c r="O584" s="10">
        <f t="shared" ca="1" si="127"/>
        <v>0</v>
      </c>
      <c r="P584" s="29">
        <f t="shared" ca="1" si="128"/>
        <v>0</v>
      </c>
      <c r="Q584" s="12">
        <f t="shared" ca="1" si="129"/>
        <v>-209600</v>
      </c>
      <c r="R584" s="10">
        <f t="shared" ca="1" si="130"/>
        <v>0</v>
      </c>
      <c r="S584" s="10">
        <f t="shared" ca="1" si="120"/>
        <v>-0.77996775552295605</v>
      </c>
      <c r="T584" s="14">
        <f t="shared" ca="1" si="121"/>
        <v>-0.19117130552268957</v>
      </c>
      <c r="U584" s="12">
        <f t="shared" ca="1" si="131"/>
        <v>7900</v>
      </c>
      <c r="V584" s="14">
        <f t="shared" ca="1" si="132"/>
        <v>-2753.1645569620255</v>
      </c>
      <c r="W584" s="12">
        <f t="shared" ca="1" si="122"/>
        <v>-1496.2025316455697</v>
      </c>
      <c r="X584" s="7">
        <f ca="1">AVERAGE(E584:OFFSET(F584,-$X$5+1,0))</f>
        <v>8059.1</v>
      </c>
      <c r="Y584" s="7">
        <f ca="1">AVERAGE(E584:OFFSET(F584,-$Y$5+1,0))</f>
        <v>8065.4</v>
      </c>
      <c r="Z584" s="7">
        <f t="shared" ca="1" si="124"/>
        <v>0</v>
      </c>
    </row>
    <row r="585" spans="1:26">
      <c r="A585" s="3" t="s">
        <v>52</v>
      </c>
      <c r="B585" s="4">
        <v>42513</v>
      </c>
      <c r="C585" s="3">
        <v>8121</v>
      </c>
      <c r="D585" s="3">
        <v>8355</v>
      </c>
      <c r="E585" s="3">
        <v>8051</v>
      </c>
      <c r="F585" s="3">
        <v>8346</v>
      </c>
      <c r="G585" s="3">
        <v>210720</v>
      </c>
      <c r="H585" s="3">
        <v>1.125</v>
      </c>
      <c r="I585" s="2">
        <f t="shared" si="133"/>
        <v>0</v>
      </c>
      <c r="J585" s="10">
        <f t="shared" si="135"/>
        <v>17</v>
      </c>
      <c r="K585" s="10">
        <f t="shared" si="134"/>
        <v>225</v>
      </c>
      <c r="L585" s="10">
        <f t="shared" ca="1" si="123"/>
        <v>1</v>
      </c>
      <c r="M585" s="10">
        <f t="shared" ca="1" si="125"/>
        <v>0</v>
      </c>
      <c r="N585" s="30">
        <f t="shared" ca="1" si="126"/>
        <v>0</v>
      </c>
      <c r="O585" s="10">
        <f t="shared" ca="1" si="127"/>
        <v>0</v>
      </c>
      <c r="P585" s="29">
        <f t="shared" ca="1" si="128"/>
        <v>0</v>
      </c>
      <c r="Q585" s="12">
        <f t="shared" ca="1" si="129"/>
        <v>-209600</v>
      </c>
      <c r="R585" s="10">
        <f t="shared" ca="1" si="130"/>
        <v>0</v>
      </c>
      <c r="S585" s="10">
        <f t="shared" ca="1" si="120"/>
        <v>-0.83998781890776208</v>
      </c>
      <c r="T585" s="14">
        <f t="shared" ca="1" si="121"/>
        <v>-0.1966825104572428</v>
      </c>
      <c r="U585" s="12">
        <f t="shared" ca="1" si="131"/>
        <v>7900</v>
      </c>
      <c r="V585" s="14">
        <f t="shared" ca="1" si="132"/>
        <v>-2753.1645569620255</v>
      </c>
      <c r="W585" s="12">
        <f t="shared" ca="1" si="122"/>
        <v>-1681.0126582278481</v>
      </c>
      <c r="X585" s="7">
        <f ca="1">AVERAGE(E585:OFFSET(F585,-$X$5+1,0))</f>
        <v>8093.8</v>
      </c>
      <c r="Y585" s="7">
        <f ca="1">AVERAGE(E585:OFFSET(F585,-$Y$5+1,0))</f>
        <v>8076.3</v>
      </c>
      <c r="Z585" s="7">
        <f t="shared" ca="1" si="124"/>
        <v>1</v>
      </c>
    </row>
    <row r="586" spans="1:26">
      <c r="A586" s="3" t="s">
        <v>52</v>
      </c>
      <c r="B586" s="4">
        <v>42514</v>
      </c>
      <c r="C586" s="3">
        <v>8329</v>
      </c>
      <c r="D586" s="3">
        <v>8345</v>
      </c>
      <c r="E586" s="3">
        <v>8276</v>
      </c>
      <c r="F586" s="3">
        <v>8283</v>
      </c>
      <c r="G586" s="3">
        <v>101231</v>
      </c>
      <c r="H586" s="3">
        <v>1.125</v>
      </c>
      <c r="I586" s="2">
        <f t="shared" si="133"/>
        <v>0</v>
      </c>
      <c r="J586" s="10">
        <f t="shared" si="135"/>
        <v>-17</v>
      </c>
      <c r="K586" s="10">
        <f t="shared" si="134"/>
        <v>-46</v>
      </c>
      <c r="L586" s="10">
        <f t="shared" ca="1" si="123"/>
        <v>0</v>
      </c>
      <c r="M586" s="10">
        <f t="shared" ca="1" si="125"/>
        <v>1</v>
      </c>
      <c r="N586" s="30">
        <f t="shared" ca="1" si="126"/>
        <v>1665800</v>
      </c>
      <c r="O586" s="10">
        <f t="shared" ca="1" si="127"/>
        <v>1665800</v>
      </c>
      <c r="P586" s="29">
        <f t="shared" ca="1" si="128"/>
        <v>-9700</v>
      </c>
      <c r="Q586" s="12">
        <f t="shared" ca="1" si="129"/>
        <v>-219300</v>
      </c>
      <c r="R586" s="10">
        <f t="shared" ca="1" si="130"/>
        <v>-0.58230279745467639</v>
      </c>
      <c r="S586" s="10">
        <f t="shared" ca="1" si="120"/>
        <v>-0.69991251093613294</v>
      </c>
      <c r="T586" s="14">
        <f t="shared" ca="1" si="121"/>
        <v>-0.18334021344485232</v>
      </c>
      <c r="U586" s="12">
        <f t="shared" ca="1" si="131"/>
        <v>7900</v>
      </c>
      <c r="V586" s="14">
        <f t="shared" ca="1" si="132"/>
        <v>-2875.9493670886077</v>
      </c>
      <c r="W586" s="12">
        <f t="shared" ca="1" si="122"/>
        <v>-1739.2405063291139</v>
      </c>
      <c r="X586" s="7">
        <f ca="1">AVERAGE(E586:OFFSET(F586,-$X$5+1,0))</f>
        <v>8132.7</v>
      </c>
      <c r="Y586" s="7">
        <f ca="1">AVERAGE(E586:OFFSET(F586,-$Y$5+1,0))</f>
        <v>8093.75</v>
      </c>
      <c r="Z586" s="7">
        <f t="shared" ca="1" si="124"/>
        <v>0</v>
      </c>
    </row>
    <row r="587" spans="1:26">
      <c r="A587" s="3" t="s">
        <v>52</v>
      </c>
      <c r="B587" s="4">
        <v>42515</v>
      </c>
      <c r="C587" s="3">
        <v>8341</v>
      </c>
      <c r="D587" s="3">
        <v>8412</v>
      </c>
      <c r="E587" s="3">
        <v>8332</v>
      </c>
      <c r="F587" s="3">
        <v>8385</v>
      </c>
      <c r="G587" s="3">
        <v>130270</v>
      </c>
      <c r="H587" s="3">
        <v>1.125</v>
      </c>
      <c r="I587" s="2">
        <f t="shared" si="133"/>
        <v>0</v>
      </c>
      <c r="J587" s="10">
        <f t="shared" si="135"/>
        <v>58</v>
      </c>
      <c r="K587" s="10">
        <f t="shared" si="134"/>
        <v>44</v>
      </c>
      <c r="L587" s="10">
        <f t="shared" ca="1" si="123"/>
        <v>0</v>
      </c>
      <c r="M587" s="10">
        <f t="shared" ca="1" si="125"/>
        <v>1</v>
      </c>
      <c r="N587" s="30">
        <f t="shared" ca="1" si="126"/>
        <v>0</v>
      </c>
      <c r="O587" s="10">
        <f t="shared" ca="1" si="127"/>
        <v>1665800</v>
      </c>
      <c r="P587" s="29">
        <f t="shared" ca="1" si="128"/>
        <v>20400</v>
      </c>
      <c r="Q587" s="12">
        <f t="shared" ca="1" si="129"/>
        <v>-198900</v>
      </c>
      <c r="R587" s="10">
        <f t="shared" ca="1" si="130"/>
        <v>1.2246368111417938</v>
      </c>
      <c r="S587" s="10">
        <f t="shared" ca="1" si="120"/>
        <v>-0.51455432477719942</v>
      </c>
      <c r="T587" s="14">
        <f t="shared" ca="1" si="121"/>
        <v>-0.16501857137621787</v>
      </c>
      <c r="U587" s="12">
        <f t="shared" ca="1" si="131"/>
        <v>7900</v>
      </c>
      <c r="V587" s="14">
        <f t="shared" ca="1" si="132"/>
        <v>-2617.7215189873418</v>
      </c>
      <c r="W587" s="12">
        <f t="shared" ca="1" si="122"/>
        <v>-1891.1392405063291</v>
      </c>
      <c r="X587" s="7">
        <f ca="1">AVERAGE(E587:OFFSET(F587,-$X$5+1,0))</f>
        <v>8184</v>
      </c>
      <c r="Y587" s="7">
        <f ca="1">AVERAGE(E587:OFFSET(F587,-$Y$5+1,0))</f>
        <v>8119.3</v>
      </c>
      <c r="Z587" s="7">
        <f t="shared" ca="1" si="124"/>
        <v>0</v>
      </c>
    </row>
    <row r="588" spans="1:26">
      <c r="A588" s="3" t="s">
        <v>52</v>
      </c>
      <c r="B588" s="4">
        <v>42516</v>
      </c>
      <c r="C588" s="3">
        <v>8401</v>
      </c>
      <c r="D588" s="3">
        <v>8408</v>
      </c>
      <c r="E588" s="3">
        <v>8352</v>
      </c>
      <c r="F588" s="3">
        <v>8385</v>
      </c>
      <c r="G588" s="3">
        <v>89102</v>
      </c>
      <c r="H588" s="3">
        <v>1.125</v>
      </c>
      <c r="I588" s="2">
        <f t="shared" si="133"/>
        <v>0</v>
      </c>
      <c r="J588" s="10">
        <f t="shared" si="135"/>
        <v>16</v>
      </c>
      <c r="K588" s="10">
        <f t="shared" si="134"/>
        <v>-16</v>
      </c>
      <c r="L588" s="10">
        <f t="shared" ca="1" si="123"/>
        <v>0</v>
      </c>
      <c r="M588" s="10">
        <f t="shared" ca="1" si="125"/>
        <v>1</v>
      </c>
      <c r="N588" s="30">
        <f t="shared" ca="1" si="126"/>
        <v>0</v>
      </c>
      <c r="O588" s="10">
        <f t="shared" ca="1" si="127"/>
        <v>1665800</v>
      </c>
      <c r="P588" s="29">
        <f t="shared" ca="1" si="128"/>
        <v>0</v>
      </c>
      <c r="Q588" s="12">
        <f t="shared" ca="1" si="129"/>
        <v>-198900</v>
      </c>
      <c r="R588" s="10">
        <f t="shared" ca="1" si="130"/>
        <v>0</v>
      </c>
      <c r="S588" s="10">
        <f t="shared" ca="1" si="120"/>
        <v>-0.42558239542091136</v>
      </c>
      <c r="T588" s="14">
        <f t="shared" ca="1" si="121"/>
        <v>-0.1567666795014189</v>
      </c>
      <c r="U588" s="12">
        <f t="shared" ca="1" si="131"/>
        <v>7900</v>
      </c>
      <c r="V588" s="14">
        <f t="shared" ca="1" si="132"/>
        <v>-2617.7215189873418</v>
      </c>
      <c r="W588" s="12">
        <f t="shared" ca="1" si="122"/>
        <v>-1987.3417721518988</v>
      </c>
      <c r="X588" s="7">
        <f ca="1">AVERAGE(E588:OFFSET(F588,-$X$5+1,0))</f>
        <v>8253.7000000000007</v>
      </c>
      <c r="Y588" s="7">
        <f ca="1">AVERAGE(E588:OFFSET(F588,-$Y$5+1,0))</f>
        <v>8148.65</v>
      </c>
      <c r="Z588" s="7">
        <f t="shared" ca="1" si="124"/>
        <v>0</v>
      </c>
    </row>
    <row r="589" spans="1:26">
      <c r="A589" s="3" t="s">
        <v>52</v>
      </c>
      <c r="B589" s="4">
        <v>42517</v>
      </c>
      <c r="C589" s="3">
        <v>8416</v>
      </c>
      <c r="D589" s="3">
        <v>8468</v>
      </c>
      <c r="E589" s="3">
        <v>8390</v>
      </c>
      <c r="F589" s="3">
        <v>8462</v>
      </c>
      <c r="G589" s="3">
        <v>107120</v>
      </c>
      <c r="H589" s="3">
        <v>1.125</v>
      </c>
      <c r="I589" s="2">
        <f t="shared" si="133"/>
        <v>0</v>
      </c>
      <c r="J589" s="10">
        <f t="shared" si="135"/>
        <v>31</v>
      </c>
      <c r="K589" s="10">
        <f t="shared" si="134"/>
        <v>46</v>
      </c>
      <c r="L589" s="10">
        <f t="shared" ca="1" si="123"/>
        <v>0</v>
      </c>
      <c r="M589" s="10">
        <f t="shared" ca="1" si="125"/>
        <v>1</v>
      </c>
      <c r="N589" s="30">
        <f t="shared" ca="1" si="126"/>
        <v>0</v>
      </c>
      <c r="O589" s="10">
        <f t="shared" ca="1" si="127"/>
        <v>1665800</v>
      </c>
      <c r="P589" s="29">
        <f t="shared" ca="1" si="128"/>
        <v>15400</v>
      </c>
      <c r="Q589" s="12">
        <f t="shared" ca="1" si="129"/>
        <v>-183500</v>
      </c>
      <c r="R589" s="10">
        <f t="shared" ca="1" si="130"/>
        <v>0.92448072997958941</v>
      </c>
      <c r="S589" s="10">
        <f t="shared" ca="1" si="120"/>
        <v>4.0037368210329639E-2</v>
      </c>
      <c r="T589" s="14">
        <f t="shared" ca="1" si="121"/>
        <v>-0.11336497968087197</v>
      </c>
      <c r="U589" s="12">
        <f t="shared" ca="1" si="131"/>
        <v>7900</v>
      </c>
      <c r="V589" s="14">
        <f t="shared" ca="1" si="132"/>
        <v>-2422.7848101265822</v>
      </c>
      <c r="W589" s="12">
        <f t="shared" ca="1" si="122"/>
        <v>-1987.3417721518988</v>
      </c>
      <c r="X589" s="7">
        <f ca="1">AVERAGE(E589:OFFSET(F589,-$X$5+1,0))</f>
        <v>8326.2000000000007</v>
      </c>
      <c r="Y589" s="7">
        <f ca="1">AVERAGE(E589:OFFSET(F589,-$Y$5+1,0))</f>
        <v>8192.65</v>
      </c>
      <c r="Z589" s="7">
        <f t="shared" ca="1" si="124"/>
        <v>0</v>
      </c>
    </row>
    <row r="590" spans="1:26">
      <c r="A590" s="3" t="s">
        <v>52</v>
      </c>
      <c r="B590" s="4">
        <v>42520</v>
      </c>
      <c r="C590" s="3">
        <v>8481</v>
      </c>
      <c r="D590" s="3">
        <v>8533</v>
      </c>
      <c r="E590" s="3">
        <v>8433</v>
      </c>
      <c r="F590" s="3">
        <v>8508</v>
      </c>
      <c r="G590" s="3">
        <v>118598</v>
      </c>
      <c r="H590" s="3">
        <v>1.125</v>
      </c>
      <c r="I590" s="2">
        <f t="shared" si="133"/>
        <v>0</v>
      </c>
      <c r="J590" s="10">
        <f t="shared" si="135"/>
        <v>19</v>
      </c>
      <c r="K590" s="10">
        <f t="shared" si="134"/>
        <v>27</v>
      </c>
      <c r="L590" s="10">
        <f t="shared" ca="1" si="123"/>
        <v>0</v>
      </c>
      <c r="M590" s="10">
        <f t="shared" ca="1" si="125"/>
        <v>1</v>
      </c>
      <c r="N590" s="30">
        <f t="shared" ca="1" si="126"/>
        <v>0</v>
      </c>
      <c r="O590" s="10">
        <f t="shared" ca="1" si="127"/>
        <v>1665800</v>
      </c>
      <c r="P590" s="29">
        <f t="shared" ca="1" si="128"/>
        <v>9200</v>
      </c>
      <c r="Q590" s="12">
        <f t="shared" ca="1" si="129"/>
        <v>-174300</v>
      </c>
      <c r="R590" s="10">
        <f t="shared" ca="1" si="130"/>
        <v>0.552287189338456</v>
      </c>
      <c r="S590" s="10">
        <f t="shared" ca="1" si="120"/>
        <v>9.11962275901953E-2</v>
      </c>
      <c r="T590" s="14">
        <f t="shared" ca="1" si="121"/>
        <v>-0.11073583801339588</v>
      </c>
      <c r="U590" s="12">
        <f t="shared" ca="1" si="131"/>
        <v>7900</v>
      </c>
      <c r="V590" s="14">
        <f t="shared" ca="1" si="132"/>
        <v>-2306.3291139240505</v>
      </c>
      <c r="W590" s="12">
        <f t="shared" ca="1" si="122"/>
        <v>-1987.3417721518988</v>
      </c>
      <c r="X590" s="7">
        <f ca="1">AVERAGE(E590:OFFSET(F590,-$X$5+1,0))</f>
        <v>8380.6</v>
      </c>
      <c r="Y590" s="7">
        <f ca="1">AVERAGE(E590:OFFSET(F590,-$Y$5+1,0))</f>
        <v>8237.2000000000007</v>
      </c>
      <c r="Z590" s="7">
        <f t="shared" ca="1" si="124"/>
        <v>0</v>
      </c>
    </row>
    <row r="591" spans="1:26">
      <c r="A591" s="3" t="s">
        <v>52</v>
      </c>
      <c r="B591" s="4">
        <v>42521</v>
      </c>
      <c r="C591" s="3">
        <v>8499</v>
      </c>
      <c r="D591" s="3">
        <v>8545</v>
      </c>
      <c r="E591" s="3">
        <v>8455</v>
      </c>
      <c r="F591" s="3">
        <v>8515</v>
      </c>
      <c r="G591" s="3">
        <v>126395</v>
      </c>
      <c r="H591" s="3">
        <v>1.125</v>
      </c>
      <c r="I591" s="2">
        <f t="shared" si="133"/>
        <v>0</v>
      </c>
      <c r="J591" s="10">
        <f t="shared" si="135"/>
        <v>-9</v>
      </c>
      <c r="K591" s="10">
        <f t="shared" si="134"/>
        <v>16</v>
      </c>
      <c r="L591" s="10">
        <f t="shared" ca="1" si="123"/>
        <v>0</v>
      </c>
      <c r="M591" s="10">
        <f t="shared" ca="1" si="125"/>
        <v>1</v>
      </c>
      <c r="N591" s="30">
        <f t="shared" ca="1" si="126"/>
        <v>0</v>
      </c>
      <c r="O591" s="10">
        <f t="shared" ca="1" si="127"/>
        <v>1665800</v>
      </c>
      <c r="P591" s="29">
        <f t="shared" ca="1" si="128"/>
        <v>1400</v>
      </c>
      <c r="Q591" s="12">
        <f t="shared" ca="1" si="129"/>
        <v>-172900</v>
      </c>
      <c r="R591" s="10">
        <f t="shared" ca="1" si="130"/>
        <v>8.404370272541721E-2</v>
      </c>
      <c r="S591" s="10">
        <f t="shared" ca="1" si="120"/>
        <v>0.10157628601509557</v>
      </c>
      <c r="T591" s="14">
        <f t="shared" ca="1" si="121"/>
        <v>-0.10998627747894885</v>
      </c>
      <c r="U591" s="12">
        <f t="shared" ca="1" si="131"/>
        <v>7900</v>
      </c>
      <c r="V591" s="14">
        <f t="shared" ca="1" si="132"/>
        <v>-2288.6075949367087</v>
      </c>
      <c r="W591" s="12">
        <f t="shared" ca="1" si="122"/>
        <v>-1987.3417721518988</v>
      </c>
      <c r="X591" s="7">
        <f ca="1">AVERAGE(E591:OFFSET(F591,-$X$5+1,0))</f>
        <v>8421.7000000000007</v>
      </c>
      <c r="Y591" s="7">
        <f ca="1">AVERAGE(E591:OFFSET(F591,-$Y$5+1,0))</f>
        <v>8277.2000000000007</v>
      </c>
      <c r="Z591" s="7">
        <f t="shared" ca="1" si="124"/>
        <v>0</v>
      </c>
    </row>
    <row r="592" spans="1:26">
      <c r="A592" s="3" t="s">
        <v>52</v>
      </c>
      <c r="B592" s="4">
        <v>42522</v>
      </c>
      <c r="C592" s="3">
        <v>8490</v>
      </c>
      <c r="D592" s="3">
        <v>8590</v>
      </c>
      <c r="E592" s="3">
        <v>8486</v>
      </c>
      <c r="F592" s="3">
        <v>8563</v>
      </c>
      <c r="G592" s="3">
        <v>127418</v>
      </c>
      <c r="H592" s="3">
        <v>1.125</v>
      </c>
      <c r="I592" s="2">
        <f t="shared" si="133"/>
        <v>0</v>
      </c>
      <c r="J592" s="10">
        <f t="shared" si="135"/>
        <v>-25</v>
      </c>
      <c r="K592" s="10">
        <f t="shared" si="134"/>
        <v>73</v>
      </c>
      <c r="L592" s="10">
        <f t="shared" ca="1" si="123"/>
        <v>0</v>
      </c>
      <c r="M592" s="10">
        <f t="shared" ca="1" si="125"/>
        <v>1</v>
      </c>
      <c r="N592" s="30">
        <f t="shared" ca="1" si="126"/>
        <v>0</v>
      </c>
      <c r="O592" s="10">
        <f t="shared" ca="1" si="127"/>
        <v>1665800</v>
      </c>
      <c r="P592" s="29">
        <f t="shared" ca="1" si="128"/>
        <v>9600</v>
      </c>
      <c r="Q592" s="12">
        <f t="shared" ca="1" si="129"/>
        <v>-163300</v>
      </c>
      <c r="R592" s="10">
        <f t="shared" ca="1" si="130"/>
        <v>0.57629967583143238</v>
      </c>
      <c r="S592" s="10">
        <f t="shared" ca="1" si="120"/>
        <v>0.17275382950012605</v>
      </c>
      <c r="T592" s="14">
        <f t="shared" ca="1" si="121"/>
        <v>-0.10311774131012219</v>
      </c>
      <c r="U592" s="12">
        <f t="shared" ca="1" si="131"/>
        <v>7900</v>
      </c>
      <c r="V592" s="14">
        <f t="shared" ca="1" si="132"/>
        <v>-2167.0886075949365</v>
      </c>
      <c r="W592" s="12">
        <f t="shared" ca="1" si="122"/>
        <v>-1987.3417721518988</v>
      </c>
      <c r="X592" s="7">
        <f ca="1">AVERAGE(E592:OFFSET(F592,-$X$5+1,0))</f>
        <v>8454.9</v>
      </c>
      <c r="Y592" s="7">
        <f ca="1">AVERAGE(E592:OFFSET(F592,-$Y$5+1,0))</f>
        <v>8319.4500000000007</v>
      </c>
      <c r="Z592" s="7">
        <f t="shared" ca="1" si="124"/>
        <v>0</v>
      </c>
    </row>
    <row r="593" spans="1:26">
      <c r="A593" s="3" t="s">
        <v>52</v>
      </c>
      <c r="B593" s="4">
        <v>42523</v>
      </c>
      <c r="C593" s="3">
        <v>8568</v>
      </c>
      <c r="D593" s="3">
        <v>8610</v>
      </c>
      <c r="E593" s="3">
        <v>8518</v>
      </c>
      <c r="F593" s="3">
        <v>8552</v>
      </c>
      <c r="G593" s="3">
        <v>131250</v>
      </c>
      <c r="H593" s="3">
        <v>1.125</v>
      </c>
      <c r="I593" s="2">
        <f t="shared" si="133"/>
        <v>0</v>
      </c>
      <c r="J593" s="10">
        <f t="shared" si="135"/>
        <v>5</v>
      </c>
      <c r="K593" s="10">
        <f t="shared" si="134"/>
        <v>-16</v>
      </c>
      <c r="L593" s="10">
        <f t="shared" ca="1" si="123"/>
        <v>0</v>
      </c>
      <c r="M593" s="10">
        <f t="shared" ca="1" si="125"/>
        <v>1</v>
      </c>
      <c r="N593" s="30">
        <f t="shared" ca="1" si="126"/>
        <v>0</v>
      </c>
      <c r="O593" s="10">
        <f t="shared" ca="1" si="127"/>
        <v>1665800</v>
      </c>
      <c r="P593" s="29">
        <f t="shared" ca="1" si="128"/>
        <v>-2200</v>
      </c>
      <c r="Q593" s="12">
        <f t="shared" ca="1" si="129"/>
        <v>-165500</v>
      </c>
      <c r="R593" s="10">
        <f t="shared" ca="1" si="130"/>
        <v>-0.1320686757113699</v>
      </c>
      <c r="S593" s="10">
        <f t="shared" ca="1" si="120"/>
        <v>0.15644230911813989</v>
      </c>
      <c r="T593" s="14">
        <f t="shared" ca="1" si="121"/>
        <v>-0.10456965556868554</v>
      </c>
      <c r="U593" s="12">
        <f t="shared" ca="1" si="131"/>
        <v>7900</v>
      </c>
      <c r="V593" s="14">
        <f t="shared" ca="1" si="132"/>
        <v>-2194.9367088607596</v>
      </c>
      <c r="W593" s="12">
        <f t="shared" ca="1" si="122"/>
        <v>-1987.3417721518988</v>
      </c>
      <c r="X593" s="7">
        <f ca="1">AVERAGE(E593:OFFSET(F593,-$X$5+1,0))</f>
        <v>8488.2000000000007</v>
      </c>
      <c r="Y593" s="7">
        <f ca="1">AVERAGE(E593:OFFSET(F593,-$Y$5+1,0))</f>
        <v>8370.9500000000007</v>
      </c>
      <c r="Z593" s="7">
        <f t="shared" ca="1" si="124"/>
        <v>0</v>
      </c>
    </row>
    <row r="594" spans="1:26">
      <c r="A594" s="3" t="s">
        <v>52</v>
      </c>
      <c r="B594" s="4">
        <v>42524</v>
      </c>
      <c r="C594" s="3">
        <v>8561</v>
      </c>
      <c r="D594" s="3">
        <v>8585</v>
      </c>
      <c r="E594" s="3">
        <v>8537</v>
      </c>
      <c r="F594" s="3">
        <v>8566</v>
      </c>
      <c r="G594" s="3">
        <v>89927</v>
      </c>
      <c r="H594" s="3">
        <v>1.125</v>
      </c>
      <c r="I594" s="2">
        <f t="shared" si="133"/>
        <v>0</v>
      </c>
      <c r="J594" s="10">
        <f t="shared" si="135"/>
        <v>9</v>
      </c>
      <c r="K594" s="10">
        <f t="shared" si="134"/>
        <v>5</v>
      </c>
      <c r="L594" s="10">
        <f t="shared" ca="1" si="123"/>
        <v>0</v>
      </c>
      <c r="M594" s="10">
        <f t="shared" ca="1" si="125"/>
        <v>1</v>
      </c>
      <c r="N594" s="30">
        <f t="shared" ca="1" si="126"/>
        <v>0</v>
      </c>
      <c r="O594" s="10">
        <f t="shared" ca="1" si="127"/>
        <v>1665800</v>
      </c>
      <c r="P594" s="29">
        <f t="shared" ca="1" si="128"/>
        <v>2800</v>
      </c>
      <c r="Q594" s="12">
        <f t="shared" ca="1" si="129"/>
        <v>-162700</v>
      </c>
      <c r="R594" s="10">
        <f t="shared" ca="1" si="130"/>
        <v>0.16808740545083442</v>
      </c>
      <c r="S594" s="10">
        <f t="shared" ca="1" si="120"/>
        <v>0.17720242596794045</v>
      </c>
      <c r="T594" s="14">
        <f t="shared" ca="1" si="121"/>
        <v>-0.10251852469590425</v>
      </c>
      <c r="U594" s="12">
        <f t="shared" ca="1" si="131"/>
        <v>7900</v>
      </c>
      <c r="V594" s="14">
        <f t="shared" ca="1" si="132"/>
        <v>-2159.493670886076</v>
      </c>
      <c r="W594" s="12">
        <f t="shared" ca="1" si="122"/>
        <v>-1987.3417721518988</v>
      </c>
      <c r="X594" s="7">
        <f ca="1">AVERAGE(E594:OFFSET(F594,-$X$5+1,0))</f>
        <v>8513.2999999999993</v>
      </c>
      <c r="Y594" s="7">
        <f ca="1">AVERAGE(E594:OFFSET(F594,-$Y$5+1,0))</f>
        <v>8419.75</v>
      </c>
      <c r="Z594" s="7">
        <f t="shared" ca="1" si="124"/>
        <v>0</v>
      </c>
    </row>
    <row r="595" spans="1:26">
      <c r="A595" s="3" t="s">
        <v>52</v>
      </c>
      <c r="B595" s="4">
        <v>42525</v>
      </c>
      <c r="C595" s="3">
        <v>8566</v>
      </c>
      <c r="D595" s="3">
        <v>8590</v>
      </c>
      <c r="E595" s="3">
        <v>8560</v>
      </c>
      <c r="F595" s="3">
        <v>8576</v>
      </c>
      <c r="G595" s="3">
        <v>29951</v>
      </c>
      <c r="H595" s="3">
        <v>1.125</v>
      </c>
      <c r="I595" s="2">
        <f t="shared" si="133"/>
        <v>0</v>
      </c>
      <c r="J595" s="10">
        <f t="shared" si="135"/>
        <v>0</v>
      </c>
      <c r="K595" s="10">
        <f t="shared" si="134"/>
        <v>10</v>
      </c>
      <c r="L595" s="10">
        <f t="shared" ca="1" si="123"/>
        <v>0</v>
      </c>
      <c r="M595" s="10">
        <f t="shared" ca="1" si="125"/>
        <v>1</v>
      </c>
      <c r="N595" s="30">
        <f t="shared" ca="1" si="126"/>
        <v>0</v>
      </c>
      <c r="O595" s="10">
        <f t="shared" ca="1" si="127"/>
        <v>1665800</v>
      </c>
      <c r="P595" s="29">
        <f t="shared" ca="1" si="128"/>
        <v>2000</v>
      </c>
      <c r="Q595" s="12">
        <f t="shared" ca="1" si="129"/>
        <v>-160700</v>
      </c>
      <c r="R595" s="10">
        <f t="shared" ca="1" si="130"/>
        <v>0.12006243246488174</v>
      </c>
      <c r="S595" s="10">
        <f t="shared" ca="1" si="120"/>
        <v>0.19203108086065512</v>
      </c>
      <c r="T595" s="14">
        <f t="shared" ca="1" si="121"/>
        <v>-0.10103313321774905</v>
      </c>
      <c r="U595" s="12">
        <f t="shared" ca="1" si="131"/>
        <v>7900</v>
      </c>
      <c r="V595" s="14">
        <f t="shared" ca="1" si="132"/>
        <v>-2134.1772151898736</v>
      </c>
      <c r="W595" s="12">
        <f t="shared" ca="1" si="122"/>
        <v>-1987.3417721518988</v>
      </c>
      <c r="X595" s="7">
        <f ca="1">AVERAGE(E595:OFFSET(F595,-$X$5+1,0))</f>
        <v>8532.7999999999993</v>
      </c>
      <c r="Y595" s="7">
        <f ca="1">AVERAGE(E595:OFFSET(F595,-$Y$5+1,0))</f>
        <v>8456.7000000000007</v>
      </c>
      <c r="Z595" s="7">
        <f t="shared" ca="1" si="124"/>
        <v>0</v>
      </c>
    </row>
    <row r="596" spans="1:26">
      <c r="A596" s="3" t="s">
        <v>52</v>
      </c>
      <c r="B596" s="4">
        <v>42527</v>
      </c>
      <c r="C596" s="3">
        <v>8575</v>
      </c>
      <c r="D596" s="3">
        <v>8655</v>
      </c>
      <c r="E596" s="3">
        <v>8507</v>
      </c>
      <c r="F596" s="3">
        <v>8575</v>
      </c>
      <c r="G596" s="3">
        <v>135249</v>
      </c>
      <c r="H596" s="3">
        <v>1.125</v>
      </c>
      <c r="I596" s="2">
        <f t="shared" si="133"/>
        <v>0</v>
      </c>
      <c r="J596" s="10">
        <f t="shared" si="135"/>
        <v>-1</v>
      </c>
      <c r="K596" s="10">
        <f t="shared" si="134"/>
        <v>0</v>
      </c>
      <c r="L596" s="10">
        <f t="shared" ca="1" si="123"/>
        <v>0</v>
      </c>
      <c r="M596" s="10">
        <f t="shared" ca="1" si="125"/>
        <v>1</v>
      </c>
      <c r="N596" s="30">
        <f t="shared" ca="1" si="126"/>
        <v>0</v>
      </c>
      <c r="O596" s="10">
        <f t="shared" ca="1" si="127"/>
        <v>1665800</v>
      </c>
      <c r="P596" s="29">
        <f t="shared" ca="1" si="128"/>
        <v>-200</v>
      </c>
      <c r="Q596" s="12">
        <f t="shared" ca="1" si="129"/>
        <v>-160900</v>
      </c>
      <c r="R596" s="10">
        <f t="shared" ca="1" si="130"/>
        <v>-1.2006243246488173E-2</v>
      </c>
      <c r="S596" s="10">
        <f t="shared" ca="1" si="120"/>
        <v>0.19054821537138367</v>
      </c>
      <c r="T596" s="14">
        <f t="shared" ca="1" si="121"/>
        <v>-0.10109263330439906</v>
      </c>
      <c r="U596" s="12">
        <f t="shared" ca="1" si="131"/>
        <v>7900</v>
      </c>
      <c r="V596" s="14">
        <f t="shared" ca="1" si="132"/>
        <v>-2136.7088607594937</v>
      </c>
      <c r="W596" s="12">
        <f t="shared" ca="1" si="122"/>
        <v>-1987.3417721518988</v>
      </c>
      <c r="X596" s="7">
        <f ca="1">AVERAGE(E596:OFFSET(F596,-$X$5+1,0))</f>
        <v>8544</v>
      </c>
      <c r="Y596" s="7">
        <f ca="1">AVERAGE(E596:OFFSET(F596,-$Y$5+1,0))</f>
        <v>8482.85</v>
      </c>
      <c r="Z596" s="7">
        <f t="shared" ca="1" si="124"/>
        <v>0</v>
      </c>
    </row>
    <row r="597" spans="1:26">
      <c r="A597" s="3" t="s">
        <v>52</v>
      </c>
      <c r="B597" s="4">
        <v>42528</v>
      </c>
      <c r="C597" s="3">
        <v>8614</v>
      </c>
      <c r="D597" s="3">
        <v>8684</v>
      </c>
      <c r="E597" s="3">
        <v>8606</v>
      </c>
      <c r="F597" s="3">
        <v>8666</v>
      </c>
      <c r="G597" s="3">
        <v>127819</v>
      </c>
      <c r="H597" s="3">
        <v>1.125</v>
      </c>
      <c r="I597" s="2">
        <f t="shared" si="133"/>
        <v>0</v>
      </c>
      <c r="J597" s="10">
        <f t="shared" si="135"/>
        <v>39</v>
      </c>
      <c r="K597" s="10">
        <f t="shared" si="134"/>
        <v>52</v>
      </c>
      <c r="L597" s="10">
        <f t="shared" ca="1" si="123"/>
        <v>0</v>
      </c>
      <c r="M597" s="10">
        <f t="shared" ca="1" si="125"/>
        <v>1</v>
      </c>
      <c r="N597" s="30">
        <f t="shared" ca="1" si="126"/>
        <v>0</v>
      </c>
      <c r="O597" s="10">
        <f t="shared" ca="1" si="127"/>
        <v>1665800</v>
      </c>
      <c r="P597" s="29">
        <f t="shared" ca="1" si="128"/>
        <v>18200</v>
      </c>
      <c r="Q597" s="12">
        <f t="shared" ca="1" si="129"/>
        <v>-142700</v>
      </c>
      <c r="R597" s="10">
        <f t="shared" ca="1" si="130"/>
        <v>1.0925681354304237</v>
      </c>
      <c r="S597" s="10">
        <f t="shared" ca="1" si="120"/>
        <v>0.32548897489508727</v>
      </c>
      <c r="T597" s="14">
        <f t="shared" ca="1" si="121"/>
        <v>-8.7866622459053773E-2</v>
      </c>
      <c r="U597" s="12">
        <f t="shared" ca="1" si="131"/>
        <v>7900</v>
      </c>
      <c r="V597" s="14">
        <f t="shared" ca="1" si="132"/>
        <v>-1906.3291139240507</v>
      </c>
      <c r="W597" s="12">
        <f t="shared" ca="1" si="122"/>
        <v>-1906.3291139240507</v>
      </c>
      <c r="X597" s="7">
        <f ca="1">AVERAGE(E597:OFFSET(F597,-$X$5+1,0))</f>
        <v>8566.2999999999993</v>
      </c>
      <c r="Y597" s="7">
        <f ca="1">AVERAGE(E597:OFFSET(F597,-$Y$5+1,0))</f>
        <v>8510.6</v>
      </c>
      <c r="Z597" s="7">
        <f t="shared" ca="1" si="124"/>
        <v>0</v>
      </c>
    </row>
    <row r="598" spans="1:26">
      <c r="A598" s="3" t="s">
        <v>52</v>
      </c>
      <c r="B598" s="4">
        <v>42529</v>
      </c>
      <c r="C598" s="3">
        <v>8673</v>
      </c>
      <c r="D598" s="3">
        <v>8742</v>
      </c>
      <c r="E598" s="3">
        <v>8671</v>
      </c>
      <c r="F598" s="3">
        <v>8718</v>
      </c>
      <c r="G598" s="3">
        <v>135065</v>
      </c>
      <c r="H598" s="3">
        <v>1.125</v>
      </c>
      <c r="I598" s="2">
        <f t="shared" si="133"/>
        <v>0</v>
      </c>
      <c r="J598" s="10">
        <f t="shared" si="135"/>
        <v>7</v>
      </c>
      <c r="K598" s="10">
        <f t="shared" si="134"/>
        <v>45</v>
      </c>
      <c r="L598" s="10">
        <f t="shared" ca="1" si="123"/>
        <v>0</v>
      </c>
      <c r="M598" s="10">
        <f t="shared" ca="1" si="125"/>
        <v>1</v>
      </c>
      <c r="N598" s="30">
        <f t="shared" ca="1" si="126"/>
        <v>0</v>
      </c>
      <c r="O598" s="10">
        <f t="shared" ca="1" si="127"/>
        <v>1665800</v>
      </c>
      <c r="P598" s="29">
        <f t="shared" ca="1" si="128"/>
        <v>10400</v>
      </c>
      <c r="Q598" s="12">
        <f t="shared" ca="1" si="129"/>
        <v>-132300</v>
      </c>
      <c r="R598" s="10">
        <f t="shared" ca="1" si="130"/>
        <v>0.62432464881738503</v>
      </c>
      <c r="S598" s="10">
        <f t="shared" ca="1" si="120"/>
        <v>0.40259798033720362</v>
      </c>
      <c r="T598" s="14">
        <f t="shared" ca="1" si="121"/>
        <v>-8.0424652722374285E-2</v>
      </c>
      <c r="U598" s="12">
        <f t="shared" ca="1" si="131"/>
        <v>7900</v>
      </c>
      <c r="V598" s="14">
        <f t="shared" ca="1" si="132"/>
        <v>-1774.6835443037974</v>
      </c>
      <c r="W598" s="12">
        <f t="shared" ca="1" si="122"/>
        <v>-1774.6835443037974</v>
      </c>
      <c r="X598" s="7">
        <f ca="1">AVERAGE(E598:OFFSET(F598,-$X$5+1,0))</f>
        <v>8598.2000000000007</v>
      </c>
      <c r="Y598" s="7">
        <f ca="1">AVERAGE(E598:OFFSET(F598,-$Y$5+1,0))</f>
        <v>8543.2000000000007</v>
      </c>
      <c r="Z598" s="7">
        <f t="shared" ca="1" si="124"/>
        <v>0</v>
      </c>
    </row>
    <row r="599" spans="1:26">
      <c r="A599" s="3" t="s">
        <v>52</v>
      </c>
      <c r="B599" s="4">
        <v>42534</v>
      </c>
      <c r="C599" s="3">
        <v>8635</v>
      </c>
      <c r="D599" s="3">
        <v>8636</v>
      </c>
      <c r="E599" s="3">
        <v>8502</v>
      </c>
      <c r="F599" s="3">
        <v>8525</v>
      </c>
      <c r="G599" s="3">
        <v>156484</v>
      </c>
      <c r="H599" s="3">
        <v>1.125</v>
      </c>
      <c r="I599" s="2">
        <f t="shared" si="133"/>
        <v>0</v>
      </c>
      <c r="J599" s="10">
        <f t="shared" si="135"/>
        <v>-83</v>
      </c>
      <c r="K599" s="10">
        <f t="shared" si="134"/>
        <v>-110</v>
      </c>
      <c r="L599" s="10">
        <f t="shared" ca="1" si="123"/>
        <v>0</v>
      </c>
      <c r="M599" s="10">
        <f t="shared" ca="1" si="125"/>
        <v>1</v>
      </c>
      <c r="N599" s="30">
        <f t="shared" ca="1" si="126"/>
        <v>0</v>
      </c>
      <c r="O599" s="10">
        <f t="shared" ca="1" si="127"/>
        <v>1665800</v>
      </c>
      <c r="P599" s="29">
        <f t="shared" ca="1" si="128"/>
        <v>-38600</v>
      </c>
      <c r="Q599" s="12">
        <f t="shared" ca="1" si="129"/>
        <v>-170900</v>
      </c>
      <c r="R599" s="10">
        <f t="shared" ca="1" si="130"/>
        <v>-2.3172049465722178</v>
      </c>
      <c r="S599" s="10">
        <f t="shared" ca="1" si="120"/>
        <v>0.11640494090781026</v>
      </c>
      <c r="T599" s="14">
        <f t="shared" ca="1" si="121"/>
        <v>-0.10498907038618091</v>
      </c>
      <c r="U599" s="12">
        <f t="shared" ca="1" si="131"/>
        <v>7900</v>
      </c>
      <c r="V599" s="14">
        <f t="shared" ca="1" si="132"/>
        <v>-2263.2911392405063</v>
      </c>
      <c r="W599" s="12">
        <f t="shared" ca="1" si="122"/>
        <v>-1774.6835443037974</v>
      </c>
      <c r="X599" s="7">
        <f ca="1">AVERAGE(E599:OFFSET(F599,-$X$5+1,0))</f>
        <v>8590.6</v>
      </c>
      <c r="Y599" s="7">
        <f ca="1">AVERAGE(E599:OFFSET(F599,-$Y$5+1,0))</f>
        <v>8551.9500000000007</v>
      </c>
      <c r="Z599" s="7">
        <f t="shared" ca="1" si="124"/>
        <v>0</v>
      </c>
    </row>
    <row r="600" spans="1:26">
      <c r="A600" s="3" t="s">
        <v>52</v>
      </c>
      <c r="B600" s="4">
        <v>42535</v>
      </c>
      <c r="C600" s="3">
        <v>8495</v>
      </c>
      <c r="D600" s="3">
        <v>8578</v>
      </c>
      <c r="E600" s="3">
        <v>8483</v>
      </c>
      <c r="F600" s="3">
        <v>8575</v>
      </c>
      <c r="G600" s="3">
        <v>113683</v>
      </c>
      <c r="H600" s="3">
        <v>1.125</v>
      </c>
      <c r="I600" s="2">
        <f t="shared" si="133"/>
        <v>0</v>
      </c>
      <c r="J600" s="10">
        <f t="shared" si="135"/>
        <v>-30</v>
      </c>
      <c r="K600" s="10">
        <f t="shared" si="134"/>
        <v>80</v>
      </c>
      <c r="L600" s="10">
        <f t="shared" ca="1" si="123"/>
        <v>0</v>
      </c>
      <c r="M600" s="10">
        <f t="shared" ca="1" si="125"/>
        <v>1</v>
      </c>
      <c r="N600" s="30">
        <f t="shared" ca="1" si="126"/>
        <v>0</v>
      </c>
      <c r="O600" s="10">
        <f t="shared" ca="1" si="127"/>
        <v>1665800</v>
      </c>
      <c r="P600" s="29">
        <f t="shared" ca="1" si="128"/>
        <v>10000</v>
      </c>
      <c r="Q600" s="12">
        <f t="shared" ca="1" si="129"/>
        <v>-160900</v>
      </c>
      <c r="R600" s="10">
        <f t="shared" ca="1" si="130"/>
        <v>0.60031216232440865</v>
      </c>
      <c r="S600" s="10">
        <f t="shared" ca="1" si="120"/>
        <v>0.19054821537138367</v>
      </c>
      <c r="T600" s="14">
        <f t="shared" ca="1" si="121"/>
        <v>-9.8048609134856871E-2</v>
      </c>
      <c r="U600" s="12">
        <f t="shared" ca="1" si="131"/>
        <v>7900</v>
      </c>
      <c r="V600" s="14">
        <f t="shared" ca="1" si="132"/>
        <v>-2136.7088607594937</v>
      </c>
      <c r="W600" s="12">
        <f t="shared" ca="1" si="122"/>
        <v>-1774.6835443037974</v>
      </c>
      <c r="X600" s="7">
        <f ca="1">AVERAGE(E600:OFFSET(F600,-$X$5+1,0))</f>
        <v>8582.7999999999993</v>
      </c>
      <c r="Y600" s="7">
        <f ca="1">AVERAGE(E600:OFFSET(F600,-$Y$5+1,0))</f>
        <v>8557.7999999999993</v>
      </c>
      <c r="Z600" s="7">
        <f t="shared" ca="1" si="124"/>
        <v>0</v>
      </c>
    </row>
    <row r="601" spans="1:26">
      <c r="A601" s="3" t="s">
        <v>52</v>
      </c>
      <c r="B601" s="4">
        <v>42536</v>
      </c>
      <c r="C601" s="3">
        <v>8552</v>
      </c>
      <c r="D601" s="3">
        <v>8607</v>
      </c>
      <c r="E601" s="3">
        <v>8508</v>
      </c>
      <c r="F601" s="3">
        <v>8601</v>
      </c>
      <c r="G601" s="3">
        <v>86838</v>
      </c>
      <c r="H601" s="3">
        <v>1.125</v>
      </c>
      <c r="I601" s="2">
        <f t="shared" si="133"/>
        <v>1</v>
      </c>
      <c r="J601" s="10">
        <f t="shared" si="135"/>
        <v>-23</v>
      </c>
      <c r="K601" s="10">
        <f t="shared" si="134"/>
        <v>49</v>
      </c>
      <c r="L601" s="10">
        <f t="shared" ca="1" si="123"/>
        <v>0</v>
      </c>
      <c r="M601" s="10">
        <f t="shared" si="125"/>
        <v>0</v>
      </c>
      <c r="N601" s="30">
        <f t="shared" si="126"/>
        <v>0</v>
      </c>
      <c r="O601" s="10">
        <f t="shared" si="127"/>
        <v>0</v>
      </c>
      <c r="P601" s="29">
        <f t="shared" ca="1" si="128"/>
        <v>-5100</v>
      </c>
      <c r="Q601" s="12">
        <f t="shared" ca="1" si="129"/>
        <v>-166000</v>
      </c>
      <c r="R601" s="10">
        <f t="shared" ca="1" si="130"/>
        <v>-0.30615920278544845</v>
      </c>
      <c r="S601" s="10">
        <f t="shared" ca="1" si="120"/>
        <v>0.15273514539496122</v>
      </c>
      <c r="T601" s="14">
        <f t="shared" ca="1" si="121"/>
        <v>-0.10140671374576091</v>
      </c>
      <c r="U601" s="12">
        <f t="shared" ca="1" si="131"/>
        <v>7900</v>
      </c>
      <c r="V601" s="14">
        <f t="shared" ca="1" si="132"/>
        <v>-2201.2658227848101</v>
      </c>
      <c r="W601" s="12">
        <f t="shared" ca="1" si="122"/>
        <v>-1774.6835443037974</v>
      </c>
      <c r="X601" s="7">
        <f ca="1">AVERAGE(E601:OFFSET(F601,-$X$5+1,0))</f>
        <v>8585.5</v>
      </c>
      <c r="Y601" s="7">
        <f ca="1">AVERAGE(E601:OFFSET(F601,-$Y$5+1,0))</f>
        <v>8564.75</v>
      </c>
      <c r="Z601" s="7">
        <f t="shared" ca="1" si="124"/>
        <v>0</v>
      </c>
    </row>
    <row r="602" spans="1:26">
      <c r="A602" s="3" t="s">
        <v>53</v>
      </c>
      <c r="B602" s="4">
        <v>42537</v>
      </c>
      <c r="C602" s="3">
        <v>8410</v>
      </c>
      <c r="D602" s="3">
        <v>8410</v>
      </c>
      <c r="E602" s="3">
        <v>8247</v>
      </c>
      <c r="F602" s="3">
        <v>8283</v>
      </c>
      <c r="G602" s="3">
        <v>161494</v>
      </c>
      <c r="H602" s="3">
        <v>1.125</v>
      </c>
      <c r="I602" s="2">
        <f t="shared" si="133"/>
        <v>0</v>
      </c>
      <c r="J602" s="10">
        <f t="shared" si="135"/>
        <v>-191</v>
      </c>
      <c r="K602" s="10">
        <f t="shared" si="134"/>
        <v>-127</v>
      </c>
      <c r="L602" s="10">
        <f t="shared" ca="1" si="123"/>
        <v>-1</v>
      </c>
      <c r="M602" s="10">
        <f t="shared" ca="1" si="125"/>
        <v>0</v>
      </c>
      <c r="N602" s="30">
        <f t="shared" ca="1" si="126"/>
        <v>0</v>
      </c>
      <c r="O602" s="10">
        <f t="shared" ca="1" si="127"/>
        <v>0</v>
      </c>
      <c r="P602" s="29">
        <f t="shared" ca="1" si="128"/>
        <v>0</v>
      </c>
      <c r="Q602" s="12">
        <f t="shared" ca="1" si="129"/>
        <v>-166000</v>
      </c>
      <c r="R602" s="10">
        <f t="shared" ca="1" si="130"/>
        <v>0</v>
      </c>
      <c r="S602" s="10">
        <f t="shared" ca="1" si="120"/>
        <v>0.15273514539496122</v>
      </c>
      <c r="T602" s="14">
        <f t="shared" ca="1" si="121"/>
        <v>-0.10134095453768704</v>
      </c>
      <c r="U602" s="12">
        <f t="shared" ca="1" si="131"/>
        <v>7900</v>
      </c>
      <c r="V602" s="14">
        <f t="shared" ca="1" si="132"/>
        <v>-2201.2658227848101</v>
      </c>
      <c r="W602" s="12">
        <f t="shared" ca="1" si="122"/>
        <v>-1774.6835443037974</v>
      </c>
      <c r="X602" s="7">
        <f ca="1">AVERAGE(E602:OFFSET(F602,-$X$5+1,0))</f>
        <v>8511.2999999999993</v>
      </c>
      <c r="Y602" s="7">
        <f ca="1">AVERAGE(E602:OFFSET(F602,-$Y$5+1,0))</f>
        <v>8538.7999999999993</v>
      </c>
      <c r="Z602" s="7">
        <f t="shared" ca="1" si="124"/>
        <v>-1</v>
      </c>
    </row>
    <row r="603" spans="1:26">
      <c r="A603" s="3" t="s">
        <v>53</v>
      </c>
      <c r="B603" s="4">
        <v>42538</v>
      </c>
      <c r="C603" s="3">
        <v>8348</v>
      </c>
      <c r="D603" s="3">
        <v>8431</v>
      </c>
      <c r="E603" s="3">
        <v>8345</v>
      </c>
      <c r="F603" s="3">
        <v>8395</v>
      </c>
      <c r="G603" s="3">
        <v>135050</v>
      </c>
      <c r="H603" s="3">
        <v>1.125</v>
      </c>
      <c r="I603" s="2">
        <f t="shared" si="133"/>
        <v>0</v>
      </c>
      <c r="J603" s="10">
        <f t="shared" si="135"/>
        <v>65</v>
      </c>
      <c r="K603" s="10">
        <f t="shared" si="134"/>
        <v>47</v>
      </c>
      <c r="L603" s="10">
        <f t="shared" ca="1" si="123"/>
        <v>0</v>
      </c>
      <c r="M603" s="10">
        <f t="shared" ca="1" si="125"/>
        <v>-1</v>
      </c>
      <c r="N603" s="30">
        <f t="shared" ca="1" si="126"/>
        <v>0</v>
      </c>
      <c r="O603" s="10">
        <f t="shared" ca="1" si="127"/>
        <v>1669600</v>
      </c>
      <c r="P603" s="29">
        <f t="shared" ca="1" si="128"/>
        <v>-9900</v>
      </c>
      <c r="Q603" s="12">
        <f t="shared" ca="1" si="129"/>
        <v>-175900</v>
      </c>
      <c r="R603" s="10">
        <f t="shared" ca="1" si="130"/>
        <v>-0.5929563967417345</v>
      </c>
      <c r="S603" s="10">
        <f t="shared" ca="1" si="120"/>
        <v>7.933330367602355E-2</v>
      </c>
      <c r="T603" s="14">
        <f t="shared" ca="1" si="121"/>
        <v>-0.10790367812754668</v>
      </c>
      <c r="U603" s="12">
        <f t="shared" ca="1" si="131"/>
        <v>7900</v>
      </c>
      <c r="V603" s="14">
        <f t="shared" ca="1" si="132"/>
        <v>-2326.5822784810125</v>
      </c>
      <c r="W603" s="12">
        <f t="shared" ca="1" si="122"/>
        <v>-1774.6835443037974</v>
      </c>
      <c r="X603" s="7">
        <f ca="1">AVERAGE(E603:OFFSET(F603,-$X$5+1,0))</f>
        <v>8446.4</v>
      </c>
      <c r="Y603" s="7">
        <f ca="1">AVERAGE(E603:OFFSET(F603,-$Y$5+1,0))</f>
        <v>8522.2999999999993</v>
      </c>
      <c r="Z603" s="7">
        <f t="shared" ca="1" si="124"/>
        <v>0</v>
      </c>
    </row>
    <row r="604" spans="1:26">
      <c r="A604" s="3" t="s">
        <v>53</v>
      </c>
      <c r="B604" s="4">
        <v>42541</v>
      </c>
      <c r="C604" s="3">
        <v>8503</v>
      </c>
      <c r="D604" s="3">
        <v>8520</v>
      </c>
      <c r="E604" s="3">
        <v>8428</v>
      </c>
      <c r="F604" s="3">
        <v>8469</v>
      </c>
      <c r="G604" s="3">
        <v>116528</v>
      </c>
      <c r="H604" s="3">
        <v>1.125</v>
      </c>
      <c r="I604" s="2">
        <f t="shared" si="133"/>
        <v>0</v>
      </c>
      <c r="J604" s="10">
        <f t="shared" si="135"/>
        <v>108</v>
      </c>
      <c r="K604" s="10">
        <f t="shared" si="134"/>
        <v>-34</v>
      </c>
      <c r="L604" s="10">
        <f t="shared" ca="1" si="123"/>
        <v>0</v>
      </c>
      <c r="M604" s="10">
        <f t="shared" ca="1" si="125"/>
        <v>-1</v>
      </c>
      <c r="N604" s="30">
        <f t="shared" ca="1" si="126"/>
        <v>0</v>
      </c>
      <c r="O604" s="10">
        <f t="shared" ca="1" si="127"/>
        <v>1669600</v>
      </c>
      <c r="P604" s="29">
        <f t="shared" ca="1" si="128"/>
        <v>-14800</v>
      </c>
      <c r="Q604" s="12">
        <f t="shared" ca="1" si="129"/>
        <v>-190700</v>
      </c>
      <c r="R604" s="10">
        <f t="shared" ca="1" si="130"/>
        <v>-0.88643986583612844</v>
      </c>
      <c r="S604" s="10">
        <f t="shared" ca="1" si="120"/>
        <v>-3.0398742530065099E-2</v>
      </c>
      <c r="T604" s="14">
        <f t="shared" ca="1" si="121"/>
        <v>-0.1184106086802542</v>
      </c>
      <c r="U604" s="12">
        <f t="shared" ca="1" si="131"/>
        <v>7900</v>
      </c>
      <c r="V604" s="14">
        <f t="shared" ca="1" si="132"/>
        <v>-2513.9240506329115</v>
      </c>
      <c r="W604" s="12">
        <f t="shared" ca="1" si="122"/>
        <v>-1774.6835443037974</v>
      </c>
      <c r="X604" s="7">
        <f ca="1">AVERAGE(E604:OFFSET(F604,-$X$5+1,0))</f>
        <v>8433.4</v>
      </c>
      <c r="Y604" s="7">
        <f ca="1">AVERAGE(E604:OFFSET(F604,-$Y$5+1,0))</f>
        <v>8512</v>
      </c>
      <c r="Z604" s="7">
        <f t="shared" ca="1" si="124"/>
        <v>0</v>
      </c>
    </row>
    <row r="605" spans="1:26">
      <c r="A605" s="3" t="s">
        <v>53</v>
      </c>
      <c r="B605" s="4">
        <v>42542</v>
      </c>
      <c r="C605" s="3">
        <v>8459</v>
      </c>
      <c r="D605" s="3">
        <v>8525</v>
      </c>
      <c r="E605" s="3">
        <v>8435</v>
      </c>
      <c r="F605" s="3">
        <v>8510</v>
      </c>
      <c r="G605" s="3">
        <v>106832</v>
      </c>
      <c r="H605" s="3">
        <v>1.125</v>
      </c>
      <c r="I605" s="2">
        <f t="shared" si="133"/>
        <v>0</v>
      </c>
      <c r="J605" s="10">
        <f t="shared" si="135"/>
        <v>-10</v>
      </c>
      <c r="K605" s="10">
        <f t="shared" si="134"/>
        <v>51</v>
      </c>
      <c r="L605" s="10">
        <f t="shared" ca="1" si="123"/>
        <v>0</v>
      </c>
      <c r="M605" s="10">
        <f t="shared" ca="1" si="125"/>
        <v>-1</v>
      </c>
      <c r="N605" s="30">
        <f t="shared" ca="1" si="126"/>
        <v>0</v>
      </c>
      <c r="O605" s="10">
        <f t="shared" ca="1" si="127"/>
        <v>1669600</v>
      </c>
      <c r="P605" s="29">
        <f t="shared" ca="1" si="128"/>
        <v>-8200</v>
      </c>
      <c r="Q605" s="12">
        <f t="shared" ca="1" si="129"/>
        <v>-198900</v>
      </c>
      <c r="R605" s="10">
        <f t="shared" ca="1" si="130"/>
        <v>-0.49113560134163869</v>
      </c>
      <c r="S605" s="10">
        <f t="shared" ca="1" si="120"/>
        <v>-3.433948010027128E-3</v>
      </c>
      <c r="T605" s="14">
        <f t="shared" ca="1" si="121"/>
        <v>-0.11579414490812205</v>
      </c>
      <c r="U605" s="12">
        <f t="shared" ca="1" si="131"/>
        <v>7900</v>
      </c>
      <c r="V605" s="14">
        <f t="shared" ca="1" si="132"/>
        <v>-2617.7215189873418</v>
      </c>
      <c r="W605" s="12">
        <f t="shared" ca="1" si="122"/>
        <v>-1774.6835443037974</v>
      </c>
      <c r="X605" s="7">
        <f ca="1">AVERAGE(E605:OFFSET(F605,-$X$5+1,0))</f>
        <v>8422.1</v>
      </c>
      <c r="Y605" s="7">
        <f ca="1">AVERAGE(E605:OFFSET(F605,-$Y$5+1,0))</f>
        <v>8502.4500000000007</v>
      </c>
      <c r="Z605" s="7">
        <f t="shared" ca="1" si="124"/>
        <v>0</v>
      </c>
    </row>
    <row r="606" spans="1:26">
      <c r="A606" s="3" t="s">
        <v>53</v>
      </c>
      <c r="B606" s="4">
        <v>42543</v>
      </c>
      <c r="C606" s="3">
        <v>8510</v>
      </c>
      <c r="D606" s="3">
        <v>8530</v>
      </c>
      <c r="E606" s="3">
        <v>8460</v>
      </c>
      <c r="F606" s="3">
        <v>8509</v>
      </c>
      <c r="G606" s="3">
        <v>113230</v>
      </c>
      <c r="H606" s="3">
        <v>1.125</v>
      </c>
      <c r="I606" s="2">
        <f t="shared" si="133"/>
        <v>0</v>
      </c>
      <c r="J606" s="10">
        <f t="shared" si="135"/>
        <v>0</v>
      </c>
      <c r="K606" s="10">
        <f t="shared" si="134"/>
        <v>-1</v>
      </c>
      <c r="L606" s="10">
        <f t="shared" ca="1" si="123"/>
        <v>0</v>
      </c>
      <c r="M606" s="10">
        <f t="shared" ca="1" si="125"/>
        <v>-1</v>
      </c>
      <c r="N606" s="30">
        <f t="shared" ca="1" si="126"/>
        <v>0</v>
      </c>
      <c r="O606" s="10">
        <f t="shared" ca="1" si="127"/>
        <v>1669600</v>
      </c>
      <c r="P606" s="29">
        <f t="shared" ca="1" si="128"/>
        <v>200</v>
      </c>
      <c r="Q606" s="12">
        <f t="shared" ca="1" si="129"/>
        <v>-198700</v>
      </c>
      <c r="R606" s="10">
        <f t="shared" ca="1" si="130"/>
        <v>1.1978917105893628E-2</v>
      </c>
      <c r="S606" s="10">
        <f t="shared" ca="1" si="120"/>
        <v>-0.1287730503760173</v>
      </c>
      <c r="T606" s="14">
        <f t="shared" ca="1" si="121"/>
        <v>-0.1272749616799429</v>
      </c>
      <c r="U606" s="12">
        <f t="shared" ca="1" si="131"/>
        <v>7900</v>
      </c>
      <c r="V606" s="14">
        <f t="shared" ca="1" si="132"/>
        <v>-2615.1898734177216</v>
      </c>
      <c r="W606" s="12">
        <f t="shared" ca="1" si="122"/>
        <v>-1774.6835443037974</v>
      </c>
      <c r="X606" s="7">
        <f ca="1">AVERAGE(E606:OFFSET(F606,-$X$5+1,0))</f>
        <v>8408.1</v>
      </c>
      <c r="Y606" s="7">
        <f ca="1">AVERAGE(E606:OFFSET(F606,-$Y$5+1,0))</f>
        <v>8496.7999999999993</v>
      </c>
      <c r="Z606" s="7">
        <f t="shared" ca="1" si="124"/>
        <v>0</v>
      </c>
    </row>
    <row r="607" spans="1:26">
      <c r="A607" s="3" t="s">
        <v>53</v>
      </c>
      <c r="B607" s="4">
        <v>42544</v>
      </c>
      <c r="C607" s="3">
        <v>8515</v>
      </c>
      <c r="D607" s="3">
        <v>8526</v>
      </c>
      <c r="E607" s="3">
        <v>8467</v>
      </c>
      <c r="F607" s="3">
        <v>8510</v>
      </c>
      <c r="G607" s="3">
        <v>80671</v>
      </c>
      <c r="H607" s="3">
        <v>1.125</v>
      </c>
      <c r="I607" s="2">
        <f t="shared" si="133"/>
        <v>0</v>
      </c>
      <c r="J607" s="10">
        <f t="shared" si="135"/>
        <v>6</v>
      </c>
      <c r="K607" s="10">
        <f t="shared" si="134"/>
        <v>-5</v>
      </c>
      <c r="L607" s="10">
        <f t="shared" ca="1" si="123"/>
        <v>0</v>
      </c>
      <c r="M607" s="10">
        <f t="shared" ca="1" si="125"/>
        <v>-1</v>
      </c>
      <c r="N607" s="30">
        <f t="shared" ca="1" si="126"/>
        <v>0</v>
      </c>
      <c r="O607" s="10">
        <f t="shared" ca="1" si="127"/>
        <v>1669600</v>
      </c>
      <c r="P607" s="29">
        <f t="shared" ca="1" si="128"/>
        <v>-200</v>
      </c>
      <c r="Q607" s="12">
        <f t="shared" ca="1" si="129"/>
        <v>-198900</v>
      </c>
      <c r="R607" s="10">
        <f t="shared" ca="1" si="130"/>
        <v>-1.1978917105893628E-2</v>
      </c>
      <c r="S607" s="10">
        <f t="shared" ca="1" si="120"/>
        <v>-0.27128189279214315</v>
      </c>
      <c r="T607" s="14">
        <f t="shared" ca="1" si="121"/>
        <v>-0.14090296056677853</v>
      </c>
      <c r="U607" s="12">
        <f t="shared" ca="1" si="131"/>
        <v>7900</v>
      </c>
      <c r="V607" s="14">
        <f t="shared" ca="1" si="132"/>
        <v>-2617.7215189873418</v>
      </c>
      <c r="W607" s="12">
        <f t="shared" ca="1" si="122"/>
        <v>-1774.6835443037974</v>
      </c>
      <c r="X607" s="7">
        <f ca="1">AVERAGE(E607:OFFSET(F607,-$X$5+1,0))</f>
        <v>8452.7999999999993</v>
      </c>
      <c r="Y607" s="7">
        <f ca="1">AVERAGE(E607:OFFSET(F607,-$Y$5+1,0))</f>
        <v>8482.0499999999993</v>
      </c>
      <c r="Z607" s="7">
        <f t="shared" ca="1" si="124"/>
        <v>0</v>
      </c>
    </row>
    <row r="608" spans="1:26">
      <c r="A608" s="3" t="s">
        <v>53</v>
      </c>
      <c r="B608" s="4">
        <v>42545</v>
      </c>
      <c r="C608" s="3">
        <v>8500</v>
      </c>
      <c r="D608" s="3">
        <v>8553</v>
      </c>
      <c r="E608" s="3">
        <v>8140</v>
      </c>
      <c r="F608" s="3">
        <v>8237</v>
      </c>
      <c r="G608" s="3">
        <v>350484</v>
      </c>
      <c r="H608" s="3">
        <v>1.125</v>
      </c>
      <c r="I608" s="2">
        <f t="shared" si="133"/>
        <v>0</v>
      </c>
      <c r="J608" s="10">
        <f t="shared" si="135"/>
        <v>-10</v>
      </c>
      <c r="K608" s="10">
        <f t="shared" si="134"/>
        <v>-263</v>
      </c>
      <c r="L608" s="10">
        <f t="shared" ca="1" si="123"/>
        <v>0</v>
      </c>
      <c r="M608" s="10">
        <f t="shared" ca="1" si="125"/>
        <v>-1</v>
      </c>
      <c r="N608" s="30">
        <f t="shared" ca="1" si="126"/>
        <v>0</v>
      </c>
      <c r="O608" s="10">
        <f t="shared" ca="1" si="127"/>
        <v>1669600</v>
      </c>
      <c r="P608" s="29">
        <f t="shared" ca="1" si="128"/>
        <v>54600</v>
      </c>
      <c r="Q608" s="12">
        <f t="shared" ca="1" si="129"/>
        <v>-144300</v>
      </c>
      <c r="R608" s="10">
        <f t="shared" ca="1" si="130"/>
        <v>3.2702443699089603</v>
      </c>
      <c r="S608" s="10">
        <f t="shared" ca="1" si="120"/>
        <v>0.22664056866179047</v>
      </c>
      <c r="T608" s="14">
        <f t="shared" ca="1" si="121"/>
        <v>-9.1131803677740778E-2</v>
      </c>
      <c r="U608" s="12">
        <f t="shared" ca="1" si="131"/>
        <v>7900</v>
      </c>
      <c r="V608" s="14">
        <f t="shared" ca="1" si="132"/>
        <v>-1926.5822784810127</v>
      </c>
      <c r="W608" s="12">
        <f t="shared" ca="1" si="122"/>
        <v>-1774.6835443037974</v>
      </c>
      <c r="X608" s="7">
        <f ca="1">AVERAGE(E608:OFFSET(F608,-$X$5+1,0))</f>
        <v>8416.5</v>
      </c>
      <c r="Y608" s="7">
        <f ca="1">AVERAGE(E608:OFFSET(F608,-$Y$5+1,0))</f>
        <v>8431.4500000000007</v>
      </c>
      <c r="Z608" s="7">
        <f t="shared" ca="1" si="124"/>
        <v>0</v>
      </c>
    </row>
    <row r="609" spans="1:26">
      <c r="A609" s="3" t="s">
        <v>53</v>
      </c>
      <c r="B609" s="4">
        <v>42548</v>
      </c>
      <c r="C609" s="3">
        <v>8250</v>
      </c>
      <c r="D609" s="3">
        <v>8339</v>
      </c>
      <c r="E609" s="3">
        <v>8239</v>
      </c>
      <c r="F609" s="3">
        <v>8325</v>
      </c>
      <c r="G609" s="3">
        <v>123131</v>
      </c>
      <c r="H609" s="3">
        <v>1.125</v>
      </c>
      <c r="I609" s="2">
        <f t="shared" si="133"/>
        <v>0</v>
      </c>
      <c r="J609" s="10">
        <f t="shared" si="135"/>
        <v>13</v>
      </c>
      <c r="K609" s="10">
        <f t="shared" si="134"/>
        <v>75</v>
      </c>
      <c r="L609" s="10">
        <f t="shared" ca="1" si="123"/>
        <v>0</v>
      </c>
      <c r="M609" s="10">
        <f t="shared" ca="1" si="125"/>
        <v>-1</v>
      </c>
      <c r="N609" s="30">
        <f t="shared" ca="1" si="126"/>
        <v>0</v>
      </c>
      <c r="O609" s="10">
        <f t="shared" ca="1" si="127"/>
        <v>1669600</v>
      </c>
      <c r="P609" s="29">
        <f t="shared" ca="1" si="128"/>
        <v>-17600</v>
      </c>
      <c r="Q609" s="12">
        <f t="shared" ca="1" si="129"/>
        <v>-161900</v>
      </c>
      <c r="R609" s="10">
        <f t="shared" ca="1" si="130"/>
        <v>-1.0541447053186392</v>
      </c>
      <c r="S609" s="10">
        <f t="shared" ca="1" si="120"/>
        <v>2.918855808523059E-2</v>
      </c>
      <c r="T609" s="14">
        <f t="shared" ca="1" si="121"/>
        <v>-0.10818564581614054</v>
      </c>
      <c r="U609" s="12">
        <f t="shared" ca="1" si="131"/>
        <v>7900</v>
      </c>
      <c r="V609" s="14">
        <f t="shared" ca="1" si="132"/>
        <v>-2149.3670886075947</v>
      </c>
      <c r="W609" s="12">
        <f t="shared" ca="1" si="122"/>
        <v>-1774.6835443037974</v>
      </c>
      <c r="X609" s="7">
        <f ca="1">AVERAGE(E609:OFFSET(F609,-$X$5+1,0))</f>
        <v>8383.2000000000007</v>
      </c>
      <c r="Y609" s="7">
        <f ca="1">AVERAGE(E609:OFFSET(F609,-$Y$5+1,0))</f>
        <v>8408.2999999999993</v>
      </c>
      <c r="Z609" s="7">
        <f t="shared" ca="1" si="124"/>
        <v>0</v>
      </c>
    </row>
    <row r="610" spans="1:26">
      <c r="A610" s="3" t="s">
        <v>53</v>
      </c>
      <c r="B610" s="4">
        <v>42549</v>
      </c>
      <c r="C610" s="3">
        <v>8274</v>
      </c>
      <c r="D610" s="3">
        <v>8387</v>
      </c>
      <c r="E610" s="3">
        <v>8260</v>
      </c>
      <c r="F610" s="3">
        <v>8376</v>
      </c>
      <c r="G610" s="3">
        <v>128666</v>
      </c>
      <c r="H610" s="3">
        <v>1.125</v>
      </c>
      <c r="I610" s="2">
        <f t="shared" si="133"/>
        <v>0</v>
      </c>
      <c r="J610" s="10">
        <f t="shared" si="135"/>
        <v>-51</v>
      </c>
      <c r="K610" s="10">
        <f t="shared" si="134"/>
        <v>102</v>
      </c>
      <c r="L610" s="10">
        <f t="shared" ca="1" si="123"/>
        <v>0</v>
      </c>
      <c r="M610" s="10">
        <f t="shared" ca="1" si="125"/>
        <v>-1</v>
      </c>
      <c r="N610" s="30">
        <f t="shared" ca="1" si="126"/>
        <v>0</v>
      </c>
      <c r="O610" s="10">
        <f t="shared" ca="1" si="127"/>
        <v>1669600</v>
      </c>
      <c r="P610" s="29">
        <f t="shared" ca="1" si="128"/>
        <v>-10200</v>
      </c>
      <c r="Q610" s="12">
        <f t="shared" ca="1" si="129"/>
        <v>-172100</v>
      </c>
      <c r="R610" s="10">
        <f t="shared" ca="1" si="130"/>
        <v>-0.61092477240057497</v>
      </c>
      <c r="S610" s="10">
        <f t="shared" ca="1" si="120"/>
        <v>6.438652518800865E-2</v>
      </c>
      <c r="T610" s="14">
        <f t="shared" ca="1" si="121"/>
        <v>-0.10486041874068866</v>
      </c>
      <c r="U610" s="12">
        <f t="shared" ca="1" si="131"/>
        <v>7900</v>
      </c>
      <c r="V610" s="14">
        <f t="shared" ca="1" si="132"/>
        <v>-2278.4810126582279</v>
      </c>
      <c r="W610" s="12">
        <f t="shared" ca="1" si="122"/>
        <v>-1774.6835443037974</v>
      </c>
      <c r="X610" s="7">
        <f ca="1">AVERAGE(E610:OFFSET(F610,-$X$5+1,0))</f>
        <v>8352.2999999999993</v>
      </c>
      <c r="Y610" s="7">
        <f ca="1">AVERAGE(E610:OFFSET(F610,-$Y$5+1,0))</f>
        <v>8387.2000000000007</v>
      </c>
      <c r="Z610" s="7">
        <f t="shared" ca="1" si="124"/>
        <v>0</v>
      </c>
    </row>
    <row r="611" spans="1:26">
      <c r="A611" s="3" t="s">
        <v>53</v>
      </c>
      <c r="B611" s="4">
        <v>42550</v>
      </c>
      <c r="C611" s="3">
        <v>8392</v>
      </c>
      <c r="D611" s="3">
        <v>8493</v>
      </c>
      <c r="E611" s="3">
        <v>8391</v>
      </c>
      <c r="F611" s="3">
        <v>8436</v>
      </c>
      <c r="G611" s="3">
        <v>136847</v>
      </c>
      <c r="H611" s="3">
        <v>1.125</v>
      </c>
      <c r="I611" s="2">
        <f t="shared" si="133"/>
        <v>0</v>
      </c>
      <c r="J611" s="10">
        <f t="shared" si="135"/>
        <v>16</v>
      </c>
      <c r="K611" s="10">
        <f t="shared" si="134"/>
        <v>44</v>
      </c>
      <c r="L611" s="10">
        <f t="shared" ca="1" si="123"/>
        <v>0</v>
      </c>
      <c r="M611" s="10">
        <f t="shared" ca="1" si="125"/>
        <v>-1</v>
      </c>
      <c r="N611" s="30">
        <f t="shared" ca="1" si="126"/>
        <v>0</v>
      </c>
      <c r="O611" s="10">
        <f t="shared" ca="1" si="127"/>
        <v>1669600</v>
      </c>
      <c r="P611" s="29">
        <f t="shared" ca="1" si="128"/>
        <v>-12000</v>
      </c>
      <c r="Q611" s="12">
        <f t="shared" ca="1" si="129"/>
        <v>-184100</v>
      </c>
      <c r="R611" s="10">
        <f t="shared" ca="1" si="130"/>
        <v>-0.71873502635361763</v>
      </c>
      <c r="S611" s="10">
        <f t="shared" ca="1" si="120"/>
        <v>-3.8631915112805192E-2</v>
      </c>
      <c r="T611" s="14">
        <f t="shared" ca="1" si="121"/>
        <v>-0.1136949772325531</v>
      </c>
      <c r="U611" s="12">
        <f t="shared" ca="1" si="131"/>
        <v>7900</v>
      </c>
      <c r="V611" s="14">
        <f t="shared" ca="1" si="132"/>
        <v>-2430.3797468354433</v>
      </c>
      <c r="W611" s="12">
        <f t="shared" ca="1" si="122"/>
        <v>-1774.6835443037974</v>
      </c>
      <c r="X611" s="7">
        <f ca="1">AVERAGE(E611:OFFSET(F611,-$X$5+1,0))</f>
        <v>8338.1</v>
      </c>
      <c r="Y611" s="7">
        <f ca="1">AVERAGE(E611:OFFSET(F611,-$Y$5+1,0))</f>
        <v>8373.1</v>
      </c>
      <c r="Z611" s="7">
        <f t="shared" ca="1" si="124"/>
        <v>0</v>
      </c>
    </row>
    <row r="612" spans="1:26">
      <c r="A612" s="3" t="s">
        <v>53</v>
      </c>
      <c r="B612" s="4">
        <v>42551</v>
      </c>
      <c r="C612" s="3">
        <v>8492</v>
      </c>
      <c r="D612" s="3">
        <v>8542</v>
      </c>
      <c r="E612" s="3">
        <v>8440</v>
      </c>
      <c r="F612" s="3">
        <v>8518</v>
      </c>
      <c r="G612" s="3">
        <v>149910</v>
      </c>
      <c r="H612" s="3">
        <v>1.125</v>
      </c>
      <c r="I612" s="2">
        <f t="shared" si="133"/>
        <v>0</v>
      </c>
      <c r="J612" s="10">
        <f t="shared" si="135"/>
        <v>56</v>
      </c>
      <c r="K612" s="10">
        <f t="shared" si="134"/>
        <v>26</v>
      </c>
      <c r="L612" s="10">
        <f t="shared" ca="1" si="123"/>
        <v>0</v>
      </c>
      <c r="M612" s="10">
        <f t="shared" ca="1" si="125"/>
        <v>-1</v>
      </c>
      <c r="N612" s="30">
        <f t="shared" ca="1" si="126"/>
        <v>0</v>
      </c>
      <c r="O612" s="10">
        <f t="shared" ca="1" si="127"/>
        <v>1669600</v>
      </c>
      <c r="P612" s="29">
        <f t="shared" ca="1" si="128"/>
        <v>-16400</v>
      </c>
      <c r="Q612" s="12">
        <f t="shared" ca="1" si="129"/>
        <v>-200500</v>
      </c>
      <c r="R612" s="10">
        <f t="shared" ca="1" si="130"/>
        <v>-0.98227120268327739</v>
      </c>
      <c r="S612" s="10">
        <f t="shared" ca="1" si="120"/>
        <v>0.32628423435365134</v>
      </c>
      <c r="T612" s="14">
        <f t="shared" ca="1" si="121"/>
        <v>-8.114500881146286E-2</v>
      </c>
      <c r="U612" s="12">
        <f t="shared" ca="1" si="131"/>
        <v>7900</v>
      </c>
      <c r="V612" s="14">
        <f t="shared" ca="1" si="132"/>
        <v>-2637.9746835443038</v>
      </c>
      <c r="W612" s="12">
        <f t="shared" ca="1" si="122"/>
        <v>-1774.6835443037974</v>
      </c>
      <c r="X612" s="7">
        <f ca="1">AVERAGE(E612:OFFSET(F612,-$X$5+1,0))</f>
        <v>8336.2000000000007</v>
      </c>
      <c r="Y612" s="7">
        <f ca="1">AVERAGE(E612:OFFSET(F612,-$Y$5+1,0))</f>
        <v>8394.5</v>
      </c>
      <c r="Z612" s="7">
        <f t="shared" ca="1" si="124"/>
        <v>0</v>
      </c>
    </row>
    <row r="613" spans="1:26">
      <c r="A613" s="3" t="s">
        <v>53</v>
      </c>
      <c r="B613" s="4">
        <v>42552</v>
      </c>
      <c r="C613" s="3">
        <v>8568</v>
      </c>
      <c r="D613" s="3">
        <v>8638</v>
      </c>
      <c r="E613" s="3">
        <v>8551</v>
      </c>
      <c r="F613" s="3">
        <v>8626</v>
      </c>
      <c r="G613" s="3">
        <v>125937</v>
      </c>
      <c r="H613" s="3">
        <v>1.125</v>
      </c>
      <c r="I613" s="2">
        <f t="shared" si="133"/>
        <v>0</v>
      </c>
      <c r="J613" s="10">
        <f t="shared" si="135"/>
        <v>50</v>
      </c>
      <c r="K613" s="10">
        <f t="shared" si="134"/>
        <v>58</v>
      </c>
      <c r="L613" s="10">
        <f t="shared" ca="1" si="123"/>
        <v>0</v>
      </c>
      <c r="M613" s="10">
        <f t="shared" ca="1" si="125"/>
        <v>-1</v>
      </c>
      <c r="N613" s="30">
        <f t="shared" ca="1" si="126"/>
        <v>0</v>
      </c>
      <c r="O613" s="10">
        <f t="shared" ca="1" si="127"/>
        <v>1669600</v>
      </c>
      <c r="P613" s="29">
        <f t="shared" ca="1" si="128"/>
        <v>-21600</v>
      </c>
      <c r="Q613" s="12">
        <f t="shared" ca="1" si="129"/>
        <v>-222100</v>
      </c>
      <c r="R613" s="10">
        <f t="shared" ca="1" si="130"/>
        <v>-1.2937230474365118</v>
      </c>
      <c r="S613" s="10">
        <f t="shared" ca="1" si="120"/>
        <v>0.40071782531557804</v>
      </c>
      <c r="T613" s="14">
        <f t="shared" ca="1" si="121"/>
        <v>-7.410547426295655E-2</v>
      </c>
      <c r="U613" s="12">
        <f t="shared" ca="1" si="131"/>
        <v>7900</v>
      </c>
      <c r="V613" s="14">
        <f t="shared" ca="1" si="132"/>
        <v>-2911.3924050632913</v>
      </c>
      <c r="W613" s="12">
        <f t="shared" ca="1" si="122"/>
        <v>-1774.6835443037974</v>
      </c>
      <c r="X613" s="7">
        <f ca="1">AVERAGE(E613:OFFSET(F613,-$X$5+1,0))</f>
        <v>8416.2000000000007</v>
      </c>
      <c r="Y613" s="7">
        <f ca="1">AVERAGE(E613:OFFSET(F613,-$Y$5+1,0))</f>
        <v>8416.35</v>
      </c>
      <c r="Z613" s="7">
        <f t="shared" ca="1" si="124"/>
        <v>0</v>
      </c>
    </row>
    <row r="614" spans="1:26">
      <c r="A614" s="3" t="s">
        <v>53</v>
      </c>
      <c r="B614" s="4">
        <v>42555</v>
      </c>
      <c r="C614" s="3">
        <v>8636</v>
      </c>
      <c r="D614" s="3">
        <v>8679</v>
      </c>
      <c r="E614" s="3">
        <v>8598</v>
      </c>
      <c r="F614" s="3">
        <v>8630</v>
      </c>
      <c r="G614" s="3">
        <v>117023</v>
      </c>
      <c r="H614" s="3">
        <v>1.125</v>
      </c>
      <c r="I614" s="2">
        <f t="shared" si="133"/>
        <v>0</v>
      </c>
      <c r="J614" s="10">
        <f t="shared" si="135"/>
        <v>10</v>
      </c>
      <c r="K614" s="10">
        <f t="shared" si="134"/>
        <v>-6</v>
      </c>
      <c r="L614" s="10">
        <f t="shared" ca="1" si="123"/>
        <v>1</v>
      </c>
      <c r="M614" s="10">
        <f t="shared" ca="1" si="125"/>
        <v>-1</v>
      </c>
      <c r="N614" s="30">
        <f t="shared" ca="1" si="126"/>
        <v>0</v>
      </c>
      <c r="O614" s="10">
        <f t="shared" ca="1" si="127"/>
        <v>1669600</v>
      </c>
      <c r="P614" s="29">
        <f t="shared" ca="1" si="128"/>
        <v>-800</v>
      </c>
      <c r="Q614" s="12">
        <f t="shared" ca="1" si="129"/>
        <v>-222900</v>
      </c>
      <c r="R614" s="10">
        <f t="shared" ca="1" si="130"/>
        <v>-4.791566842357451E-2</v>
      </c>
      <c r="S614" s="10">
        <f t="shared" ca="1" si="120"/>
        <v>0.39256071945673676</v>
      </c>
      <c r="T614" s="14">
        <f t="shared" ca="1" si="121"/>
        <v>-7.4744495488536372E-2</v>
      </c>
      <c r="U614" s="12">
        <f t="shared" ca="1" si="131"/>
        <v>7900</v>
      </c>
      <c r="V614" s="14">
        <f t="shared" ca="1" si="132"/>
        <v>-2921.5189873417721</v>
      </c>
      <c r="W614" s="12">
        <f t="shared" ca="1" si="122"/>
        <v>-1774.6835443037974</v>
      </c>
      <c r="X614" s="7">
        <f ca="1">AVERAGE(E614:OFFSET(F614,-$X$5+1,0))</f>
        <v>8482.6</v>
      </c>
      <c r="Y614" s="7">
        <f ca="1">AVERAGE(E614:OFFSET(F614,-$Y$5+1,0))</f>
        <v>8432.9</v>
      </c>
      <c r="Z614" s="7">
        <f t="shared" ca="1" si="124"/>
        <v>1</v>
      </c>
    </row>
    <row r="615" spans="1:26">
      <c r="A615" s="3" t="s">
        <v>53</v>
      </c>
      <c r="B615" s="4">
        <v>42556</v>
      </c>
      <c r="C615" s="3">
        <v>8600</v>
      </c>
      <c r="D615" s="3">
        <v>8635</v>
      </c>
      <c r="E615" s="3">
        <v>8567</v>
      </c>
      <c r="F615" s="3">
        <v>8609</v>
      </c>
      <c r="G615" s="3">
        <v>99016</v>
      </c>
      <c r="H615" s="3">
        <v>1.0449999999999999</v>
      </c>
      <c r="I615" s="2">
        <f t="shared" si="133"/>
        <v>0</v>
      </c>
      <c r="J615" s="10">
        <f t="shared" si="135"/>
        <v>-30</v>
      </c>
      <c r="K615" s="10">
        <f t="shared" si="134"/>
        <v>9</v>
      </c>
      <c r="L615" s="10">
        <f t="shared" ca="1" si="123"/>
        <v>0</v>
      </c>
      <c r="M615" s="10">
        <f t="shared" ca="1" si="125"/>
        <v>0</v>
      </c>
      <c r="N615" s="30">
        <f t="shared" ca="1" si="126"/>
        <v>0</v>
      </c>
      <c r="O615" s="10">
        <f t="shared" ca="1" si="127"/>
        <v>0</v>
      </c>
      <c r="P615" s="29">
        <f t="shared" ca="1" si="128"/>
        <v>5500</v>
      </c>
      <c r="Q615" s="12">
        <f t="shared" ca="1" si="129"/>
        <v>-217400</v>
      </c>
      <c r="R615" s="10">
        <f t="shared" ca="1" si="130"/>
        <v>0.32942022041207475</v>
      </c>
      <c r="S615" s="10">
        <f t="shared" ca="1" si="120"/>
        <v>0.44864082223627055</v>
      </c>
      <c r="T615" s="14">
        <f t="shared" ca="1" si="121"/>
        <v>-6.9746525852201563E-2</v>
      </c>
      <c r="U615" s="12">
        <f t="shared" ca="1" si="131"/>
        <v>7900</v>
      </c>
      <c r="V615" s="14">
        <f t="shared" ca="1" si="132"/>
        <v>-2851.8987341772154</v>
      </c>
      <c r="W615" s="12">
        <f t="shared" ca="1" si="122"/>
        <v>-1774.6835443037974</v>
      </c>
      <c r="X615" s="7">
        <f ca="1">AVERAGE(E615:OFFSET(F615,-$X$5+1,0))</f>
        <v>8536.6</v>
      </c>
      <c r="Y615" s="7">
        <f ca="1">AVERAGE(E615:OFFSET(F615,-$Y$5+1,0))</f>
        <v>8444.4500000000007</v>
      </c>
      <c r="Z615" s="7">
        <f t="shared" ca="1" si="124"/>
        <v>0</v>
      </c>
    </row>
    <row r="616" spans="1:26">
      <c r="A616" s="3" t="s">
        <v>53</v>
      </c>
      <c r="B616" s="4">
        <v>42557</v>
      </c>
      <c r="C616" s="3">
        <v>8552</v>
      </c>
      <c r="D616" s="3">
        <v>8559</v>
      </c>
      <c r="E616" s="3">
        <v>8443</v>
      </c>
      <c r="F616" s="3">
        <v>8468</v>
      </c>
      <c r="G616" s="3">
        <v>166638</v>
      </c>
      <c r="H616" s="3">
        <v>1.0449999999999999</v>
      </c>
      <c r="I616" s="2">
        <f t="shared" si="133"/>
        <v>0</v>
      </c>
      <c r="J616" s="10">
        <f t="shared" si="135"/>
        <v>-57</v>
      </c>
      <c r="K616" s="10">
        <f t="shared" si="134"/>
        <v>-84</v>
      </c>
      <c r="L616" s="10">
        <f t="shared" ca="1" si="123"/>
        <v>0</v>
      </c>
      <c r="M616" s="10">
        <f t="shared" ca="1" si="125"/>
        <v>0</v>
      </c>
      <c r="N616" s="30">
        <f t="shared" ca="1" si="126"/>
        <v>0</v>
      </c>
      <c r="O616" s="10">
        <f t="shared" ca="1" si="127"/>
        <v>0</v>
      </c>
      <c r="P616" s="29">
        <f t="shared" ca="1" si="128"/>
        <v>0</v>
      </c>
      <c r="Q616" s="12">
        <f t="shared" ca="1" si="129"/>
        <v>-217400</v>
      </c>
      <c r="R616" s="10">
        <f t="shared" ca="1" si="130"/>
        <v>0</v>
      </c>
      <c r="S616" s="10">
        <f t="shared" ca="1" si="120"/>
        <v>0.44864082223627055</v>
      </c>
      <c r="T616" s="14">
        <f t="shared" ca="1" si="121"/>
        <v>-6.9774527982507203E-2</v>
      </c>
      <c r="U616" s="12">
        <f t="shared" ca="1" si="131"/>
        <v>7900</v>
      </c>
      <c r="V616" s="14">
        <f t="shared" ca="1" si="132"/>
        <v>-2851.8987341772154</v>
      </c>
      <c r="W616" s="12">
        <f t="shared" ca="1" si="122"/>
        <v>-1774.6835443037974</v>
      </c>
      <c r="X616" s="7">
        <f ca="1">AVERAGE(E616:OFFSET(F616,-$X$5+1,0))</f>
        <v>8545</v>
      </c>
      <c r="Y616" s="7">
        <f ca="1">AVERAGE(E616:OFFSET(F616,-$Y$5+1,0))</f>
        <v>8441.5499999999993</v>
      </c>
      <c r="Z616" s="7">
        <f t="shared" ca="1" si="124"/>
        <v>0</v>
      </c>
    </row>
    <row r="617" spans="1:26">
      <c r="A617" s="3" t="s">
        <v>53</v>
      </c>
      <c r="B617" s="4">
        <v>42558</v>
      </c>
      <c r="C617" s="3">
        <v>8508</v>
      </c>
      <c r="D617" s="3">
        <v>8571</v>
      </c>
      <c r="E617" s="3">
        <v>8505</v>
      </c>
      <c r="F617" s="3">
        <v>8562</v>
      </c>
      <c r="G617" s="3">
        <v>99013</v>
      </c>
      <c r="H617" s="3">
        <v>1.0449999999999999</v>
      </c>
      <c r="I617" s="2">
        <f t="shared" si="133"/>
        <v>0</v>
      </c>
      <c r="J617" s="10">
        <f t="shared" si="135"/>
        <v>40</v>
      </c>
      <c r="K617" s="10">
        <f t="shared" si="134"/>
        <v>54</v>
      </c>
      <c r="L617" s="10">
        <f t="shared" ca="1" si="123"/>
        <v>0</v>
      </c>
      <c r="M617" s="10">
        <f t="shared" ca="1" si="125"/>
        <v>0</v>
      </c>
      <c r="N617" s="30">
        <f t="shared" ca="1" si="126"/>
        <v>0</v>
      </c>
      <c r="O617" s="10">
        <f t="shared" ca="1" si="127"/>
        <v>0</v>
      </c>
      <c r="P617" s="29">
        <f t="shared" ca="1" si="128"/>
        <v>0</v>
      </c>
      <c r="Q617" s="12">
        <f t="shared" ca="1" si="129"/>
        <v>-217400</v>
      </c>
      <c r="R617" s="10">
        <f t="shared" ca="1" si="130"/>
        <v>0</v>
      </c>
      <c r="S617" s="10">
        <f t="shared" ca="1" si="120"/>
        <v>0.44864082223627055</v>
      </c>
      <c r="T617" s="14">
        <f t="shared" ca="1" si="121"/>
        <v>-6.9685669654553889E-2</v>
      </c>
      <c r="U617" s="12">
        <f t="shared" ca="1" si="131"/>
        <v>7900</v>
      </c>
      <c r="V617" s="14">
        <f t="shared" ca="1" si="132"/>
        <v>-2851.8987341772154</v>
      </c>
      <c r="W617" s="12">
        <f t="shared" ca="1" si="122"/>
        <v>-1774.6835443037974</v>
      </c>
      <c r="X617" s="7">
        <f ca="1">AVERAGE(E617:OFFSET(F617,-$X$5+1,0))</f>
        <v>8555.9</v>
      </c>
      <c r="Y617" s="7">
        <f ca="1">AVERAGE(E617:OFFSET(F617,-$Y$5+1,0))</f>
        <v>8446.0499999999993</v>
      </c>
      <c r="Z617" s="7">
        <f t="shared" ca="1" si="124"/>
        <v>0</v>
      </c>
    </row>
    <row r="618" spans="1:26">
      <c r="A618" s="3" t="s">
        <v>53</v>
      </c>
      <c r="B618" s="4">
        <v>42562</v>
      </c>
      <c r="C618" s="3">
        <v>8683</v>
      </c>
      <c r="D618" s="3">
        <v>8748</v>
      </c>
      <c r="E618" s="3">
        <v>8677</v>
      </c>
      <c r="F618" s="3">
        <v>8736</v>
      </c>
      <c r="G618" s="3">
        <v>120241</v>
      </c>
      <c r="H618" s="3">
        <v>1.0449999999999999</v>
      </c>
      <c r="I618" s="2">
        <f t="shared" si="133"/>
        <v>0</v>
      </c>
      <c r="J618" s="10">
        <f t="shared" si="135"/>
        <v>121</v>
      </c>
      <c r="K618" s="10">
        <f t="shared" si="134"/>
        <v>53</v>
      </c>
      <c r="L618" s="10">
        <f t="shared" ca="1" si="123"/>
        <v>0</v>
      </c>
      <c r="M618" s="10">
        <f t="shared" ca="1" si="125"/>
        <v>0</v>
      </c>
      <c r="N618" s="30">
        <f t="shared" ca="1" si="126"/>
        <v>0</v>
      </c>
      <c r="O618" s="10">
        <f t="shared" ca="1" si="127"/>
        <v>0</v>
      </c>
      <c r="P618" s="29">
        <f t="shared" ca="1" si="128"/>
        <v>0</v>
      </c>
      <c r="Q618" s="12">
        <f t="shared" ca="1" si="129"/>
        <v>-217400</v>
      </c>
      <c r="R618" s="10">
        <f t="shared" ca="1" si="130"/>
        <v>0</v>
      </c>
      <c r="S618" s="10">
        <f t="shared" ca="1" si="120"/>
        <v>0.44864082223627055</v>
      </c>
      <c r="T618" s="14">
        <f t="shared" ca="1" si="121"/>
        <v>-6.9672180876973064E-2</v>
      </c>
      <c r="U618" s="12">
        <f t="shared" ca="1" si="131"/>
        <v>7900</v>
      </c>
      <c r="V618" s="14">
        <f t="shared" ca="1" si="132"/>
        <v>-2851.8987341772154</v>
      </c>
      <c r="W618" s="12">
        <f t="shared" ca="1" si="122"/>
        <v>-1774.6835443037974</v>
      </c>
      <c r="X618" s="7">
        <f ca="1">AVERAGE(E618:OFFSET(F618,-$X$5+1,0))</f>
        <v>8579.5</v>
      </c>
      <c r="Y618" s="7">
        <f ca="1">AVERAGE(E618:OFFSET(F618,-$Y$5+1,0))</f>
        <v>8497.85</v>
      </c>
      <c r="Z618" s="7">
        <f t="shared" ca="1" si="124"/>
        <v>0</v>
      </c>
    </row>
    <row r="619" spans="1:26">
      <c r="A619" s="3" t="s">
        <v>53</v>
      </c>
      <c r="B619" s="4">
        <v>42563</v>
      </c>
      <c r="C619" s="3">
        <v>8751</v>
      </c>
      <c r="D619" s="3">
        <v>8795</v>
      </c>
      <c r="E619" s="3">
        <v>8736</v>
      </c>
      <c r="F619" s="3">
        <v>8777</v>
      </c>
      <c r="G619" s="3">
        <v>108508</v>
      </c>
      <c r="H619" s="3">
        <v>1.0449999999999999</v>
      </c>
      <c r="I619" s="2">
        <f t="shared" si="133"/>
        <v>0</v>
      </c>
      <c r="J619" s="10">
        <f t="shared" si="135"/>
        <v>15</v>
      </c>
      <c r="K619" s="10">
        <f t="shared" si="134"/>
        <v>26</v>
      </c>
      <c r="L619" s="10">
        <f t="shared" ca="1" si="123"/>
        <v>0</v>
      </c>
      <c r="M619" s="10">
        <f t="shared" ca="1" si="125"/>
        <v>0</v>
      </c>
      <c r="N619" s="30">
        <f t="shared" ca="1" si="126"/>
        <v>0</v>
      </c>
      <c r="O619" s="10">
        <f t="shared" ca="1" si="127"/>
        <v>0</v>
      </c>
      <c r="P619" s="29">
        <f t="shared" ca="1" si="128"/>
        <v>0</v>
      </c>
      <c r="Q619" s="12">
        <f t="shared" ca="1" si="129"/>
        <v>-217400</v>
      </c>
      <c r="R619" s="10">
        <f t="shared" ca="1" si="130"/>
        <v>0</v>
      </c>
      <c r="S619" s="10">
        <f t="shared" ca="1" si="120"/>
        <v>0.44864082223627055</v>
      </c>
      <c r="T619" s="14">
        <f t="shared" ca="1" si="121"/>
        <v>-7.1024098416391943E-2</v>
      </c>
      <c r="U619" s="12">
        <f t="shared" ca="1" si="131"/>
        <v>7900</v>
      </c>
      <c r="V619" s="14">
        <f t="shared" ca="1" si="132"/>
        <v>-2851.8987341772154</v>
      </c>
      <c r="W619" s="12">
        <f t="shared" ca="1" si="122"/>
        <v>-1774.6835443037974</v>
      </c>
      <c r="X619" s="7">
        <f ca="1">AVERAGE(E619:OFFSET(F619,-$X$5+1,0))</f>
        <v>8608</v>
      </c>
      <c r="Y619" s="7">
        <f ca="1">AVERAGE(E619:OFFSET(F619,-$Y$5+1,0))</f>
        <v>8545.2999999999993</v>
      </c>
      <c r="Z619" s="7">
        <f t="shared" ca="1" si="124"/>
        <v>0</v>
      </c>
    </row>
    <row r="620" spans="1:26">
      <c r="A620" s="3" t="s">
        <v>53</v>
      </c>
      <c r="B620" s="4">
        <v>42564</v>
      </c>
      <c r="C620" s="3">
        <v>8825</v>
      </c>
      <c r="D620" s="3">
        <v>8837</v>
      </c>
      <c r="E620" s="3">
        <v>8726</v>
      </c>
      <c r="F620" s="3">
        <v>8793</v>
      </c>
      <c r="G620" s="3">
        <v>149460</v>
      </c>
      <c r="H620" s="3">
        <v>1.0449999999999999</v>
      </c>
      <c r="I620" s="2">
        <f t="shared" si="133"/>
        <v>0</v>
      </c>
      <c r="J620" s="10">
        <f t="shared" si="135"/>
        <v>48</v>
      </c>
      <c r="K620" s="10">
        <f t="shared" si="134"/>
        <v>-32</v>
      </c>
      <c r="L620" s="10">
        <f t="shared" ca="1" si="123"/>
        <v>0</v>
      </c>
      <c r="M620" s="10">
        <f t="shared" ca="1" si="125"/>
        <v>0</v>
      </c>
      <c r="N620" s="30">
        <f t="shared" ca="1" si="126"/>
        <v>0</v>
      </c>
      <c r="O620" s="10">
        <f t="shared" ca="1" si="127"/>
        <v>0</v>
      </c>
      <c r="P620" s="29">
        <f t="shared" ca="1" si="128"/>
        <v>0</v>
      </c>
      <c r="Q620" s="12">
        <f t="shared" ca="1" si="129"/>
        <v>-217400</v>
      </c>
      <c r="R620" s="10">
        <f t="shared" ca="1" si="130"/>
        <v>0</v>
      </c>
      <c r="S620" s="10">
        <f t="shared" ref="S620:S683" ca="1" si="136">100*SUM(P381:P620)/SUM(N381:N620)</f>
        <v>0.44864082223627055</v>
      </c>
      <c r="T620" s="14">
        <f t="shared" ca="1" si="121"/>
        <v>-7.092486625196269E-2</v>
      </c>
      <c r="U620" s="12">
        <f t="shared" ca="1" si="131"/>
        <v>7900</v>
      </c>
      <c r="V620" s="14">
        <f t="shared" ca="1" si="132"/>
        <v>-2851.8987341772154</v>
      </c>
      <c r="W620" s="12">
        <f t="shared" ca="1" si="122"/>
        <v>-1774.6835443037974</v>
      </c>
      <c r="X620" s="7">
        <f ca="1">AVERAGE(E620:OFFSET(F620,-$X$5+1,0))</f>
        <v>8642.2999999999993</v>
      </c>
      <c r="Y620" s="7">
        <f ca="1">AVERAGE(E620:OFFSET(F620,-$Y$5+1,0))</f>
        <v>8589.4500000000007</v>
      </c>
      <c r="Z620" s="7">
        <f t="shared" ca="1" si="124"/>
        <v>0</v>
      </c>
    </row>
    <row r="621" spans="1:26">
      <c r="A621" s="3" t="s">
        <v>53</v>
      </c>
      <c r="B621" s="4">
        <v>42565</v>
      </c>
      <c r="C621" s="3">
        <v>8800</v>
      </c>
      <c r="D621" s="3">
        <v>8841</v>
      </c>
      <c r="E621" s="3">
        <v>8769</v>
      </c>
      <c r="F621" s="3">
        <v>8813</v>
      </c>
      <c r="G621" s="3">
        <v>115361</v>
      </c>
      <c r="H621" s="3">
        <v>1.0449999999999999</v>
      </c>
      <c r="I621" s="2">
        <f t="shared" si="133"/>
        <v>0</v>
      </c>
      <c r="J621" s="10">
        <f t="shared" si="135"/>
        <v>7</v>
      </c>
      <c r="K621" s="10">
        <f t="shared" si="134"/>
        <v>13</v>
      </c>
      <c r="L621" s="10">
        <f t="shared" ca="1" si="123"/>
        <v>0</v>
      </c>
      <c r="M621" s="10">
        <f t="shared" ca="1" si="125"/>
        <v>0</v>
      </c>
      <c r="N621" s="30">
        <f t="shared" ca="1" si="126"/>
        <v>0</v>
      </c>
      <c r="O621" s="10">
        <f t="shared" ca="1" si="127"/>
        <v>0</v>
      </c>
      <c r="P621" s="29">
        <f t="shared" ca="1" si="128"/>
        <v>0</v>
      </c>
      <c r="Q621" s="12">
        <f t="shared" ca="1" si="129"/>
        <v>-217400</v>
      </c>
      <c r="R621" s="10">
        <f t="shared" ca="1" si="130"/>
        <v>0</v>
      </c>
      <c r="S621" s="10">
        <f t="shared" ca="1" si="136"/>
        <v>0.44864082223627055</v>
      </c>
      <c r="T621" s="14">
        <f t="shared" ref="T621:T684" ca="1" si="137">(S621-AVERAGE(H352:H621))/(_xlfn.STDEV.S(R352:R621)*SQRT(240))</f>
        <v>-7.0821964489864012E-2</v>
      </c>
      <c r="U621" s="12">
        <f t="shared" ca="1" si="131"/>
        <v>7900</v>
      </c>
      <c r="V621" s="14">
        <f t="shared" ca="1" si="132"/>
        <v>-2851.8987341772154</v>
      </c>
      <c r="W621" s="12">
        <f t="shared" ref="W621:W684" ca="1" si="138">MAX(V382:V621)</f>
        <v>-1774.6835443037974</v>
      </c>
      <c r="X621" s="7">
        <f ca="1">AVERAGE(E621:OFFSET(F621,-$X$5+1,0))</f>
        <v>8709.4</v>
      </c>
      <c r="Y621" s="7">
        <f ca="1">AVERAGE(E621:OFFSET(F621,-$Y$5+1,0))</f>
        <v>8627.2000000000007</v>
      </c>
      <c r="Z621" s="7">
        <f t="shared" ca="1" si="124"/>
        <v>0</v>
      </c>
    </row>
    <row r="622" spans="1:26">
      <c r="A622" s="3" t="s">
        <v>53</v>
      </c>
      <c r="B622" s="4">
        <v>42566</v>
      </c>
      <c r="C622" s="3">
        <v>8846</v>
      </c>
      <c r="D622" s="3">
        <v>8925</v>
      </c>
      <c r="E622" s="3">
        <v>8823</v>
      </c>
      <c r="F622" s="3">
        <v>8911</v>
      </c>
      <c r="G622" s="3">
        <v>135980</v>
      </c>
      <c r="H622" s="3">
        <v>1.0449999999999999</v>
      </c>
      <c r="I622" s="2">
        <f t="shared" si="133"/>
        <v>0</v>
      </c>
      <c r="J622" s="10">
        <f t="shared" si="135"/>
        <v>33</v>
      </c>
      <c r="K622" s="10">
        <f t="shared" si="134"/>
        <v>65</v>
      </c>
      <c r="L622" s="10">
        <f t="shared" ca="1" si="123"/>
        <v>0</v>
      </c>
      <c r="M622" s="10">
        <f t="shared" ca="1" si="125"/>
        <v>0</v>
      </c>
      <c r="N622" s="30">
        <f t="shared" ca="1" si="126"/>
        <v>0</v>
      </c>
      <c r="O622" s="10">
        <f t="shared" ca="1" si="127"/>
        <v>0</v>
      </c>
      <c r="P622" s="29">
        <f t="shared" ca="1" si="128"/>
        <v>0</v>
      </c>
      <c r="Q622" s="12">
        <f t="shared" ca="1" si="129"/>
        <v>-217400</v>
      </c>
      <c r="R622" s="10">
        <f t="shared" ca="1" si="130"/>
        <v>0</v>
      </c>
      <c r="S622" s="10">
        <f t="shared" ca="1" si="136"/>
        <v>0.44864082223627055</v>
      </c>
      <c r="T622" s="14">
        <f t="shared" ca="1" si="137"/>
        <v>-7.0719062727765361E-2</v>
      </c>
      <c r="U622" s="12">
        <f t="shared" ca="1" si="131"/>
        <v>7900</v>
      </c>
      <c r="V622" s="14">
        <f t="shared" ca="1" si="132"/>
        <v>-2851.8987341772154</v>
      </c>
      <c r="W622" s="12">
        <f t="shared" ca="1" si="138"/>
        <v>-1774.6835443037974</v>
      </c>
      <c r="X622" s="7">
        <f ca="1">AVERAGE(E622:OFFSET(F622,-$X$5+1,0))</f>
        <v>8776.1</v>
      </c>
      <c r="Y622" s="7">
        <f ca="1">AVERAGE(E622:OFFSET(F622,-$Y$5+1,0))</f>
        <v>8666</v>
      </c>
      <c r="Z622" s="7">
        <f t="shared" ca="1" si="124"/>
        <v>0</v>
      </c>
    </row>
    <row r="623" spans="1:26">
      <c r="A623" s="3" t="s">
        <v>53</v>
      </c>
      <c r="B623" s="4">
        <v>42569</v>
      </c>
      <c r="C623" s="3">
        <v>8918</v>
      </c>
      <c r="D623" s="3">
        <v>9001</v>
      </c>
      <c r="E623" s="3">
        <v>8912</v>
      </c>
      <c r="F623" s="3">
        <v>8998</v>
      </c>
      <c r="G623" s="3">
        <v>121872</v>
      </c>
      <c r="H623" s="3">
        <v>1.0449999999999999</v>
      </c>
      <c r="I623" s="2">
        <f t="shared" si="133"/>
        <v>0</v>
      </c>
      <c r="J623" s="10">
        <f t="shared" si="135"/>
        <v>7</v>
      </c>
      <c r="K623" s="10">
        <f t="shared" si="134"/>
        <v>80</v>
      </c>
      <c r="L623" s="10">
        <f t="shared" ca="1" si="123"/>
        <v>0</v>
      </c>
      <c r="M623" s="10">
        <f t="shared" ca="1" si="125"/>
        <v>0</v>
      </c>
      <c r="N623" s="30">
        <f t="shared" ca="1" si="126"/>
        <v>0</v>
      </c>
      <c r="O623" s="10">
        <f t="shared" ca="1" si="127"/>
        <v>0</v>
      </c>
      <c r="P623" s="29">
        <f t="shared" ca="1" si="128"/>
        <v>0</v>
      </c>
      <c r="Q623" s="12">
        <f t="shared" ca="1" si="129"/>
        <v>-217400</v>
      </c>
      <c r="R623" s="10">
        <f t="shared" ca="1" si="130"/>
        <v>0</v>
      </c>
      <c r="S623" s="10">
        <f t="shared" ca="1" si="136"/>
        <v>0.44864082223627055</v>
      </c>
      <c r="T623" s="14">
        <f t="shared" ca="1" si="137"/>
        <v>-7.0616160965666697E-2</v>
      </c>
      <c r="U623" s="12">
        <f t="shared" ca="1" si="131"/>
        <v>7900</v>
      </c>
      <c r="V623" s="14">
        <f t="shared" ca="1" si="132"/>
        <v>-2851.8987341772154</v>
      </c>
      <c r="W623" s="12">
        <f t="shared" ca="1" si="138"/>
        <v>-1774.6835443037974</v>
      </c>
      <c r="X623" s="7">
        <f ca="1">AVERAGE(E623:OFFSET(F623,-$X$5+1,0))</f>
        <v>8825.7999999999993</v>
      </c>
      <c r="Y623" s="7">
        <f ca="1">AVERAGE(E623:OFFSET(F623,-$Y$5+1,0))</f>
        <v>8702.65</v>
      </c>
      <c r="Z623" s="7">
        <f t="shared" ca="1" si="124"/>
        <v>0</v>
      </c>
    </row>
    <row r="624" spans="1:26">
      <c r="A624" s="3" t="s">
        <v>53</v>
      </c>
      <c r="B624" s="4">
        <v>42570</v>
      </c>
      <c r="C624" s="3">
        <v>9020</v>
      </c>
      <c r="D624" s="3">
        <v>9035</v>
      </c>
      <c r="E624" s="3">
        <v>8962</v>
      </c>
      <c r="F624" s="3">
        <v>9033</v>
      </c>
      <c r="G624" s="3">
        <v>135725</v>
      </c>
      <c r="H624" s="3">
        <v>1.0449999999999999</v>
      </c>
      <c r="I624" s="2">
        <f t="shared" si="133"/>
        <v>0</v>
      </c>
      <c r="J624" s="10">
        <f t="shared" si="135"/>
        <v>22</v>
      </c>
      <c r="K624" s="10">
        <f t="shared" si="134"/>
        <v>13</v>
      </c>
      <c r="L624" s="10">
        <f t="shared" ca="1" si="123"/>
        <v>0</v>
      </c>
      <c r="M624" s="10">
        <f t="shared" ca="1" si="125"/>
        <v>0</v>
      </c>
      <c r="N624" s="30">
        <f t="shared" ca="1" si="126"/>
        <v>0</v>
      </c>
      <c r="O624" s="10">
        <f t="shared" ca="1" si="127"/>
        <v>0</v>
      </c>
      <c r="P624" s="29">
        <f t="shared" ca="1" si="128"/>
        <v>0</v>
      </c>
      <c r="Q624" s="12">
        <f t="shared" ca="1" si="129"/>
        <v>-217400</v>
      </c>
      <c r="R624" s="10">
        <f t="shared" ca="1" si="130"/>
        <v>0</v>
      </c>
      <c r="S624" s="10">
        <f t="shared" ca="1" si="136"/>
        <v>0.44864082223627055</v>
      </c>
      <c r="T624" s="14">
        <f t="shared" ca="1" si="137"/>
        <v>-7.0513259203568004E-2</v>
      </c>
      <c r="U624" s="12">
        <f t="shared" ca="1" si="131"/>
        <v>7900</v>
      </c>
      <c r="V624" s="14">
        <f t="shared" ca="1" si="132"/>
        <v>-2851.8987341772154</v>
      </c>
      <c r="W624" s="12">
        <f t="shared" ca="1" si="138"/>
        <v>-1774.6835443037974</v>
      </c>
      <c r="X624" s="7">
        <f ca="1">AVERAGE(E624:OFFSET(F624,-$X$5+1,0))</f>
        <v>8874</v>
      </c>
      <c r="Y624" s="7">
        <f ca="1">AVERAGE(E624:OFFSET(F624,-$Y$5+1,0))</f>
        <v>8741</v>
      </c>
      <c r="Z624" s="7">
        <f t="shared" ca="1" si="124"/>
        <v>0</v>
      </c>
    </row>
    <row r="625" spans="1:26">
      <c r="A625" s="3" t="s">
        <v>53</v>
      </c>
      <c r="B625" s="4">
        <v>42571</v>
      </c>
      <c r="C625" s="3">
        <v>9010</v>
      </c>
      <c r="D625" s="3">
        <v>9042</v>
      </c>
      <c r="E625" s="3">
        <v>8972</v>
      </c>
      <c r="F625" s="3">
        <v>9003</v>
      </c>
      <c r="G625" s="3">
        <v>94642</v>
      </c>
      <c r="H625" s="3">
        <v>1.0449999999999999</v>
      </c>
      <c r="I625" s="2">
        <f t="shared" si="133"/>
        <v>1</v>
      </c>
      <c r="J625" s="10">
        <f t="shared" si="135"/>
        <v>-23</v>
      </c>
      <c r="K625" s="10">
        <f t="shared" si="134"/>
        <v>-7</v>
      </c>
      <c r="L625" s="10">
        <f t="shared" ca="1" si="123"/>
        <v>0</v>
      </c>
      <c r="M625" s="10">
        <f t="shared" si="125"/>
        <v>0</v>
      </c>
      <c r="N625" s="30">
        <f t="shared" si="126"/>
        <v>0</v>
      </c>
      <c r="O625" s="10">
        <f t="shared" si="127"/>
        <v>0</v>
      </c>
      <c r="P625" s="29">
        <f t="shared" ca="1" si="128"/>
        <v>0</v>
      </c>
      <c r="Q625" s="12">
        <f t="shared" ca="1" si="129"/>
        <v>-217400</v>
      </c>
      <c r="R625" s="10">
        <f t="shared" ca="1" si="130"/>
        <v>0</v>
      </c>
      <c r="S625" s="10">
        <f t="shared" ca="1" si="136"/>
        <v>0.44864082223627055</v>
      </c>
      <c r="T625" s="14">
        <f t="shared" ca="1" si="137"/>
        <v>-7.0410357441469326E-2</v>
      </c>
      <c r="U625" s="12">
        <f t="shared" ca="1" si="131"/>
        <v>7900</v>
      </c>
      <c r="V625" s="14">
        <f t="shared" ca="1" si="132"/>
        <v>-2851.8987341772154</v>
      </c>
      <c r="W625" s="12">
        <f t="shared" ca="1" si="138"/>
        <v>-1774.6835443037974</v>
      </c>
      <c r="X625" s="7">
        <f ca="1">AVERAGE(E625:OFFSET(F625,-$X$5+1,0))</f>
        <v>8919.6</v>
      </c>
      <c r="Y625" s="7">
        <f ca="1">AVERAGE(E625:OFFSET(F625,-$Y$5+1,0))</f>
        <v>8780.9500000000007</v>
      </c>
      <c r="Z625" s="7">
        <f t="shared" ca="1" si="124"/>
        <v>0</v>
      </c>
    </row>
    <row r="626" spans="1:26">
      <c r="A626" s="3" t="s">
        <v>54</v>
      </c>
      <c r="B626" s="4">
        <v>42572</v>
      </c>
      <c r="C626" s="3">
        <v>8922</v>
      </c>
      <c r="D626" s="3">
        <v>9009</v>
      </c>
      <c r="E626" s="3">
        <v>8916</v>
      </c>
      <c r="F626" s="3">
        <v>8984</v>
      </c>
      <c r="G626" s="3">
        <v>120520</v>
      </c>
      <c r="H626" s="3">
        <v>1.0449999999999999</v>
      </c>
      <c r="I626" s="2">
        <f t="shared" si="133"/>
        <v>0</v>
      </c>
      <c r="J626" s="10">
        <f t="shared" si="135"/>
        <v>-81</v>
      </c>
      <c r="K626" s="10">
        <f t="shared" si="134"/>
        <v>62</v>
      </c>
      <c r="L626" s="10">
        <f t="shared" ca="1" si="123"/>
        <v>0</v>
      </c>
      <c r="M626" s="10">
        <f t="shared" ca="1" si="125"/>
        <v>0</v>
      </c>
      <c r="N626" s="30">
        <f t="shared" ca="1" si="126"/>
        <v>0</v>
      </c>
      <c r="O626" s="10">
        <f t="shared" ca="1" si="127"/>
        <v>0</v>
      </c>
      <c r="P626" s="29">
        <f t="shared" ca="1" si="128"/>
        <v>0</v>
      </c>
      <c r="Q626" s="12">
        <f t="shared" ca="1" si="129"/>
        <v>-217400</v>
      </c>
      <c r="R626" s="10">
        <f t="shared" ca="1" si="130"/>
        <v>0</v>
      </c>
      <c r="S626" s="10">
        <f t="shared" ca="1" si="136"/>
        <v>0.44864082223627055</v>
      </c>
      <c r="T626" s="14">
        <f t="shared" ca="1" si="137"/>
        <v>-7.0307455679370662E-2</v>
      </c>
      <c r="U626" s="12">
        <f t="shared" ca="1" si="131"/>
        <v>7900</v>
      </c>
      <c r="V626" s="14">
        <f t="shared" ca="1" si="132"/>
        <v>-2851.8987341772154</v>
      </c>
      <c r="W626" s="12">
        <f t="shared" ca="1" si="138"/>
        <v>-1774.6835443037974</v>
      </c>
      <c r="X626" s="7">
        <f ca="1">AVERAGE(E626:OFFSET(F626,-$X$5+1,0))</f>
        <v>8951.4</v>
      </c>
      <c r="Y626" s="7">
        <f ca="1">AVERAGE(E626:OFFSET(F626,-$Y$5+1,0))</f>
        <v>8830.4</v>
      </c>
      <c r="Z626" s="7">
        <f t="shared" ca="1" si="124"/>
        <v>0</v>
      </c>
    </row>
    <row r="627" spans="1:26">
      <c r="A627" s="3" t="s">
        <v>54</v>
      </c>
      <c r="B627" s="4">
        <v>42573</v>
      </c>
      <c r="C627" s="3">
        <v>8965</v>
      </c>
      <c r="D627" s="3">
        <v>8984</v>
      </c>
      <c r="E627" s="3">
        <v>8925</v>
      </c>
      <c r="F627" s="3">
        <v>8925</v>
      </c>
      <c r="G627" s="3">
        <v>108745</v>
      </c>
      <c r="H627" s="3">
        <v>1.0449999999999999</v>
      </c>
      <c r="I627" s="2">
        <f t="shared" si="133"/>
        <v>0</v>
      </c>
      <c r="J627" s="10">
        <f t="shared" si="135"/>
        <v>-19</v>
      </c>
      <c r="K627" s="10">
        <f t="shared" si="134"/>
        <v>-40</v>
      </c>
      <c r="L627" s="10">
        <f t="shared" ca="1" si="123"/>
        <v>0</v>
      </c>
      <c r="M627" s="10">
        <f t="shared" ca="1" si="125"/>
        <v>0</v>
      </c>
      <c r="N627" s="30">
        <f t="shared" ca="1" si="126"/>
        <v>0</v>
      </c>
      <c r="O627" s="10">
        <f t="shared" ca="1" si="127"/>
        <v>0</v>
      </c>
      <c r="P627" s="29">
        <f t="shared" ca="1" si="128"/>
        <v>0</v>
      </c>
      <c r="Q627" s="12">
        <f t="shared" ca="1" si="129"/>
        <v>-217400</v>
      </c>
      <c r="R627" s="10">
        <f t="shared" ca="1" si="130"/>
        <v>0</v>
      </c>
      <c r="S627" s="10">
        <f t="shared" ca="1" si="136"/>
        <v>0.44864082223627055</v>
      </c>
      <c r="T627" s="14">
        <f t="shared" ca="1" si="137"/>
        <v>-7.0204553917271983E-2</v>
      </c>
      <c r="U627" s="12">
        <f t="shared" ca="1" si="131"/>
        <v>7900</v>
      </c>
      <c r="V627" s="14">
        <f t="shared" ca="1" si="132"/>
        <v>-2851.8987341772154</v>
      </c>
      <c r="W627" s="12">
        <f t="shared" ca="1" si="138"/>
        <v>-1774.6835443037974</v>
      </c>
      <c r="X627" s="7">
        <f ca="1">AVERAGE(E627:OFFSET(F627,-$X$5+1,0))</f>
        <v>8963</v>
      </c>
      <c r="Y627" s="7">
        <f ca="1">AVERAGE(E627:OFFSET(F627,-$Y$5+1,0))</f>
        <v>8869.5499999999993</v>
      </c>
      <c r="Z627" s="7">
        <f t="shared" ca="1" si="124"/>
        <v>0</v>
      </c>
    </row>
    <row r="628" spans="1:26">
      <c r="A628" s="3" t="s">
        <v>54</v>
      </c>
      <c r="B628" s="4">
        <v>42576</v>
      </c>
      <c r="C628" s="3">
        <v>8967</v>
      </c>
      <c r="D628" s="3">
        <v>9027</v>
      </c>
      <c r="E628" s="3">
        <v>8803</v>
      </c>
      <c r="F628" s="3">
        <v>8891</v>
      </c>
      <c r="G628" s="3">
        <v>175723</v>
      </c>
      <c r="H628" s="3">
        <v>1.0449999999999999</v>
      </c>
      <c r="I628" s="2">
        <f t="shared" si="133"/>
        <v>0</v>
      </c>
      <c r="J628" s="10">
        <f t="shared" si="135"/>
        <v>42</v>
      </c>
      <c r="K628" s="10">
        <f t="shared" si="134"/>
        <v>-76</v>
      </c>
      <c r="L628" s="10">
        <f t="shared" ca="1" si="123"/>
        <v>0</v>
      </c>
      <c r="M628" s="10">
        <f t="shared" ca="1" si="125"/>
        <v>0</v>
      </c>
      <c r="N628" s="30">
        <f t="shared" ca="1" si="126"/>
        <v>0</v>
      </c>
      <c r="O628" s="10">
        <f t="shared" ca="1" si="127"/>
        <v>0</v>
      </c>
      <c r="P628" s="29">
        <f t="shared" ca="1" si="128"/>
        <v>0</v>
      </c>
      <c r="Q628" s="12">
        <f t="shared" ca="1" si="129"/>
        <v>-217400</v>
      </c>
      <c r="R628" s="10">
        <f t="shared" ca="1" si="130"/>
        <v>0</v>
      </c>
      <c r="S628" s="10">
        <f t="shared" ca="1" si="136"/>
        <v>0.44864082223627055</v>
      </c>
      <c r="T628" s="14">
        <f t="shared" ca="1" si="137"/>
        <v>-7.0101652155173333E-2</v>
      </c>
      <c r="U628" s="12">
        <f t="shared" ca="1" si="131"/>
        <v>7900</v>
      </c>
      <c r="V628" s="14">
        <f t="shared" ca="1" si="132"/>
        <v>-2851.8987341772154</v>
      </c>
      <c r="W628" s="12">
        <f t="shared" ca="1" si="138"/>
        <v>-1774.6835443037974</v>
      </c>
      <c r="X628" s="7">
        <f ca="1">AVERAGE(E628:OFFSET(F628,-$X$5+1,0))</f>
        <v>8941.4</v>
      </c>
      <c r="Y628" s="7">
        <f ca="1">AVERAGE(E628:OFFSET(F628,-$Y$5+1,0))</f>
        <v>8883.6</v>
      </c>
      <c r="Z628" s="7">
        <f t="shared" ca="1" si="124"/>
        <v>0</v>
      </c>
    </row>
    <row r="629" spans="1:26">
      <c r="A629" s="3" t="s">
        <v>54</v>
      </c>
      <c r="B629" s="4">
        <v>42577</v>
      </c>
      <c r="C629" s="3">
        <v>8871</v>
      </c>
      <c r="D629" s="3">
        <v>8970</v>
      </c>
      <c r="E629" s="3">
        <v>8862</v>
      </c>
      <c r="F629" s="3">
        <v>8965</v>
      </c>
      <c r="G629" s="3">
        <v>121917</v>
      </c>
      <c r="H629" s="3">
        <v>1.0449999999999999</v>
      </c>
      <c r="I629" s="2">
        <f t="shared" si="133"/>
        <v>0</v>
      </c>
      <c r="J629" s="10">
        <f t="shared" si="135"/>
        <v>-20</v>
      </c>
      <c r="K629" s="10">
        <f t="shared" si="134"/>
        <v>94</v>
      </c>
      <c r="L629" s="10">
        <f t="shared" ca="1" si="123"/>
        <v>0</v>
      </c>
      <c r="M629" s="10">
        <f t="shared" ca="1" si="125"/>
        <v>0</v>
      </c>
      <c r="N629" s="30">
        <f t="shared" ca="1" si="126"/>
        <v>0</v>
      </c>
      <c r="O629" s="10">
        <f t="shared" ca="1" si="127"/>
        <v>0</v>
      </c>
      <c r="P629" s="29">
        <f t="shared" ca="1" si="128"/>
        <v>0</v>
      </c>
      <c r="Q629" s="12">
        <f t="shared" ca="1" si="129"/>
        <v>-217400</v>
      </c>
      <c r="R629" s="10">
        <f t="shared" ca="1" si="130"/>
        <v>0</v>
      </c>
      <c r="S629" s="10">
        <f t="shared" ca="1" si="136"/>
        <v>0.44864082223627055</v>
      </c>
      <c r="T629" s="14">
        <f t="shared" ca="1" si="137"/>
        <v>-6.9998750393074669E-2</v>
      </c>
      <c r="U629" s="12">
        <f t="shared" ca="1" si="131"/>
        <v>7900</v>
      </c>
      <c r="V629" s="14">
        <f t="shared" ca="1" si="132"/>
        <v>-2851.8987341772154</v>
      </c>
      <c r="W629" s="12">
        <f t="shared" ca="1" si="138"/>
        <v>-1774.6835443037974</v>
      </c>
      <c r="X629" s="7">
        <f ca="1">AVERAGE(E629:OFFSET(F629,-$X$5+1,0))</f>
        <v>8924.6</v>
      </c>
      <c r="Y629" s="7">
        <f ca="1">AVERAGE(E629:OFFSET(F629,-$Y$5+1,0))</f>
        <v>8899.2999999999993</v>
      </c>
      <c r="Z629" s="7">
        <f t="shared" ca="1" si="124"/>
        <v>0</v>
      </c>
    </row>
    <row r="630" spans="1:26">
      <c r="A630" s="3" t="s">
        <v>54</v>
      </c>
      <c r="B630" s="4">
        <v>42578</v>
      </c>
      <c r="C630" s="3">
        <v>9016</v>
      </c>
      <c r="D630" s="3">
        <v>9049</v>
      </c>
      <c r="E630" s="3">
        <v>8952</v>
      </c>
      <c r="F630" s="3">
        <v>8976</v>
      </c>
      <c r="G630" s="3">
        <v>150067</v>
      </c>
      <c r="H630" s="3">
        <v>1.0449999999999999</v>
      </c>
      <c r="I630" s="2">
        <f t="shared" si="133"/>
        <v>0</v>
      </c>
      <c r="J630" s="10">
        <f t="shared" si="135"/>
        <v>51</v>
      </c>
      <c r="K630" s="10">
        <f t="shared" si="134"/>
        <v>-40</v>
      </c>
      <c r="L630" s="10">
        <f t="shared" ca="1" si="123"/>
        <v>0</v>
      </c>
      <c r="M630" s="10">
        <f t="shared" ca="1" si="125"/>
        <v>0</v>
      </c>
      <c r="N630" s="30">
        <f t="shared" ca="1" si="126"/>
        <v>0</v>
      </c>
      <c r="O630" s="10">
        <f t="shared" ca="1" si="127"/>
        <v>0</v>
      </c>
      <c r="P630" s="29">
        <f t="shared" ca="1" si="128"/>
        <v>0</v>
      </c>
      <c r="Q630" s="12">
        <f t="shared" ca="1" si="129"/>
        <v>-217400</v>
      </c>
      <c r="R630" s="10">
        <f t="shared" ca="1" si="130"/>
        <v>0</v>
      </c>
      <c r="S630" s="10">
        <f t="shared" ca="1" si="136"/>
        <v>0.44864082223627055</v>
      </c>
      <c r="T630" s="14">
        <f t="shared" ca="1" si="137"/>
        <v>-6.989584863097599E-2</v>
      </c>
      <c r="U630" s="12">
        <f t="shared" ca="1" si="131"/>
        <v>7900</v>
      </c>
      <c r="V630" s="14">
        <f t="shared" ca="1" si="132"/>
        <v>-2851.8987341772154</v>
      </c>
      <c r="W630" s="12">
        <f t="shared" ca="1" si="138"/>
        <v>-1774.6835443037974</v>
      </c>
      <c r="X630" s="7">
        <f ca="1">AVERAGE(E630:OFFSET(F630,-$X$5+1,0))</f>
        <v>8919.9</v>
      </c>
      <c r="Y630" s="7">
        <f ca="1">AVERAGE(E630:OFFSET(F630,-$Y$5+1,0))</f>
        <v>8919.75</v>
      </c>
      <c r="Z630" s="7">
        <f t="shared" ca="1" si="124"/>
        <v>0</v>
      </c>
    </row>
    <row r="631" spans="1:26">
      <c r="A631" s="3" t="s">
        <v>54</v>
      </c>
      <c r="B631" s="4">
        <v>42579</v>
      </c>
      <c r="C631" s="3">
        <v>8982</v>
      </c>
      <c r="D631" s="3">
        <v>9027</v>
      </c>
      <c r="E631" s="3">
        <v>8926</v>
      </c>
      <c r="F631" s="3">
        <v>8981</v>
      </c>
      <c r="G631" s="3">
        <v>124950</v>
      </c>
      <c r="H631" s="3">
        <v>1.0449999999999999</v>
      </c>
      <c r="I631" s="2">
        <f t="shared" si="133"/>
        <v>0</v>
      </c>
      <c r="J631" s="10">
        <f t="shared" si="135"/>
        <v>6</v>
      </c>
      <c r="K631" s="10">
        <f t="shared" si="134"/>
        <v>-1</v>
      </c>
      <c r="L631" s="10">
        <f t="shared" ca="1" si="123"/>
        <v>-1</v>
      </c>
      <c r="M631" s="10">
        <f t="shared" ca="1" si="125"/>
        <v>0</v>
      </c>
      <c r="N631" s="30">
        <f t="shared" ca="1" si="126"/>
        <v>0</v>
      </c>
      <c r="O631" s="10">
        <f t="shared" ca="1" si="127"/>
        <v>0</v>
      </c>
      <c r="P631" s="29">
        <f t="shared" ca="1" si="128"/>
        <v>0</v>
      </c>
      <c r="Q631" s="12">
        <f t="shared" ca="1" si="129"/>
        <v>-217400</v>
      </c>
      <c r="R631" s="10">
        <f t="shared" ca="1" si="130"/>
        <v>0</v>
      </c>
      <c r="S631" s="10">
        <f t="shared" ca="1" si="136"/>
        <v>0.44864082223627055</v>
      </c>
      <c r="T631" s="14">
        <f t="shared" ca="1" si="137"/>
        <v>-6.9792946868877326E-2</v>
      </c>
      <c r="U631" s="12">
        <f t="shared" ca="1" si="131"/>
        <v>7900</v>
      </c>
      <c r="V631" s="14">
        <f t="shared" ca="1" si="132"/>
        <v>-2851.8987341772154</v>
      </c>
      <c r="W631" s="12">
        <f t="shared" ca="1" si="138"/>
        <v>-1774.6835443037974</v>
      </c>
      <c r="X631" s="7">
        <f ca="1">AVERAGE(E631:OFFSET(F631,-$X$5+1,0))</f>
        <v>8920.6</v>
      </c>
      <c r="Y631" s="7">
        <f ca="1">AVERAGE(E631:OFFSET(F631,-$Y$5+1,0))</f>
        <v>8936</v>
      </c>
      <c r="Z631" s="7">
        <f t="shared" ca="1" si="124"/>
        <v>-1</v>
      </c>
    </row>
    <row r="632" spans="1:26">
      <c r="A632" s="3" t="s">
        <v>54</v>
      </c>
      <c r="B632" s="4">
        <v>42580</v>
      </c>
      <c r="C632" s="3">
        <v>9003</v>
      </c>
      <c r="D632" s="3">
        <v>9014</v>
      </c>
      <c r="E632" s="3">
        <v>8889</v>
      </c>
      <c r="F632" s="3">
        <v>8893</v>
      </c>
      <c r="G632" s="3">
        <v>153817</v>
      </c>
      <c r="H632" s="3">
        <v>1.0449999999999999</v>
      </c>
      <c r="I632" s="2">
        <f t="shared" si="133"/>
        <v>0</v>
      </c>
      <c r="J632" s="10">
        <f t="shared" si="135"/>
        <v>22</v>
      </c>
      <c r="K632" s="10">
        <f t="shared" si="134"/>
        <v>-110</v>
      </c>
      <c r="L632" s="10">
        <f t="shared" ca="1" si="123"/>
        <v>0</v>
      </c>
      <c r="M632" s="10">
        <f t="shared" ca="1" si="125"/>
        <v>-1</v>
      </c>
      <c r="N632" s="30">
        <f t="shared" ca="1" si="126"/>
        <v>0</v>
      </c>
      <c r="O632" s="10">
        <f t="shared" ca="1" si="127"/>
        <v>1800600</v>
      </c>
      <c r="P632" s="29">
        <f t="shared" ca="1" si="128"/>
        <v>21500</v>
      </c>
      <c r="Q632" s="12">
        <f t="shared" ca="1" si="129"/>
        <v>-195900</v>
      </c>
      <c r="R632" s="10">
        <f t="shared" ca="1" si="130"/>
        <v>1.1940464289681216</v>
      </c>
      <c r="S632" s="10">
        <f t="shared" ca="1" si="136"/>
        <v>0.66786304219263004</v>
      </c>
      <c r="T632" s="14">
        <f t="shared" ca="1" si="137"/>
        <v>-4.9788711950069266E-2</v>
      </c>
      <c r="U632" s="12">
        <f t="shared" ca="1" si="131"/>
        <v>7900</v>
      </c>
      <c r="V632" s="14">
        <f t="shared" ca="1" si="132"/>
        <v>-2579.746835443038</v>
      </c>
      <c r="W632" s="12">
        <f t="shared" ca="1" si="138"/>
        <v>-1774.6835443037974</v>
      </c>
      <c r="X632" s="7">
        <f ca="1">AVERAGE(E632:OFFSET(F632,-$X$5+1,0))</f>
        <v>8913.7999999999993</v>
      </c>
      <c r="Y632" s="7">
        <f ca="1">AVERAGE(E632:OFFSET(F632,-$Y$5+1,0))</f>
        <v>8938.4</v>
      </c>
      <c r="Z632" s="7">
        <f t="shared" ca="1" si="124"/>
        <v>0</v>
      </c>
    </row>
    <row r="633" spans="1:26">
      <c r="A633" s="3" t="s">
        <v>54</v>
      </c>
      <c r="B633" s="4">
        <v>42583</v>
      </c>
      <c r="C633" s="3">
        <v>8940</v>
      </c>
      <c r="D633" s="3">
        <v>9043</v>
      </c>
      <c r="E633" s="3">
        <v>8936</v>
      </c>
      <c r="F633" s="3">
        <v>9041</v>
      </c>
      <c r="G633" s="3">
        <v>121841</v>
      </c>
      <c r="H633" s="3">
        <v>1.0449999999999999</v>
      </c>
      <c r="I633" s="2">
        <f t="shared" si="133"/>
        <v>0</v>
      </c>
      <c r="J633" s="10">
        <f t="shared" si="135"/>
        <v>47</v>
      </c>
      <c r="K633" s="10">
        <f t="shared" si="134"/>
        <v>101</v>
      </c>
      <c r="L633" s="10">
        <f t="shared" ca="1" si="123"/>
        <v>1</v>
      </c>
      <c r="M633" s="10">
        <f t="shared" ca="1" si="125"/>
        <v>-1</v>
      </c>
      <c r="N633" s="30">
        <f t="shared" ca="1" si="126"/>
        <v>0</v>
      </c>
      <c r="O633" s="10">
        <f t="shared" ca="1" si="127"/>
        <v>1800600</v>
      </c>
      <c r="P633" s="29">
        <f t="shared" ca="1" si="128"/>
        <v>-29600</v>
      </c>
      <c r="Q633" s="12">
        <f t="shared" ca="1" si="129"/>
        <v>-225500</v>
      </c>
      <c r="R633" s="10">
        <f t="shared" ca="1" si="130"/>
        <v>-1.6438964789514605</v>
      </c>
      <c r="S633" s="10">
        <f t="shared" ca="1" si="136"/>
        <v>0.36605012541550258</v>
      </c>
      <c r="T633" s="14">
        <f t="shared" ca="1" si="137"/>
        <v>-7.5875815573348201E-2</v>
      </c>
      <c r="U633" s="12">
        <f t="shared" ca="1" si="131"/>
        <v>7900</v>
      </c>
      <c r="V633" s="14">
        <f t="shared" ca="1" si="132"/>
        <v>-2954.4303797468356</v>
      </c>
      <c r="W633" s="12">
        <f t="shared" ca="1" si="138"/>
        <v>-1774.6835443037974</v>
      </c>
      <c r="X633" s="7">
        <f ca="1">AVERAGE(E633:OFFSET(F633,-$X$5+1,0))</f>
        <v>8942.1</v>
      </c>
      <c r="Y633" s="7">
        <f ca="1">AVERAGE(E633:OFFSET(F633,-$Y$5+1,0))</f>
        <v>8941.75</v>
      </c>
      <c r="Z633" s="7">
        <f t="shared" ca="1" si="124"/>
        <v>1</v>
      </c>
    </row>
    <row r="634" spans="1:26">
      <c r="A634" s="3" t="s">
        <v>54</v>
      </c>
      <c r="B634" s="4">
        <v>42584</v>
      </c>
      <c r="C634" s="3">
        <v>9014</v>
      </c>
      <c r="D634" s="3">
        <v>9035</v>
      </c>
      <c r="E634" s="3">
        <v>8993</v>
      </c>
      <c r="F634" s="3">
        <v>9015</v>
      </c>
      <c r="G634" s="3">
        <v>84612</v>
      </c>
      <c r="H634" s="3">
        <v>1.0449999999999999</v>
      </c>
      <c r="I634" s="2">
        <f t="shared" si="133"/>
        <v>0</v>
      </c>
      <c r="J634" s="10">
        <f t="shared" si="135"/>
        <v>-27</v>
      </c>
      <c r="K634" s="10">
        <f t="shared" si="134"/>
        <v>1</v>
      </c>
      <c r="L634" s="10">
        <f t="shared" ca="1" si="123"/>
        <v>0</v>
      </c>
      <c r="M634" s="10">
        <f t="shared" ca="1" si="125"/>
        <v>0</v>
      </c>
      <c r="N634" s="30">
        <f t="shared" ca="1" si="126"/>
        <v>0</v>
      </c>
      <c r="O634" s="10">
        <f t="shared" ca="1" si="127"/>
        <v>0</v>
      </c>
      <c r="P634" s="29">
        <f t="shared" ca="1" si="128"/>
        <v>4900</v>
      </c>
      <c r="Q634" s="12">
        <f t="shared" ca="1" si="129"/>
        <v>-220600</v>
      </c>
      <c r="R634" s="10">
        <f t="shared" ca="1" si="130"/>
        <v>0.27213151171831612</v>
      </c>
      <c r="S634" s="10">
        <f t="shared" ca="1" si="136"/>
        <v>0.41601239880090546</v>
      </c>
      <c r="T634" s="14">
        <f t="shared" ca="1" si="137"/>
        <v>-7.1342489667058001E-2</v>
      </c>
      <c r="U634" s="12">
        <f t="shared" ca="1" si="131"/>
        <v>7900</v>
      </c>
      <c r="V634" s="14">
        <f t="shared" ca="1" si="132"/>
        <v>-2892.4050632911394</v>
      </c>
      <c r="W634" s="12">
        <f t="shared" ca="1" si="138"/>
        <v>-1774.6835443037974</v>
      </c>
      <c r="X634" s="7">
        <f ca="1">AVERAGE(E634:OFFSET(F634,-$X$5+1,0))</f>
        <v>8960.2000000000007</v>
      </c>
      <c r="Y634" s="7">
        <f ca="1">AVERAGE(E634:OFFSET(F634,-$Y$5+1,0))</f>
        <v>8942.4</v>
      </c>
      <c r="Z634" s="7">
        <f t="shared" ca="1" si="124"/>
        <v>0</v>
      </c>
    </row>
    <row r="635" spans="1:26">
      <c r="A635" s="3" t="s">
        <v>54</v>
      </c>
      <c r="B635" s="4">
        <v>42585</v>
      </c>
      <c r="C635" s="3">
        <v>8914</v>
      </c>
      <c r="D635" s="3">
        <v>8972</v>
      </c>
      <c r="E635" s="3">
        <v>8861</v>
      </c>
      <c r="F635" s="3">
        <v>8933</v>
      </c>
      <c r="G635" s="3">
        <v>141402</v>
      </c>
      <c r="H635" s="3">
        <v>1.0449999999999999</v>
      </c>
      <c r="I635" s="2">
        <f t="shared" si="133"/>
        <v>0</v>
      </c>
      <c r="J635" s="10">
        <f t="shared" si="135"/>
        <v>-101</v>
      </c>
      <c r="K635" s="10">
        <f t="shared" si="134"/>
        <v>19</v>
      </c>
      <c r="L635" s="10">
        <f t="shared" ca="1" si="123"/>
        <v>0</v>
      </c>
      <c r="M635" s="10">
        <f t="shared" ca="1" si="125"/>
        <v>0</v>
      </c>
      <c r="N635" s="30">
        <f t="shared" ca="1" si="126"/>
        <v>0</v>
      </c>
      <c r="O635" s="10">
        <f t="shared" ca="1" si="127"/>
        <v>0</v>
      </c>
      <c r="P635" s="29">
        <f t="shared" ca="1" si="128"/>
        <v>0</v>
      </c>
      <c r="Q635" s="12">
        <f t="shared" ca="1" si="129"/>
        <v>-220600</v>
      </c>
      <c r="R635" s="10">
        <f t="shared" ca="1" si="130"/>
        <v>0</v>
      </c>
      <c r="S635" s="10">
        <f t="shared" ca="1" si="136"/>
        <v>0.41601239880090546</v>
      </c>
      <c r="T635" s="14">
        <f t="shared" ca="1" si="137"/>
        <v>-7.1344542948772835E-2</v>
      </c>
      <c r="U635" s="12">
        <f t="shared" ca="1" si="131"/>
        <v>7900</v>
      </c>
      <c r="V635" s="14">
        <f t="shared" ca="1" si="132"/>
        <v>-2892.4050632911394</v>
      </c>
      <c r="W635" s="12">
        <f t="shared" ca="1" si="138"/>
        <v>-1774.6835443037974</v>
      </c>
      <c r="X635" s="7">
        <f ca="1">AVERAGE(E635:OFFSET(F635,-$X$5+1,0))</f>
        <v>8946.7999999999993</v>
      </c>
      <c r="Y635" s="7">
        <f ca="1">AVERAGE(E635:OFFSET(F635,-$Y$5+1,0))</f>
        <v>8933.35</v>
      </c>
      <c r="Z635" s="7">
        <f t="shared" ca="1" si="124"/>
        <v>0</v>
      </c>
    </row>
    <row r="636" spans="1:26">
      <c r="A636" s="3" t="s">
        <v>54</v>
      </c>
      <c r="B636" s="4">
        <v>42586</v>
      </c>
      <c r="C636" s="3">
        <v>8990</v>
      </c>
      <c r="D636" s="3">
        <v>8992</v>
      </c>
      <c r="E636" s="3">
        <v>8891</v>
      </c>
      <c r="F636" s="3">
        <v>8971</v>
      </c>
      <c r="G636" s="3">
        <v>125262</v>
      </c>
      <c r="H636" s="3">
        <v>1.0449999999999999</v>
      </c>
      <c r="I636" s="2">
        <f t="shared" si="133"/>
        <v>0</v>
      </c>
      <c r="J636" s="10">
        <f t="shared" si="135"/>
        <v>57</v>
      </c>
      <c r="K636" s="10">
        <f t="shared" si="134"/>
        <v>-19</v>
      </c>
      <c r="L636" s="10">
        <f t="shared" ca="1" si="123"/>
        <v>0</v>
      </c>
      <c r="M636" s="10">
        <f t="shared" ca="1" si="125"/>
        <v>0</v>
      </c>
      <c r="N636" s="30">
        <f t="shared" ca="1" si="126"/>
        <v>0</v>
      </c>
      <c r="O636" s="10">
        <f t="shared" ca="1" si="127"/>
        <v>0</v>
      </c>
      <c r="P636" s="29">
        <f t="shared" ca="1" si="128"/>
        <v>0</v>
      </c>
      <c r="Q636" s="12">
        <f t="shared" ca="1" si="129"/>
        <v>-220600</v>
      </c>
      <c r="R636" s="10">
        <f t="shared" ca="1" si="130"/>
        <v>0</v>
      </c>
      <c r="S636" s="10">
        <f t="shared" ca="1" si="136"/>
        <v>0.41601239880090546</v>
      </c>
      <c r="T636" s="14">
        <f t="shared" ca="1" si="137"/>
        <v>-7.1405341404735062E-2</v>
      </c>
      <c r="U636" s="12">
        <f t="shared" ca="1" si="131"/>
        <v>7900</v>
      </c>
      <c r="V636" s="14">
        <f t="shared" ca="1" si="132"/>
        <v>-2892.4050632911394</v>
      </c>
      <c r="W636" s="12">
        <f t="shared" ca="1" si="138"/>
        <v>-1774.6835443037974</v>
      </c>
      <c r="X636" s="7">
        <f ca="1">AVERAGE(E636:OFFSET(F636,-$X$5+1,0))</f>
        <v>8942.2999999999993</v>
      </c>
      <c r="Y636" s="7">
        <f ca="1">AVERAGE(E636:OFFSET(F636,-$Y$5+1,0))</f>
        <v>8931.4500000000007</v>
      </c>
      <c r="Z636" s="7">
        <f t="shared" ca="1" si="124"/>
        <v>0</v>
      </c>
    </row>
    <row r="637" spans="1:26">
      <c r="A637" s="3" t="s">
        <v>54</v>
      </c>
      <c r="B637" s="4">
        <v>42587</v>
      </c>
      <c r="C637" s="3">
        <v>8996</v>
      </c>
      <c r="D637" s="3">
        <v>9074</v>
      </c>
      <c r="E637" s="3">
        <v>8973</v>
      </c>
      <c r="F637" s="3">
        <v>9063</v>
      </c>
      <c r="G637" s="3">
        <v>127647</v>
      </c>
      <c r="H637" s="3">
        <v>1.0449999999999999</v>
      </c>
      <c r="I637" s="2">
        <f t="shared" si="133"/>
        <v>0</v>
      </c>
      <c r="J637" s="10">
        <f t="shared" si="135"/>
        <v>25</v>
      </c>
      <c r="K637" s="10">
        <f t="shared" si="134"/>
        <v>67</v>
      </c>
      <c r="L637" s="10">
        <f t="shared" ref="L637:L700" ca="1" si="139">Z637</f>
        <v>0</v>
      </c>
      <c r="M637" s="10">
        <f t="shared" ca="1" si="125"/>
        <v>0</v>
      </c>
      <c r="N637" s="30">
        <f t="shared" ca="1" si="126"/>
        <v>0</v>
      </c>
      <c r="O637" s="10">
        <f t="shared" ca="1" si="127"/>
        <v>0</v>
      </c>
      <c r="P637" s="29">
        <f t="shared" ca="1" si="128"/>
        <v>0</v>
      </c>
      <c r="Q637" s="12">
        <f t="shared" ca="1" si="129"/>
        <v>-220600</v>
      </c>
      <c r="R637" s="10">
        <f t="shared" ca="1" si="130"/>
        <v>0</v>
      </c>
      <c r="S637" s="10">
        <f t="shared" ca="1" si="136"/>
        <v>0.41601239880090546</v>
      </c>
      <c r="T637" s="14">
        <f t="shared" ca="1" si="137"/>
        <v>-7.1505458961724694E-2</v>
      </c>
      <c r="U637" s="12">
        <f t="shared" ca="1" si="131"/>
        <v>7900</v>
      </c>
      <c r="V637" s="14">
        <f t="shared" ca="1" si="132"/>
        <v>-2892.4050632911394</v>
      </c>
      <c r="W637" s="12">
        <f t="shared" ca="1" si="138"/>
        <v>-1774.6835443037974</v>
      </c>
      <c r="X637" s="7">
        <f ca="1">AVERAGE(E637:OFFSET(F637,-$X$5+1,0))</f>
        <v>8967.7000000000007</v>
      </c>
      <c r="Y637" s="7">
        <f ca="1">AVERAGE(E637:OFFSET(F637,-$Y$5+1,0))</f>
        <v>8940.75</v>
      </c>
      <c r="Z637" s="7">
        <f t="shared" ref="Z637:Z700" ca="1" si="140">IF(AND(X636&lt;=Y636,X637&gt;Y637),1,IF(AND(X636&gt;Y636,X637&lt;=Y637),-1,0))</f>
        <v>0</v>
      </c>
    </row>
    <row r="638" spans="1:26">
      <c r="A638" s="3" t="s">
        <v>54</v>
      </c>
      <c r="B638" s="4">
        <v>42590</v>
      </c>
      <c r="C638" s="3">
        <v>9133</v>
      </c>
      <c r="D638" s="3">
        <v>9148</v>
      </c>
      <c r="E638" s="3">
        <v>9063</v>
      </c>
      <c r="F638" s="3">
        <v>9116</v>
      </c>
      <c r="G638" s="3">
        <v>111631</v>
      </c>
      <c r="H638" s="3">
        <v>1.0449999999999999</v>
      </c>
      <c r="I638" s="2">
        <f t="shared" si="133"/>
        <v>0</v>
      </c>
      <c r="J638" s="10">
        <f t="shared" si="135"/>
        <v>70</v>
      </c>
      <c r="K638" s="10">
        <f t="shared" si="134"/>
        <v>-17</v>
      </c>
      <c r="L638" s="10">
        <f t="shared" ca="1" si="139"/>
        <v>0</v>
      </c>
      <c r="M638" s="10">
        <f t="shared" ref="M638:M701" ca="1" si="141">IF(I638=1,0,IF(M637+L637&gt;=$M$5,$M$5,IF(M637+L637&lt;=$M$7,$M$7,M637+L637)))</f>
        <v>0</v>
      </c>
      <c r="N638" s="30">
        <f t="shared" ref="N638:N701" ca="1" si="142">IF(M638=0,0,IF(M638&gt;M637,(C638+N637*M637)*$S$5,0))</f>
        <v>0</v>
      </c>
      <c r="O638" s="10">
        <f t="shared" ref="O638:O701" ca="1" si="143">IF(M638=0,0,IF(M638=M637,O637,((M638-M637)*C638+N637*M637)*$S$5/M638))</f>
        <v>0</v>
      </c>
      <c r="P638" s="29">
        <f t="shared" ref="P638:P701" ca="1" si="144">IF(M637=M638,(M637*J638+M638*K638)*$S$5,(M637*J638+M638*K638)*$S$5-$S$6)</f>
        <v>0</v>
      </c>
      <c r="Q638" s="12">
        <f t="shared" ref="Q638:Q701" ca="1" si="145">P638+Q637</f>
        <v>-220600</v>
      </c>
      <c r="R638" s="10">
        <f t="shared" ref="R638:R701" ca="1" si="146">IF(P638=0,0,IF(O638=0,100*P638/O637,100*P638/O638))</f>
        <v>0</v>
      </c>
      <c r="S638" s="10">
        <f t="shared" ca="1" si="136"/>
        <v>0.41601239880090546</v>
      </c>
      <c r="T638" s="14">
        <f t="shared" ca="1" si="137"/>
        <v>-7.1411407609545521E-2</v>
      </c>
      <c r="U638" s="12">
        <f t="shared" ref="U638:U701" ca="1" si="147">IF(Q638&gt;U637,Q638,U637)</f>
        <v>7900</v>
      </c>
      <c r="V638" s="14">
        <f t="shared" ref="V638:V701" ca="1" si="148">IF(U638=0,0,100*(Q638-U638)/U638)</f>
        <v>-2892.4050632911394</v>
      </c>
      <c r="W638" s="12">
        <f t="shared" ca="1" si="138"/>
        <v>-1774.6835443037974</v>
      </c>
      <c r="X638" s="7">
        <f ca="1">AVERAGE(E638:OFFSET(F638,-$X$5+1,0))</f>
        <v>8987.9</v>
      </c>
      <c r="Y638" s="7">
        <f ca="1">AVERAGE(E638:OFFSET(F638,-$Y$5+1,0))</f>
        <v>8965</v>
      </c>
      <c r="Z638" s="7">
        <f t="shared" ca="1" si="140"/>
        <v>0</v>
      </c>
    </row>
    <row r="639" spans="1:26">
      <c r="A639" s="3" t="s">
        <v>54</v>
      </c>
      <c r="B639" s="4">
        <v>42591</v>
      </c>
      <c r="C639" s="3">
        <v>9122</v>
      </c>
      <c r="D639" s="3">
        <v>9145</v>
      </c>
      <c r="E639" s="3">
        <v>9096</v>
      </c>
      <c r="F639" s="3">
        <v>9118</v>
      </c>
      <c r="G639" s="3">
        <v>94114</v>
      </c>
      <c r="H639" s="3">
        <v>1.0449999999999999</v>
      </c>
      <c r="I639" s="2">
        <f t="shared" si="133"/>
        <v>0</v>
      </c>
      <c r="J639" s="10">
        <f t="shared" si="135"/>
        <v>6</v>
      </c>
      <c r="K639" s="10">
        <f t="shared" si="134"/>
        <v>-4</v>
      </c>
      <c r="L639" s="10">
        <f t="shared" ca="1" si="139"/>
        <v>0</v>
      </c>
      <c r="M639" s="10">
        <f t="shared" ca="1" si="141"/>
        <v>0</v>
      </c>
      <c r="N639" s="30">
        <f t="shared" ca="1" si="142"/>
        <v>0</v>
      </c>
      <c r="O639" s="10">
        <f t="shared" ca="1" si="143"/>
        <v>0</v>
      </c>
      <c r="P639" s="29">
        <f t="shared" ca="1" si="144"/>
        <v>0</v>
      </c>
      <c r="Q639" s="12">
        <f t="shared" ca="1" si="145"/>
        <v>-220600</v>
      </c>
      <c r="R639" s="10">
        <f t="shared" ca="1" si="146"/>
        <v>0</v>
      </c>
      <c r="S639" s="10">
        <f t="shared" ca="1" si="136"/>
        <v>0.41601239880090546</v>
      </c>
      <c r="T639" s="14">
        <f t="shared" ca="1" si="137"/>
        <v>-7.1332012037482281E-2</v>
      </c>
      <c r="U639" s="12">
        <f t="shared" ca="1" si="147"/>
        <v>7900</v>
      </c>
      <c r="V639" s="14">
        <f t="shared" ca="1" si="148"/>
        <v>-2892.4050632911394</v>
      </c>
      <c r="W639" s="12">
        <f t="shared" ca="1" si="138"/>
        <v>-1774.6835443037974</v>
      </c>
      <c r="X639" s="7">
        <f ca="1">AVERAGE(E639:OFFSET(F639,-$X$5+1,0))</f>
        <v>9008.5</v>
      </c>
      <c r="Y639" s="7">
        <f ca="1">AVERAGE(E639:OFFSET(F639,-$Y$5+1,0))</f>
        <v>8984.35</v>
      </c>
      <c r="Z639" s="7">
        <f t="shared" ca="1" si="140"/>
        <v>0</v>
      </c>
    </row>
    <row r="640" spans="1:26">
      <c r="A640" s="3" t="s">
        <v>54</v>
      </c>
      <c r="B640" s="4">
        <v>42592</v>
      </c>
      <c r="C640" s="3">
        <v>9136</v>
      </c>
      <c r="D640" s="3">
        <v>9167</v>
      </c>
      <c r="E640" s="3">
        <v>9090</v>
      </c>
      <c r="F640" s="3">
        <v>9145</v>
      </c>
      <c r="G640" s="3">
        <v>123597</v>
      </c>
      <c r="H640" s="3">
        <v>1.0449999999999999</v>
      </c>
      <c r="I640" s="2">
        <f t="shared" si="133"/>
        <v>0</v>
      </c>
      <c r="J640" s="10">
        <f t="shared" si="135"/>
        <v>18</v>
      </c>
      <c r="K640" s="10">
        <f t="shared" si="134"/>
        <v>9</v>
      </c>
      <c r="L640" s="10">
        <f t="shared" ca="1" si="139"/>
        <v>0</v>
      </c>
      <c r="M640" s="10">
        <f t="shared" ca="1" si="141"/>
        <v>0</v>
      </c>
      <c r="N640" s="30">
        <f t="shared" ca="1" si="142"/>
        <v>0</v>
      </c>
      <c r="O640" s="10">
        <f t="shared" ca="1" si="143"/>
        <v>0</v>
      </c>
      <c r="P640" s="29">
        <f t="shared" ca="1" si="144"/>
        <v>0</v>
      </c>
      <c r="Q640" s="12">
        <f t="shared" ca="1" si="145"/>
        <v>-220600</v>
      </c>
      <c r="R640" s="10">
        <f t="shared" ca="1" si="146"/>
        <v>0</v>
      </c>
      <c r="S640" s="10">
        <f t="shared" ca="1" si="136"/>
        <v>0.41601239880090546</v>
      </c>
      <c r="T640" s="14">
        <f t="shared" ca="1" si="137"/>
        <v>-7.1380061024615776E-2</v>
      </c>
      <c r="U640" s="12">
        <f t="shared" ca="1" si="147"/>
        <v>7900</v>
      </c>
      <c r="V640" s="14">
        <f t="shared" ca="1" si="148"/>
        <v>-2892.4050632911394</v>
      </c>
      <c r="W640" s="12">
        <f t="shared" ca="1" si="138"/>
        <v>-1774.6835443037974</v>
      </c>
      <c r="X640" s="7">
        <f ca="1">AVERAGE(E640:OFFSET(F640,-$X$5+1,0))</f>
        <v>9052.6</v>
      </c>
      <c r="Y640" s="7">
        <f ca="1">AVERAGE(E640:OFFSET(F640,-$Y$5+1,0))</f>
        <v>8999.7000000000007</v>
      </c>
      <c r="Z640" s="7">
        <f t="shared" ca="1" si="140"/>
        <v>0</v>
      </c>
    </row>
    <row r="641" spans="1:26">
      <c r="A641" s="3" t="s">
        <v>54</v>
      </c>
      <c r="B641" s="4">
        <v>42593</v>
      </c>
      <c r="C641" s="3">
        <v>9125</v>
      </c>
      <c r="D641" s="3">
        <v>9159</v>
      </c>
      <c r="E641" s="3">
        <v>8998</v>
      </c>
      <c r="F641" s="3">
        <v>9085</v>
      </c>
      <c r="G641" s="3">
        <v>165714</v>
      </c>
      <c r="H641" s="3">
        <v>1.0449999999999999</v>
      </c>
      <c r="I641" s="2">
        <f t="shared" si="133"/>
        <v>0</v>
      </c>
      <c r="J641" s="10">
        <f t="shared" si="135"/>
        <v>-20</v>
      </c>
      <c r="K641" s="10">
        <f t="shared" si="134"/>
        <v>-40</v>
      </c>
      <c r="L641" s="10">
        <f t="shared" ca="1" si="139"/>
        <v>0</v>
      </c>
      <c r="M641" s="10">
        <f t="shared" ca="1" si="141"/>
        <v>0</v>
      </c>
      <c r="N641" s="30">
        <f t="shared" ca="1" si="142"/>
        <v>0</v>
      </c>
      <c r="O641" s="10">
        <f t="shared" ca="1" si="143"/>
        <v>0</v>
      </c>
      <c r="P641" s="29">
        <f t="shared" ca="1" si="144"/>
        <v>0</v>
      </c>
      <c r="Q641" s="12">
        <f t="shared" ca="1" si="145"/>
        <v>-220600</v>
      </c>
      <c r="R641" s="10">
        <f t="shared" ca="1" si="146"/>
        <v>0</v>
      </c>
      <c r="S641" s="10">
        <f t="shared" ca="1" si="136"/>
        <v>0.41601239880090546</v>
      </c>
      <c r="T641" s="14">
        <f t="shared" ca="1" si="137"/>
        <v>-7.1277748460222515E-2</v>
      </c>
      <c r="U641" s="12">
        <f t="shared" ca="1" si="147"/>
        <v>7900</v>
      </c>
      <c r="V641" s="14">
        <f t="shared" ca="1" si="148"/>
        <v>-2892.4050632911394</v>
      </c>
      <c r="W641" s="12">
        <f t="shared" ca="1" si="138"/>
        <v>-1774.6835443037974</v>
      </c>
      <c r="X641" s="7">
        <f ca="1">AVERAGE(E641:OFFSET(F641,-$X$5+1,0))</f>
        <v>9074.7000000000007</v>
      </c>
      <c r="Y641" s="7">
        <f ca="1">AVERAGE(E641:OFFSET(F641,-$Y$5+1,0))</f>
        <v>9008.5</v>
      </c>
      <c r="Z641" s="7">
        <f t="shared" ca="1" si="140"/>
        <v>0</v>
      </c>
    </row>
    <row r="642" spans="1:26">
      <c r="A642" s="3" t="s">
        <v>54</v>
      </c>
      <c r="B642" s="4">
        <v>42594</v>
      </c>
      <c r="C642" s="3">
        <v>9129</v>
      </c>
      <c r="D642" s="3">
        <v>9149</v>
      </c>
      <c r="E642" s="3">
        <v>9102</v>
      </c>
      <c r="F642" s="3">
        <v>9130</v>
      </c>
      <c r="G642" s="3">
        <v>109885</v>
      </c>
      <c r="H642" s="3">
        <v>1.0449999999999999</v>
      </c>
      <c r="I642" s="2">
        <f t="shared" si="133"/>
        <v>0</v>
      </c>
      <c r="J642" s="10">
        <f t="shared" si="135"/>
        <v>44</v>
      </c>
      <c r="K642" s="10">
        <f t="shared" si="134"/>
        <v>1</v>
      </c>
      <c r="L642" s="10">
        <f t="shared" ca="1" si="139"/>
        <v>0</v>
      </c>
      <c r="M642" s="10">
        <f t="shared" ca="1" si="141"/>
        <v>0</v>
      </c>
      <c r="N642" s="30">
        <f t="shared" ca="1" si="142"/>
        <v>0</v>
      </c>
      <c r="O642" s="10">
        <f t="shared" ca="1" si="143"/>
        <v>0</v>
      </c>
      <c r="P642" s="29">
        <f t="shared" ca="1" si="144"/>
        <v>0</v>
      </c>
      <c r="Q642" s="12">
        <f t="shared" ca="1" si="145"/>
        <v>-220600</v>
      </c>
      <c r="R642" s="10">
        <f t="shared" ca="1" si="146"/>
        <v>0</v>
      </c>
      <c r="S642" s="10">
        <f t="shared" ca="1" si="136"/>
        <v>0.41601239880090546</v>
      </c>
      <c r="T642" s="14">
        <f t="shared" ca="1" si="137"/>
        <v>-7.3354767764123058E-2</v>
      </c>
      <c r="U642" s="12">
        <f t="shared" ca="1" si="147"/>
        <v>7900</v>
      </c>
      <c r="V642" s="14">
        <f t="shared" ca="1" si="148"/>
        <v>-2892.4050632911394</v>
      </c>
      <c r="W642" s="12">
        <f t="shared" ca="1" si="138"/>
        <v>-1774.6835443037974</v>
      </c>
      <c r="X642" s="7">
        <f ca="1">AVERAGE(E642:OFFSET(F642,-$X$5+1,0))</f>
        <v>9094.2999999999993</v>
      </c>
      <c r="Y642" s="7">
        <f ca="1">AVERAGE(E642:OFFSET(F642,-$Y$5+1,0))</f>
        <v>9031</v>
      </c>
      <c r="Z642" s="7">
        <f t="shared" ca="1" si="140"/>
        <v>0</v>
      </c>
    </row>
    <row r="643" spans="1:26">
      <c r="A643" s="3" t="s">
        <v>54</v>
      </c>
      <c r="B643" s="4">
        <v>42597</v>
      </c>
      <c r="C643" s="3">
        <v>9147</v>
      </c>
      <c r="D643" s="3">
        <v>9161</v>
      </c>
      <c r="E643" s="3">
        <v>9087</v>
      </c>
      <c r="F643" s="3">
        <v>9125</v>
      </c>
      <c r="G643" s="3">
        <v>130933</v>
      </c>
      <c r="H643" s="3">
        <v>1.0449999999999999</v>
      </c>
      <c r="I643" s="2">
        <f t="shared" si="133"/>
        <v>0</v>
      </c>
      <c r="J643" s="10">
        <f t="shared" si="135"/>
        <v>17</v>
      </c>
      <c r="K643" s="10">
        <f t="shared" si="134"/>
        <v>-22</v>
      </c>
      <c r="L643" s="10">
        <f t="shared" ca="1" si="139"/>
        <v>0</v>
      </c>
      <c r="M643" s="10">
        <f t="shared" ca="1" si="141"/>
        <v>0</v>
      </c>
      <c r="N643" s="30">
        <f t="shared" ca="1" si="142"/>
        <v>0</v>
      </c>
      <c r="O643" s="10">
        <f t="shared" ca="1" si="143"/>
        <v>0</v>
      </c>
      <c r="P643" s="29">
        <f t="shared" ca="1" si="144"/>
        <v>0</v>
      </c>
      <c r="Q643" s="12">
        <f t="shared" ca="1" si="145"/>
        <v>-220600</v>
      </c>
      <c r="R643" s="10">
        <f t="shared" ca="1" si="146"/>
        <v>0</v>
      </c>
      <c r="S643" s="10">
        <f t="shared" ca="1" si="136"/>
        <v>0.41601239880090546</v>
      </c>
      <c r="T643" s="14">
        <f t="shared" ca="1" si="137"/>
        <v>-7.3946296799879588E-2</v>
      </c>
      <c r="U643" s="12">
        <f t="shared" ca="1" si="147"/>
        <v>7900</v>
      </c>
      <c r="V643" s="14">
        <f t="shared" ca="1" si="148"/>
        <v>-2892.4050632911394</v>
      </c>
      <c r="W643" s="12">
        <f t="shared" ca="1" si="138"/>
        <v>-1774.6835443037974</v>
      </c>
      <c r="X643" s="7">
        <f ca="1">AVERAGE(E643:OFFSET(F643,-$X$5+1,0))</f>
        <v>9097.6</v>
      </c>
      <c r="Y643" s="7">
        <f ca="1">AVERAGE(E643:OFFSET(F643,-$Y$5+1,0))</f>
        <v>9042.75</v>
      </c>
      <c r="Z643" s="7">
        <f t="shared" ca="1" si="140"/>
        <v>0</v>
      </c>
    </row>
    <row r="644" spans="1:26">
      <c r="A644" s="3" t="s">
        <v>54</v>
      </c>
      <c r="B644" s="4">
        <v>42598</v>
      </c>
      <c r="C644" s="3">
        <v>9155</v>
      </c>
      <c r="D644" s="3">
        <v>9156</v>
      </c>
      <c r="E644" s="3">
        <v>9052</v>
      </c>
      <c r="F644" s="3">
        <v>9088</v>
      </c>
      <c r="G644" s="3">
        <v>162847</v>
      </c>
      <c r="H644" s="3">
        <v>1.0449999999999999</v>
      </c>
      <c r="I644" s="2">
        <f t="shared" ref="I644:I707" si="149">IF(A644=A645,0,1)</f>
        <v>0</v>
      </c>
      <c r="J644" s="10">
        <f t="shared" si="135"/>
        <v>30</v>
      </c>
      <c r="K644" s="10">
        <f t="shared" ref="K644:K707" si="150">F644-C644</f>
        <v>-67</v>
      </c>
      <c r="L644" s="10">
        <f t="shared" ca="1" si="139"/>
        <v>0</v>
      </c>
      <c r="M644" s="10">
        <f t="shared" ca="1" si="141"/>
        <v>0</v>
      </c>
      <c r="N644" s="30">
        <f t="shared" ca="1" si="142"/>
        <v>0</v>
      </c>
      <c r="O644" s="10">
        <f t="shared" ca="1" si="143"/>
        <v>0</v>
      </c>
      <c r="P644" s="29">
        <f t="shared" ca="1" si="144"/>
        <v>0</v>
      </c>
      <c r="Q644" s="12">
        <f t="shared" ca="1" si="145"/>
        <v>-220600</v>
      </c>
      <c r="R644" s="10">
        <f t="shared" ca="1" si="146"/>
        <v>0</v>
      </c>
      <c r="S644" s="10">
        <f t="shared" ca="1" si="136"/>
        <v>0.41601239880090546</v>
      </c>
      <c r="T644" s="14">
        <f t="shared" ca="1" si="137"/>
        <v>-7.3839848188951132E-2</v>
      </c>
      <c r="U644" s="12">
        <f t="shared" ca="1" si="147"/>
        <v>7900</v>
      </c>
      <c r="V644" s="14">
        <f t="shared" ca="1" si="148"/>
        <v>-2892.4050632911394</v>
      </c>
      <c r="W644" s="12">
        <f t="shared" ca="1" si="138"/>
        <v>-1774.6835443037974</v>
      </c>
      <c r="X644" s="7">
        <f ca="1">AVERAGE(E644:OFFSET(F644,-$X$5+1,0))</f>
        <v>9090.2000000000007</v>
      </c>
      <c r="Y644" s="7">
        <f ca="1">AVERAGE(E644:OFFSET(F644,-$Y$5+1,0))</f>
        <v>9049.35</v>
      </c>
      <c r="Z644" s="7">
        <f t="shared" ca="1" si="140"/>
        <v>0</v>
      </c>
    </row>
    <row r="645" spans="1:26">
      <c r="A645" s="3" t="s">
        <v>54</v>
      </c>
      <c r="B645" s="4">
        <v>42599</v>
      </c>
      <c r="C645" s="3">
        <v>9073</v>
      </c>
      <c r="D645" s="3">
        <v>9123</v>
      </c>
      <c r="E645" s="3">
        <v>9067</v>
      </c>
      <c r="F645" s="3">
        <v>9121</v>
      </c>
      <c r="G645" s="3">
        <v>68207</v>
      </c>
      <c r="H645" s="3">
        <v>1.0449999999999999</v>
      </c>
      <c r="I645" s="2">
        <f t="shared" si="149"/>
        <v>1</v>
      </c>
      <c r="J645" s="10">
        <f t="shared" ref="J645:J708" si="151">C645-F644</f>
        <v>-15</v>
      </c>
      <c r="K645" s="10">
        <f t="shared" si="150"/>
        <v>48</v>
      </c>
      <c r="L645" s="10">
        <f t="shared" ca="1" si="139"/>
        <v>0</v>
      </c>
      <c r="M645" s="10">
        <f t="shared" si="141"/>
        <v>0</v>
      </c>
      <c r="N645" s="30">
        <f t="shared" si="142"/>
        <v>0</v>
      </c>
      <c r="O645" s="10">
        <f t="shared" si="143"/>
        <v>0</v>
      </c>
      <c r="P645" s="29">
        <f t="shared" ca="1" si="144"/>
        <v>0</v>
      </c>
      <c r="Q645" s="12">
        <f t="shared" ca="1" si="145"/>
        <v>-220600</v>
      </c>
      <c r="R645" s="10">
        <f t="shared" ca="1" si="146"/>
        <v>0</v>
      </c>
      <c r="S645" s="10">
        <f t="shared" ca="1" si="136"/>
        <v>0.41601239880090546</v>
      </c>
      <c r="T645" s="14">
        <f t="shared" ca="1" si="137"/>
        <v>-7.3733399578022649E-2</v>
      </c>
      <c r="U645" s="12">
        <f t="shared" ca="1" si="147"/>
        <v>7900</v>
      </c>
      <c r="V645" s="14">
        <f t="shared" ca="1" si="148"/>
        <v>-2892.4050632911394</v>
      </c>
      <c r="W645" s="12">
        <f t="shared" ca="1" si="138"/>
        <v>-1774.6835443037974</v>
      </c>
      <c r="X645" s="7">
        <f ca="1">AVERAGE(E645:OFFSET(F645,-$X$5+1,0))</f>
        <v>9085.5</v>
      </c>
      <c r="Y645" s="7">
        <f ca="1">AVERAGE(E645:OFFSET(F645,-$Y$5+1,0))</f>
        <v>9069.0499999999993</v>
      </c>
      <c r="Z645" s="7">
        <f t="shared" ca="1" si="140"/>
        <v>0</v>
      </c>
    </row>
    <row r="646" spans="1:26">
      <c r="A646" s="3" t="s">
        <v>55</v>
      </c>
      <c r="B646" s="4">
        <v>42600</v>
      </c>
      <c r="C646" s="3">
        <v>9010</v>
      </c>
      <c r="D646" s="3">
        <v>9059</v>
      </c>
      <c r="E646" s="3">
        <v>8980</v>
      </c>
      <c r="F646" s="3">
        <v>9042</v>
      </c>
      <c r="G646" s="3">
        <v>102776</v>
      </c>
      <c r="H646" s="3">
        <v>1.0449999999999999</v>
      </c>
      <c r="I646" s="2">
        <f t="shared" si="149"/>
        <v>0</v>
      </c>
      <c r="J646" s="10">
        <f t="shared" si="151"/>
        <v>-111</v>
      </c>
      <c r="K646" s="10">
        <f t="shared" si="150"/>
        <v>32</v>
      </c>
      <c r="L646" s="10">
        <f t="shared" ca="1" si="139"/>
        <v>0</v>
      </c>
      <c r="M646" s="10">
        <f t="shared" ca="1" si="141"/>
        <v>0</v>
      </c>
      <c r="N646" s="30">
        <f t="shared" ca="1" si="142"/>
        <v>0</v>
      </c>
      <c r="O646" s="10">
        <f t="shared" ca="1" si="143"/>
        <v>0</v>
      </c>
      <c r="P646" s="29">
        <f t="shared" ca="1" si="144"/>
        <v>0</v>
      </c>
      <c r="Q646" s="12">
        <f t="shared" ca="1" si="145"/>
        <v>-220600</v>
      </c>
      <c r="R646" s="10">
        <f t="shared" ca="1" si="146"/>
        <v>0</v>
      </c>
      <c r="S646" s="10">
        <f t="shared" ca="1" si="136"/>
        <v>0.41601239880090546</v>
      </c>
      <c r="T646" s="14">
        <f t="shared" ca="1" si="137"/>
        <v>-7.3626950967094165E-2</v>
      </c>
      <c r="U646" s="12">
        <f t="shared" ca="1" si="147"/>
        <v>7900</v>
      </c>
      <c r="V646" s="14">
        <f t="shared" ca="1" si="148"/>
        <v>-2892.4050632911394</v>
      </c>
      <c r="W646" s="12">
        <f t="shared" ca="1" si="138"/>
        <v>-1774.6835443037974</v>
      </c>
      <c r="X646" s="7">
        <f ca="1">AVERAGE(E646:OFFSET(F646,-$X$5+1,0))</f>
        <v>9079.4</v>
      </c>
      <c r="Y646" s="7">
        <f ca="1">AVERAGE(E646:OFFSET(F646,-$Y$5+1,0))</f>
        <v>9077.0499999999993</v>
      </c>
      <c r="Z646" s="7">
        <f t="shared" ca="1" si="140"/>
        <v>0</v>
      </c>
    </row>
    <row r="647" spans="1:26">
      <c r="A647" s="3" t="s">
        <v>55</v>
      </c>
      <c r="B647" s="4">
        <v>42601</v>
      </c>
      <c r="C647" s="3">
        <v>9050</v>
      </c>
      <c r="D647" s="3">
        <v>9109</v>
      </c>
      <c r="E647" s="3">
        <v>8942</v>
      </c>
      <c r="F647" s="3">
        <v>8946</v>
      </c>
      <c r="G647" s="3">
        <v>180514</v>
      </c>
      <c r="H647" s="3">
        <v>1.0449999999999999</v>
      </c>
      <c r="I647" s="2">
        <f t="shared" si="149"/>
        <v>0</v>
      </c>
      <c r="J647" s="10">
        <f t="shared" si="151"/>
        <v>8</v>
      </c>
      <c r="K647" s="10">
        <f t="shared" si="150"/>
        <v>-104</v>
      </c>
      <c r="L647" s="10">
        <f t="shared" ca="1" si="139"/>
        <v>-1</v>
      </c>
      <c r="M647" s="10">
        <f t="shared" ca="1" si="141"/>
        <v>0</v>
      </c>
      <c r="N647" s="30">
        <f t="shared" ca="1" si="142"/>
        <v>0</v>
      </c>
      <c r="O647" s="10">
        <f t="shared" ca="1" si="143"/>
        <v>0</v>
      </c>
      <c r="P647" s="29">
        <f t="shared" ca="1" si="144"/>
        <v>0</v>
      </c>
      <c r="Q647" s="12">
        <f t="shared" ca="1" si="145"/>
        <v>-220600</v>
      </c>
      <c r="R647" s="10">
        <f t="shared" ca="1" si="146"/>
        <v>0</v>
      </c>
      <c r="S647" s="10">
        <f t="shared" ca="1" si="136"/>
        <v>0.41601239880090546</v>
      </c>
      <c r="T647" s="14">
        <f t="shared" ca="1" si="137"/>
        <v>-7.3520502356165696E-2</v>
      </c>
      <c r="U647" s="12">
        <f t="shared" ca="1" si="147"/>
        <v>7900</v>
      </c>
      <c r="V647" s="14">
        <f t="shared" ca="1" si="148"/>
        <v>-2892.4050632911394</v>
      </c>
      <c r="W647" s="12">
        <f t="shared" ca="1" si="138"/>
        <v>-1774.6835443037974</v>
      </c>
      <c r="X647" s="7">
        <f ca="1">AVERAGE(E647:OFFSET(F647,-$X$5+1,0))</f>
        <v>9045</v>
      </c>
      <c r="Y647" s="7">
        <f ca="1">AVERAGE(E647:OFFSET(F647,-$Y$5+1,0))</f>
        <v>9069.65</v>
      </c>
      <c r="Z647" s="7">
        <f t="shared" ca="1" si="140"/>
        <v>-1</v>
      </c>
    </row>
    <row r="648" spans="1:26">
      <c r="A648" s="3" t="s">
        <v>55</v>
      </c>
      <c r="B648" s="4">
        <v>42604</v>
      </c>
      <c r="C648" s="3">
        <v>8941</v>
      </c>
      <c r="D648" s="3">
        <v>8949</v>
      </c>
      <c r="E648" s="3">
        <v>8853</v>
      </c>
      <c r="F648" s="3">
        <v>8892</v>
      </c>
      <c r="G648" s="3">
        <v>140625</v>
      </c>
      <c r="H648" s="3">
        <v>1.0449999999999999</v>
      </c>
      <c r="I648" s="2">
        <f t="shared" si="149"/>
        <v>0</v>
      </c>
      <c r="J648" s="10">
        <f t="shared" si="151"/>
        <v>-5</v>
      </c>
      <c r="K648" s="10">
        <f t="shared" si="150"/>
        <v>-49</v>
      </c>
      <c r="L648" s="10">
        <f t="shared" ca="1" si="139"/>
        <v>0</v>
      </c>
      <c r="M648" s="10">
        <f t="shared" ca="1" si="141"/>
        <v>-1</v>
      </c>
      <c r="N648" s="30">
        <f t="shared" ca="1" si="142"/>
        <v>0</v>
      </c>
      <c r="O648" s="10">
        <f t="shared" ca="1" si="143"/>
        <v>1788200</v>
      </c>
      <c r="P648" s="29">
        <f t="shared" ca="1" si="144"/>
        <v>9300</v>
      </c>
      <c r="Q648" s="12">
        <f t="shared" ca="1" si="145"/>
        <v>-211300</v>
      </c>
      <c r="R648" s="10">
        <f t="shared" ca="1" si="146"/>
        <v>0.52007605413264735</v>
      </c>
      <c r="S648" s="10">
        <f t="shared" ca="1" si="136"/>
        <v>0.51083875440993531</v>
      </c>
      <c r="T648" s="14">
        <f t="shared" ca="1" si="137"/>
        <v>-6.4558833365241E-2</v>
      </c>
      <c r="U648" s="12">
        <f t="shared" ca="1" si="147"/>
        <v>7900</v>
      </c>
      <c r="V648" s="14">
        <f t="shared" ca="1" si="148"/>
        <v>-2774.6835443037976</v>
      </c>
      <c r="W648" s="12">
        <f t="shared" ca="1" si="138"/>
        <v>-1774.6835443037974</v>
      </c>
      <c r="X648" s="7">
        <f ca="1">AVERAGE(E648:OFFSET(F648,-$X$5+1,0))</f>
        <v>8998.2999999999993</v>
      </c>
      <c r="Y648" s="7">
        <f ca="1">AVERAGE(E648:OFFSET(F648,-$Y$5+1,0))</f>
        <v>9047.9500000000007</v>
      </c>
      <c r="Z648" s="7">
        <f t="shared" ca="1" si="140"/>
        <v>0</v>
      </c>
    </row>
    <row r="649" spans="1:26">
      <c r="A649" s="3" t="s">
        <v>55</v>
      </c>
      <c r="B649" s="4">
        <v>42605</v>
      </c>
      <c r="C649" s="3">
        <v>8921</v>
      </c>
      <c r="D649" s="3">
        <v>8988</v>
      </c>
      <c r="E649" s="3">
        <v>8912</v>
      </c>
      <c r="F649" s="3">
        <v>8984</v>
      </c>
      <c r="G649" s="3">
        <v>110642</v>
      </c>
      <c r="H649" s="3">
        <v>1.0449999999999999</v>
      </c>
      <c r="I649" s="2">
        <f t="shared" si="149"/>
        <v>0</v>
      </c>
      <c r="J649" s="10">
        <f t="shared" si="151"/>
        <v>29</v>
      </c>
      <c r="K649" s="10">
        <f t="shared" si="150"/>
        <v>63</v>
      </c>
      <c r="L649" s="10">
        <f t="shared" ca="1" si="139"/>
        <v>0</v>
      </c>
      <c r="M649" s="10">
        <f t="shared" ca="1" si="141"/>
        <v>-1</v>
      </c>
      <c r="N649" s="30">
        <f t="shared" ca="1" si="142"/>
        <v>0</v>
      </c>
      <c r="O649" s="10">
        <f t="shared" ca="1" si="143"/>
        <v>1788200</v>
      </c>
      <c r="P649" s="29">
        <f t="shared" ca="1" si="144"/>
        <v>-18400</v>
      </c>
      <c r="Q649" s="12">
        <f t="shared" ca="1" si="145"/>
        <v>-229700</v>
      </c>
      <c r="R649" s="10">
        <f t="shared" ca="1" si="146"/>
        <v>-1.0289676769936249</v>
      </c>
      <c r="S649" s="10">
        <f t="shared" ca="1" si="136"/>
        <v>0.32322531965658585</v>
      </c>
      <c r="T649" s="14">
        <f t="shared" ca="1" si="137"/>
        <v>-8.1492342801240944E-2</v>
      </c>
      <c r="U649" s="12">
        <f t="shared" ca="1" si="147"/>
        <v>7900</v>
      </c>
      <c r="V649" s="14">
        <f t="shared" ca="1" si="148"/>
        <v>-3007.5949367088606</v>
      </c>
      <c r="W649" s="12">
        <f t="shared" ca="1" si="138"/>
        <v>-1774.6835443037974</v>
      </c>
      <c r="X649" s="7">
        <f ca="1">AVERAGE(E649:OFFSET(F649,-$X$5+1,0))</f>
        <v>8973.9</v>
      </c>
      <c r="Y649" s="7">
        <f ca="1">AVERAGE(E649:OFFSET(F649,-$Y$5+1,0))</f>
        <v>9032.0499999999993</v>
      </c>
      <c r="Z649" s="7">
        <f t="shared" ca="1" si="140"/>
        <v>0</v>
      </c>
    </row>
    <row r="650" spans="1:26">
      <c r="A650" s="3" t="s">
        <v>55</v>
      </c>
      <c r="B650" s="4">
        <v>42606</v>
      </c>
      <c r="C650" s="3">
        <v>9002</v>
      </c>
      <c r="D650" s="3">
        <v>9023</v>
      </c>
      <c r="E650" s="3">
        <v>8948</v>
      </c>
      <c r="F650" s="3">
        <v>8956</v>
      </c>
      <c r="G650" s="3">
        <v>100206</v>
      </c>
      <c r="H650" s="3">
        <v>1.0449999999999999</v>
      </c>
      <c r="I650" s="2">
        <f t="shared" si="149"/>
        <v>0</v>
      </c>
      <c r="J650" s="10">
        <f t="shared" si="151"/>
        <v>18</v>
      </c>
      <c r="K650" s="10">
        <f t="shared" si="150"/>
        <v>-46</v>
      </c>
      <c r="L650" s="10">
        <f t="shared" ca="1" si="139"/>
        <v>0</v>
      </c>
      <c r="M650" s="10">
        <f t="shared" ca="1" si="141"/>
        <v>-1</v>
      </c>
      <c r="N650" s="30">
        <f t="shared" ca="1" si="142"/>
        <v>0</v>
      </c>
      <c r="O650" s="10">
        <f t="shared" ca="1" si="143"/>
        <v>1788200</v>
      </c>
      <c r="P650" s="29">
        <f t="shared" ca="1" si="144"/>
        <v>5600</v>
      </c>
      <c r="Q650" s="12">
        <f t="shared" ca="1" si="145"/>
        <v>-224100</v>
      </c>
      <c r="R650" s="10">
        <f t="shared" ca="1" si="146"/>
        <v>0.31316407560675541</v>
      </c>
      <c r="S650" s="10">
        <f t="shared" ca="1" si="136"/>
        <v>0.38032506066847482</v>
      </c>
      <c r="T650" s="14">
        <f t="shared" ca="1" si="137"/>
        <v>-7.6093176253453049E-2</v>
      </c>
      <c r="U650" s="12">
        <f t="shared" ca="1" si="147"/>
        <v>7900</v>
      </c>
      <c r="V650" s="14">
        <f t="shared" ca="1" si="148"/>
        <v>-2936.7088607594937</v>
      </c>
      <c r="W650" s="12">
        <f t="shared" ca="1" si="138"/>
        <v>-1774.6835443037974</v>
      </c>
      <c r="X650" s="7">
        <f ca="1">AVERAGE(E650:OFFSET(F650,-$X$5+1,0))</f>
        <v>8945.5</v>
      </c>
      <c r="Y650" s="7">
        <f ca="1">AVERAGE(E650:OFFSET(F650,-$Y$5+1,0))</f>
        <v>9015.5</v>
      </c>
      <c r="Z650" s="7">
        <f t="shared" ca="1" si="140"/>
        <v>0</v>
      </c>
    </row>
    <row r="651" spans="1:26">
      <c r="A651" s="3" t="s">
        <v>55</v>
      </c>
      <c r="B651" s="4">
        <v>42607</v>
      </c>
      <c r="C651" s="3">
        <v>8942</v>
      </c>
      <c r="D651" s="3">
        <v>9073</v>
      </c>
      <c r="E651" s="3">
        <v>8939</v>
      </c>
      <c r="F651" s="3">
        <v>9072</v>
      </c>
      <c r="G651" s="3">
        <v>131838</v>
      </c>
      <c r="H651" s="3">
        <v>1.0449999999999999</v>
      </c>
      <c r="I651" s="2">
        <f t="shared" si="149"/>
        <v>0</v>
      </c>
      <c r="J651" s="10">
        <f t="shared" si="151"/>
        <v>-14</v>
      </c>
      <c r="K651" s="10">
        <f t="shared" si="150"/>
        <v>130</v>
      </c>
      <c r="L651" s="10">
        <f t="shared" ca="1" si="139"/>
        <v>0</v>
      </c>
      <c r="M651" s="10">
        <f t="shared" ca="1" si="141"/>
        <v>-1</v>
      </c>
      <c r="N651" s="30">
        <f t="shared" ca="1" si="142"/>
        <v>0</v>
      </c>
      <c r="O651" s="10">
        <f t="shared" ca="1" si="143"/>
        <v>1788200</v>
      </c>
      <c r="P651" s="29">
        <f t="shared" ca="1" si="144"/>
        <v>-23200</v>
      </c>
      <c r="Q651" s="12">
        <f t="shared" ca="1" si="145"/>
        <v>-247300</v>
      </c>
      <c r="R651" s="10">
        <f t="shared" ca="1" si="146"/>
        <v>-1.297394027513701</v>
      </c>
      <c r="S651" s="10">
        <f t="shared" ca="1" si="136"/>
        <v>-0.25200513702779326</v>
      </c>
      <c r="T651" s="14">
        <f t="shared" ca="1" si="137"/>
        <v>-0.13343253917435013</v>
      </c>
      <c r="U651" s="12">
        <f t="shared" ca="1" si="147"/>
        <v>7900</v>
      </c>
      <c r="V651" s="14">
        <f t="shared" ca="1" si="148"/>
        <v>-3230.3797468354433</v>
      </c>
      <c r="W651" s="12">
        <f t="shared" ca="1" si="138"/>
        <v>-1774.6835443037974</v>
      </c>
      <c r="X651" s="7">
        <f ca="1">AVERAGE(E651:OFFSET(F651,-$X$5+1,0))</f>
        <v>8944.4</v>
      </c>
      <c r="Y651" s="7">
        <f ca="1">AVERAGE(E651:OFFSET(F651,-$Y$5+1,0))</f>
        <v>9011.9</v>
      </c>
      <c r="Z651" s="7">
        <f t="shared" ca="1" si="140"/>
        <v>0</v>
      </c>
    </row>
    <row r="652" spans="1:26">
      <c r="A652" s="3" t="s">
        <v>55</v>
      </c>
      <c r="B652" s="4">
        <v>42608</v>
      </c>
      <c r="C652" s="3">
        <v>9055</v>
      </c>
      <c r="D652" s="3">
        <v>9090</v>
      </c>
      <c r="E652" s="3">
        <v>9036</v>
      </c>
      <c r="F652" s="3">
        <v>9080</v>
      </c>
      <c r="G652" s="3">
        <v>86770</v>
      </c>
      <c r="H652" s="3">
        <v>1.0449999999999999</v>
      </c>
      <c r="I652" s="2">
        <f t="shared" si="149"/>
        <v>0</v>
      </c>
      <c r="J652" s="10">
        <f t="shared" si="151"/>
        <v>-17</v>
      </c>
      <c r="K652" s="10">
        <f t="shared" si="150"/>
        <v>25</v>
      </c>
      <c r="L652" s="10">
        <f t="shared" ca="1" si="139"/>
        <v>0</v>
      </c>
      <c r="M652" s="10">
        <f t="shared" ca="1" si="141"/>
        <v>-1</v>
      </c>
      <c r="N652" s="30">
        <f t="shared" ca="1" si="142"/>
        <v>0</v>
      </c>
      <c r="O652" s="10">
        <f t="shared" ca="1" si="143"/>
        <v>1788200</v>
      </c>
      <c r="P652" s="29">
        <f t="shared" ca="1" si="144"/>
        <v>-1600</v>
      </c>
      <c r="Q652" s="12">
        <f t="shared" ca="1" si="145"/>
        <v>-248900</v>
      </c>
      <c r="R652" s="10">
        <f t="shared" ca="1" si="146"/>
        <v>-8.9475450173358687E-2</v>
      </c>
      <c r="S652" s="10">
        <f t="shared" ca="1" si="136"/>
        <v>-0.34893018973079065</v>
      </c>
      <c r="T652" s="14">
        <f t="shared" ca="1" si="137"/>
        <v>-0.14220248175464509</v>
      </c>
      <c r="U652" s="12">
        <f t="shared" ca="1" si="147"/>
        <v>7900</v>
      </c>
      <c r="V652" s="14">
        <f t="shared" ca="1" si="148"/>
        <v>-3250.6329113924053</v>
      </c>
      <c r="W652" s="12">
        <f t="shared" ca="1" si="138"/>
        <v>-1774.6835443037974</v>
      </c>
      <c r="X652" s="7">
        <f ca="1">AVERAGE(E652:OFFSET(F652,-$X$5+1,0))</f>
        <v>8967.2000000000007</v>
      </c>
      <c r="Y652" s="7">
        <f ca="1">AVERAGE(E652:OFFSET(F652,-$Y$5+1,0))</f>
        <v>9006.1</v>
      </c>
      <c r="Z652" s="7">
        <f t="shared" ca="1" si="140"/>
        <v>0</v>
      </c>
    </row>
    <row r="653" spans="1:26">
      <c r="A653" s="3" t="s">
        <v>55</v>
      </c>
      <c r="B653" s="4">
        <v>42611</v>
      </c>
      <c r="C653" s="3">
        <v>9045</v>
      </c>
      <c r="D653" s="3">
        <v>9075</v>
      </c>
      <c r="E653" s="3">
        <v>8948</v>
      </c>
      <c r="F653" s="3">
        <v>9042</v>
      </c>
      <c r="G653" s="3">
        <v>148143</v>
      </c>
      <c r="H653" s="3">
        <v>1.0449999999999999</v>
      </c>
      <c r="I653" s="2">
        <f t="shared" si="149"/>
        <v>0</v>
      </c>
      <c r="J653" s="10">
        <f t="shared" si="151"/>
        <v>-35</v>
      </c>
      <c r="K653" s="10">
        <f t="shared" si="150"/>
        <v>-3</v>
      </c>
      <c r="L653" s="10">
        <f t="shared" ca="1" si="139"/>
        <v>0</v>
      </c>
      <c r="M653" s="10">
        <f t="shared" ca="1" si="141"/>
        <v>-1</v>
      </c>
      <c r="N653" s="30">
        <f t="shared" ca="1" si="142"/>
        <v>0</v>
      </c>
      <c r="O653" s="10">
        <f t="shared" ca="1" si="143"/>
        <v>1788200</v>
      </c>
      <c r="P653" s="29">
        <f t="shared" ca="1" si="144"/>
        <v>7600</v>
      </c>
      <c r="Q653" s="12">
        <f t="shared" ca="1" si="145"/>
        <v>-241300</v>
      </c>
      <c r="R653" s="10">
        <f t="shared" ca="1" si="146"/>
        <v>0.42500838832345378</v>
      </c>
      <c r="S653" s="10">
        <f t="shared" ca="1" si="136"/>
        <v>-4.6039400033923768E-2</v>
      </c>
      <c r="T653" s="14">
        <f t="shared" ca="1" si="137"/>
        <v>-0.11427352523033038</v>
      </c>
      <c r="U653" s="12">
        <f t="shared" ca="1" si="147"/>
        <v>7900</v>
      </c>
      <c r="V653" s="14">
        <f t="shared" ca="1" si="148"/>
        <v>-3154.4303797468356</v>
      </c>
      <c r="W653" s="12">
        <f t="shared" ca="1" si="138"/>
        <v>-1774.6835443037974</v>
      </c>
      <c r="X653" s="7">
        <f ca="1">AVERAGE(E653:OFFSET(F653,-$X$5+1,0))</f>
        <v>8991.7000000000007</v>
      </c>
      <c r="Y653" s="7">
        <f ca="1">AVERAGE(E653:OFFSET(F653,-$Y$5+1,0))</f>
        <v>8995</v>
      </c>
      <c r="Z653" s="7">
        <f t="shared" ca="1" si="140"/>
        <v>0</v>
      </c>
    </row>
    <row r="654" spans="1:26">
      <c r="A654" s="3" t="s">
        <v>55</v>
      </c>
      <c r="B654" s="4">
        <v>42612</v>
      </c>
      <c r="C654" s="3">
        <v>9075</v>
      </c>
      <c r="D654" s="3">
        <v>9085</v>
      </c>
      <c r="E654" s="3">
        <v>9021</v>
      </c>
      <c r="F654" s="3">
        <v>9036</v>
      </c>
      <c r="G654" s="3">
        <v>106337</v>
      </c>
      <c r="H654" s="3">
        <v>1.0449999999999999</v>
      </c>
      <c r="I654" s="2">
        <f t="shared" si="149"/>
        <v>0</v>
      </c>
      <c r="J654" s="10">
        <f t="shared" si="151"/>
        <v>33</v>
      </c>
      <c r="K654" s="10">
        <f t="shared" si="150"/>
        <v>-39</v>
      </c>
      <c r="L654" s="10">
        <f t="shared" ca="1" si="139"/>
        <v>1</v>
      </c>
      <c r="M654" s="10">
        <f t="shared" ca="1" si="141"/>
        <v>-1</v>
      </c>
      <c r="N654" s="30">
        <f t="shared" ca="1" si="142"/>
        <v>0</v>
      </c>
      <c r="O654" s="10">
        <f t="shared" ca="1" si="143"/>
        <v>1788200</v>
      </c>
      <c r="P654" s="29">
        <f t="shared" ca="1" si="144"/>
        <v>1200</v>
      </c>
      <c r="Q654" s="12">
        <f t="shared" ca="1" si="145"/>
        <v>-240100</v>
      </c>
      <c r="R654" s="10">
        <f t="shared" ca="1" si="146"/>
        <v>6.7106587630019018E-2</v>
      </c>
      <c r="S654" s="10">
        <f t="shared" ca="1" si="136"/>
        <v>-0.13327194746662144</v>
      </c>
      <c r="T654" s="14">
        <f t="shared" ca="1" si="137"/>
        <v>-0.12215335213888945</v>
      </c>
      <c r="U654" s="12">
        <f t="shared" ca="1" si="147"/>
        <v>7900</v>
      </c>
      <c r="V654" s="14">
        <f t="shared" ca="1" si="148"/>
        <v>-3139.2405063291139</v>
      </c>
      <c r="W654" s="12">
        <f t="shared" ca="1" si="138"/>
        <v>-1774.6835443037974</v>
      </c>
      <c r="X654" s="7">
        <f ca="1">AVERAGE(E654:OFFSET(F654,-$X$5+1,0))</f>
        <v>9007.7999999999993</v>
      </c>
      <c r="Y654" s="7">
        <f ca="1">AVERAGE(E654:OFFSET(F654,-$Y$5+1,0))</f>
        <v>8990.85</v>
      </c>
      <c r="Z654" s="7">
        <f t="shared" ca="1" si="140"/>
        <v>1</v>
      </c>
    </row>
    <row r="655" spans="1:26">
      <c r="A655" s="3" t="s">
        <v>55</v>
      </c>
      <c r="B655" s="4">
        <v>42613</v>
      </c>
      <c r="C655" s="3">
        <v>9018</v>
      </c>
      <c r="D655" s="3">
        <v>9060</v>
      </c>
      <c r="E655" s="3">
        <v>8959</v>
      </c>
      <c r="F655" s="3">
        <v>8976</v>
      </c>
      <c r="G655" s="3">
        <v>144241</v>
      </c>
      <c r="H655" s="3">
        <v>1.0449999999999999</v>
      </c>
      <c r="I655" s="2">
        <f t="shared" si="149"/>
        <v>0</v>
      </c>
      <c r="J655" s="10">
        <f t="shared" si="151"/>
        <v>-18</v>
      </c>
      <c r="K655" s="10">
        <f t="shared" si="150"/>
        <v>-42</v>
      </c>
      <c r="L655" s="10">
        <f t="shared" ca="1" si="139"/>
        <v>0</v>
      </c>
      <c r="M655" s="10">
        <f t="shared" ca="1" si="141"/>
        <v>0</v>
      </c>
      <c r="N655" s="30">
        <f t="shared" ca="1" si="142"/>
        <v>0</v>
      </c>
      <c r="O655" s="10">
        <f t="shared" ca="1" si="143"/>
        <v>0</v>
      </c>
      <c r="P655" s="29">
        <f t="shared" ca="1" si="144"/>
        <v>3100</v>
      </c>
      <c r="Q655" s="12">
        <f t="shared" ca="1" si="145"/>
        <v>-237000</v>
      </c>
      <c r="R655" s="10">
        <f t="shared" ca="1" si="146"/>
        <v>0.17335868471088245</v>
      </c>
      <c r="S655" s="10">
        <f t="shared" ca="1" si="136"/>
        <v>-0.20233104751750708</v>
      </c>
      <c r="T655" s="14">
        <f t="shared" ca="1" si="137"/>
        <v>-0.12835778717784876</v>
      </c>
      <c r="U655" s="12">
        <f t="shared" ca="1" si="147"/>
        <v>7900</v>
      </c>
      <c r="V655" s="14">
        <f t="shared" ca="1" si="148"/>
        <v>-3100</v>
      </c>
      <c r="W655" s="12">
        <f t="shared" ca="1" si="138"/>
        <v>-1774.6835443037974</v>
      </c>
      <c r="X655" s="7">
        <f ca="1">AVERAGE(E655:OFFSET(F655,-$X$5+1,0))</f>
        <v>9010.9</v>
      </c>
      <c r="Y655" s="7">
        <f ca="1">AVERAGE(E655:OFFSET(F655,-$Y$5+1,0))</f>
        <v>8978.2000000000007</v>
      </c>
      <c r="Z655" s="7">
        <f t="shared" ca="1" si="140"/>
        <v>0</v>
      </c>
    </row>
    <row r="656" spans="1:26">
      <c r="A656" s="3" t="s">
        <v>55</v>
      </c>
      <c r="B656" s="4">
        <v>42614</v>
      </c>
      <c r="C656" s="3">
        <v>8971</v>
      </c>
      <c r="D656" s="3">
        <v>8980</v>
      </c>
      <c r="E656" s="3">
        <v>8883</v>
      </c>
      <c r="F656" s="3">
        <v>8941</v>
      </c>
      <c r="G656" s="3">
        <v>151424</v>
      </c>
      <c r="H656" s="3">
        <v>1.0449999999999999</v>
      </c>
      <c r="I656" s="2">
        <f t="shared" si="149"/>
        <v>0</v>
      </c>
      <c r="J656" s="10">
        <f t="shared" si="151"/>
        <v>-5</v>
      </c>
      <c r="K656" s="10">
        <f t="shared" si="150"/>
        <v>-30</v>
      </c>
      <c r="L656" s="10">
        <f t="shared" ca="1" si="139"/>
        <v>0</v>
      </c>
      <c r="M656" s="10">
        <f t="shared" ca="1" si="141"/>
        <v>0</v>
      </c>
      <c r="N656" s="30">
        <f t="shared" ca="1" si="142"/>
        <v>0</v>
      </c>
      <c r="O656" s="10">
        <f t="shared" ca="1" si="143"/>
        <v>0</v>
      </c>
      <c r="P656" s="29">
        <f t="shared" ca="1" si="144"/>
        <v>0</v>
      </c>
      <c r="Q656" s="12">
        <f t="shared" ca="1" si="145"/>
        <v>-237000</v>
      </c>
      <c r="R656" s="10">
        <f t="shared" ca="1" si="146"/>
        <v>0</v>
      </c>
      <c r="S656" s="10">
        <f t="shared" ca="1" si="136"/>
        <v>-1.064964016574184</v>
      </c>
      <c r="T656" s="14">
        <f t="shared" ca="1" si="137"/>
        <v>-0.20722139778337326</v>
      </c>
      <c r="U656" s="12">
        <f t="shared" ca="1" si="147"/>
        <v>7900</v>
      </c>
      <c r="V656" s="14">
        <f t="shared" ca="1" si="148"/>
        <v>-3100</v>
      </c>
      <c r="W656" s="12">
        <f t="shared" ca="1" si="138"/>
        <v>-1774.6835443037974</v>
      </c>
      <c r="X656" s="7">
        <f ca="1">AVERAGE(E656:OFFSET(F656,-$X$5+1,0))</f>
        <v>8992.2000000000007</v>
      </c>
      <c r="Y656" s="7">
        <f ca="1">AVERAGE(E656:OFFSET(F656,-$Y$5+1,0))</f>
        <v>8968.2999999999993</v>
      </c>
      <c r="Z656" s="7">
        <f t="shared" ca="1" si="140"/>
        <v>0</v>
      </c>
    </row>
    <row r="657" spans="1:26">
      <c r="A657" s="3" t="s">
        <v>55</v>
      </c>
      <c r="B657" s="4">
        <v>42615</v>
      </c>
      <c r="C657" s="3">
        <v>8948</v>
      </c>
      <c r="D657" s="3">
        <v>8973</v>
      </c>
      <c r="E657" s="3">
        <v>8904</v>
      </c>
      <c r="F657" s="3">
        <v>8931</v>
      </c>
      <c r="G657" s="3">
        <v>110392</v>
      </c>
      <c r="H657" s="3">
        <v>1.0449999999999999</v>
      </c>
      <c r="I657" s="2">
        <f t="shared" si="149"/>
        <v>0</v>
      </c>
      <c r="J657" s="10">
        <f t="shared" si="151"/>
        <v>7</v>
      </c>
      <c r="K657" s="10">
        <f t="shared" si="150"/>
        <v>-17</v>
      </c>
      <c r="L657" s="10">
        <f t="shared" ca="1" si="139"/>
        <v>-1</v>
      </c>
      <c r="M657" s="10">
        <f t="shared" ca="1" si="141"/>
        <v>0</v>
      </c>
      <c r="N657" s="30">
        <f t="shared" ca="1" si="142"/>
        <v>0</v>
      </c>
      <c r="O657" s="10">
        <f t="shared" ca="1" si="143"/>
        <v>0</v>
      </c>
      <c r="P657" s="29">
        <f t="shared" ca="1" si="144"/>
        <v>0</v>
      </c>
      <c r="Q657" s="12">
        <f t="shared" ca="1" si="145"/>
        <v>-237000</v>
      </c>
      <c r="R657" s="10">
        <f t="shared" ca="1" si="146"/>
        <v>0</v>
      </c>
      <c r="S657" s="10">
        <f t="shared" ca="1" si="136"/>
        <v>-0.89534517434393857</v>
      </c>
      <c r="T657" s="14">
        <f t="shared" ca="1" si="137"/>
        <v>-0.19158873530735163</v>
      </c>
      <c r="U657" s="12">
        <f t="shared" ca="1" si="147"/>
        <v>7900</v>
      </c>
      <c r="V657" s="14">
        <f t="shared" ca="1" si="148"/>
        <v>-3100</v>
      </c>
      <c r="W657" s="12">
        <f t="shared" ca="1" si="138"/>
        <v>-1774.6835443037974</v>
      </c>
      <c r="X657" s="7">
        <f ca="1">AVERAGE(E657:OFFSET(F657,-$X$5+1,0))</f>
        <v>8964.1</v>
      </c>
      <c r="Y657" s="7">
        <f ca="1">AVERAGE(E657:OFFSET(F657,-$Y$5+1,0))</f>
        <v>8965.65</v>
      </c>
      <c r="Z657" s="7">
        <f t="shared" ca="1" si="140"/>
        <v>-1</v>
      </c>
    </row>
    <row r="658" spans="1:26">
      <c r="A658" s="3" t="s">
        <v>55</v>
      </c>
      <c r="B658" s="4">
        <v>42618</v>
      </c>
      <c r="C658" s="3">
        <v>9000</v>
      </c>
      <c r="D658" s="3">
        <v>9067</v>
      </c>
      <c r="E658" s="3">
        <v>8997</v>
      </c>
      <c r="F658" s="3">
        <v>9062</v>
      </c>
      <c r="G658" s="3">
        <v>105105</v>
      </c>
      <c r="H658" s="3">
        <v>1.0449999999999999</v>
      </c>
      <c r="I658" s="2">
        <f t="shared" si="149"/>
        <v>0</v>
      </c>
      <c r="J658" s="10">
        <f t="shared" si="151"/>
        <v>69</v>
      </c>
      <c r="K658" s="10">
        <f t="shared" si="150"/>
        <v>62</v>
      </c>
      <c r="L658" s="10">
        <f t="shared" ca="1" si="139"/>
        <v>0</v>
      </c>
      <c r="M658" s="10">
        <f t="shared" ca="1" si="141"/>
        <v>-1</v>
      </c>
      <c r="N658" s="30">
        <f t="shared" ca="1" si="142"/>
        <v>0</v>
      </c>
      <c r="O658" s="10">
        <f t="shared" ca="1" si="143"/>
        <v>1800000</v>
      </c>
      <c r="P658" s="29">
        <f t="shared" ca="1" si="144"/>
        <v>-12900</v>
      </c>
      <c r="Q658" s="12">
        <f t="shared" ca="1" si="145"/>
        <v>-249900</v>
      </c>
      <c r="R658" s="10">
        <f t="shared" ca="1" si="146"/>
        <v>-0.71666666666666667</v>
      </c>
      <c r="S658" s="10">
        <f t="shared" ca="1" si="136"/>
        <v>-1.0540599481450967</v>
      </c>
      <c r="T658" s="14">
        <f t="shared" ca="1" si="137"/>
        <v>-0.20561043047594063</v>
      </c>
      <c r="U658" s="12">
        <f t="shared" ca="1" si="147"/>
        <v>7900</v>
      </c>
      <c r="V658" s="14">
        <f t="shared" ca="1" si="148"/>
        <v>-3263.2911392405063</v>
      </c>
      <c r="W658" s="12">
        <f t="shared" ca="1" si="138"/>
        <v>-1774.6835443037974</v>
      </c>
      <c r="X658" s="7">
        <f ca="1">AVERAGE(E658:OFFSET(F658,-$X$5+1,0))</f>
        <v>8971</v>
      </c>
      <c r="Y658" s="7">
        <f ca="1">AVERAGE(E658:OFFSET(F658,-$Y$5+1,0))</f>
        <v>8981.35</v>
      </c>
      <c r="Z658" s="7">
        <f t="shared" ca="1" si="140"/>
        <v>0</v>
      </c>
    </row>
    <row r="659" spans="1:26">
      <c r="A659" s="3" t="s">
        <v>55</v>
      </c>
      <c r="B659" s="4">
        <v>42619</v>
      </c>
      <c r="C659" s="3">
        <v>9073</v>
      </c>
      <c r="D659" s="3">
        <v>9160</v>
      </c>
      <c r="E659" s="3">
        <v>9062</v>
      </c>
      <c r="F659" s="3">
        <v>9150</v>
      </c>
      <c r="G659" s="3">
        <v>103692</v>
      </c>
      <c r="H659" s="3">
        <v>1.0449999999999999</v>
      </c>
      <c r="I659" s="2">
        <f t="shared" si="149"/>
        <v>0</v>
      </c>
      <c r="J659" s="10">
        <f t="shared" si="151"/>
        <v>11</v>
      </c>
      <c r="K659" s="10">
        <f t="shared" si="150"/>
        <v>77</v>
      </c>
      <c r="L659" s="10">
        <f t="shared" ca="1" si="139"/>
        <v>0</v>
      </c>
      <c r="M659" s="10">
        <f t="shared" ca="1" si="141"/>
        <v>-1</v>
      </c>
      <c r="N659" s="30">
        <f t="shared" ca="1" si="142"/>
        <v>0</v>
      </c>
      <c r="O659" s="10">
        <f t="shared" ca="1" si="143"/>
        <v>1800000</v>
      </c>
      <c r="P659" s="29">
        <f t="shared" ca="1" si="144"/>
        <v>-17600</v>
      </c>
      <c r="Q659" s="12">
        <f t="shared" ca="1" si="145"/>
        <v>-267500</v>
      </c>
      <c r="R659" s="10">
        <f t="shared" ca="1" si="146"/>
        <v>-0.97777777777777775</v>
      </c>
      <c r="S659" s="10">
        <f t="shared" ca="1" si="136"/>
        <v>-1.2915263272674404</v>
      </c>
      <c r="T659" s="14">
        <f t="shared" ca="1" si="137"/>
        <v>-0.22639006719509772</v>
      </c>
      <c r="U659" s="12">
        <f t="shared" ca="1" si="147"/>
        <v>7900</v>
      </c>
      <c r="V659" s="14">
        <f t="shared" ca="1" si="148"/>
        <v>-3486.0759493670885</v>
      </c>
      <c r="W659" s="12">
        <f t="shared" ca="1" si="138"/>
        <v>-1774.6835443037974</v>
      </c>
      <c r="X659" s="7">
        <f ca="1">AVERAGE(E659:OFFSET(F659,-$X$5+1,0))</f>
        <v>8986.5</v>
      </c>
      <c r="Y659" s="7">
        <f ca="1">AVERAGE(E659:OFFSET(F659,-$Y$5+1,0))</f>
        <v>8997.15</v>
      </c>
      <c r="Z659" s="7">
        <f t="shared" ca="1" si="140"/>
        <v>0</v>
      </c>
    </row>
    <row r="660" spans="1:26">
      <c r="A660" s="3" t="s">
        <v>55</v>
      </c>
      <c r="B660" s="4">
        <v>42620</v>
      </c>
      <c r="C660" s="3">
        <v>9156</v>
      </c>
      <c r="D660" s="3">
        <v>9262</v>
      </c>
      <c r="E660" s="3">
        <v>9150</v>
      </c>
      <c r="F660" s="3">
        <v>9253</v>
      </c>
      <c r="G660" s="3">
        <v>121479</v>
      </c>
      <c r="H660" s="3">
        <v>1.0449999999999999</v>
      </c>
      <c r="I660" s="2">
        <f t="shared" si="149"/>
        <v>0</v>
      </c>
      <c r="J660" s="10">
        <f t="shared" si="151"/>
        <v>6</v>
      </c>
      <c r="K660" s="10">
        <f t="shared" si="150"/>
        <v>97</v>
      </c>
      <c r="L660" s="10">
        <f t="shared" ca="1" si="139"/>
        <v>1</v>
      </c>
      <c r="M660" s="10">
        <f t="shared" ca="1" si="141"/>
        <v>-1</v>
      </c>
      <c r="N660" s="30">
        <f t="shared" ca="1" si="142"/>
        <v>0</v>
      </c>
      <c r="O660" s="10">
        <f t="shared" ca="1" si="143"/>
        <v>1800000</v>
      </c>
      <c r="P660" s="29">
        <f t="shared" ca="1" si="144"/>
        <v>-20600</v>
      </c>
      <c r="Q660" s="12">
        <f t="shared" ca="1" si="145"/>
        <v>-288100</v>
      </c>
      <c r="R660" s="10">
        <f t="shared" ca="1" si="146"/>
        <v>-1.1444444444444444</v>
      </c>
      <c r="S660" s="10">
        <f t="shared" ca="1" si="136"/>
        <v>-1.4538757905449611</v>
      </c>
      <c r="T660" s="14">
        <f t="shared" ca="1" si="137"/>
        <v>-0.23990597940471642</v>
      </c>
      <c r="U660" s="12">
        <f t="shared" ca="1" si="147"/>
        <v>7900</v>
      </c>
      <c r="V660" s="14">
        <f t="shared" ca="1" si="148"/>
        <v>-3746.8354430379745</v>
      </c>
      <c r="W660" s="12">
        <f t="shared" ca="1" si="138"/>
        <v>-1774.6835443037974</v>
      </c>
      <c r="X660" s="7">
        <f ca="1">AVERAGE(E660:OFFSET(F660,-$X$5+1,0))</f>
        <v>9033.2999999999993</v>
      </c>
      <c r="Y660" s="7">
        <f ca="1">AVERAGE(E660:OFFSET(F660,-$Y$5+1,0))</f>
        <v>9022.1</v>
      </c>
      <c r="Z660" s="7">
        <f t="shared" ca="1" si="140"/>
        <v>1</v>
      </c>
    </row>
    <row r="661" spans="1:26">
      <c r="A661" s="3" t="s">
        <v>55</v>
      </c>
      <c r="B661" s="4">
        <v>42621</v>
      </c>
      <c r="C661" s="3">
        <v>9251</v>
      </c>
      <c r="D661" s="3">
        <v>9253</v>
      </c>
      <c r="E661" s="3">
        <v>9215</v>
      </c>
      <c r="F661" s="3">
        <v>9239</v>
      </c>
      <c r="G661" s="3">
        <v>74430</v>
      </c>
      <c r="H661" s="3">
        <v>1.0449999999999999</v>
      </c>
      <c r="I661" s="2">
        <f t="shared" si="149"/>
        <v>0</v>
      </c>
      <c r="J661" s="10">
        <f t="shared" si="151"/>
        <v>-2</v>
      </c>
      <c r="K661" s="10">
        <f t="shared" si="150"/>
        <v>-12</v>
      </c>
      <c r="L661" s="10">
        <f t="shared" ca="1" si="139"/>
        <v>0</v>
      </c>
      <c r="M661" s="10">
        <f t="shared" ca="1" si="141"/>
        <v>0</v>
      </c>
      <c r="N661" s="30">
        <f t="shared" ca="1" si="142"/>
        <v>0</v>
      </c>
      <c r="O661" s="10">
        <f t="shared" ca="1" si="143"/>
        <v>0</v>
      </c>
      <c r="P661" s="29">
        <f t="shared" ca="1" si="144"/>
        <v>-100</v>
      </c>
      <c r="Q661" s="12">
        <f t="shared" ca="1" si="145"/>
        <v>-288200</v>
      </c>
      <c r="R661" s="10">
        <f t="shared" ca="1" si="146"/>
        <v>-5.5555555555555558E-3</v>
      </c>
      <c r="S661" s="10">
        <f t="shared" ca="1" si="136"/>
        <v>-1.6259177590927816</v>
      </c>
      <c r="T661" s="14">
        <f t="shared" ca="1" si="137"/>
        <v>-0.25538906040125064</v>
      </c>
      <c r="U661" s="12">
        <f t="shared" ca="1" si="147"/>
        <v>7900</v>
      </c>
      <c r="V661" s="14">
        <f t="shared" ca="1" si="148"/>
        <v>-3748.1012658227846</v>
      </c>
      <c r="W661" s="12">
        <f t="shared" ca="1" si="138"/>
        <v>-1774.6835443037974</v>
      </c>
      <c r="X661" s="7">
        <f ca="1">AVERAGE(E661:OFFSET(F661,-$X$5+1,0))</f>
        <v>9096.2999999999993</v>
      </c>
      <c r="Y661" s="7">
        <f ca="1">AVERAGE(E661:OFFSET(F661,-$Y$5+1,0))</f>
        <v>9044.25</v>
      </c>
      <c r="Z661" s="7">
        <f t="shared" ca="1" si="140"/>
        <v>0</v>
      </c>
    </row>
    <row r="662" spans="1:26">
      <c r="A662" s="3" t="s">
        <v>55</v>
      </c>
      <c r="B662" s="4">
        <v>42622</v>
      </c>
      <c r="C662" s="3">
        <v>9182</v>
      </c>
      <c r="D662" s="3">
        <v>9184</v>
      </c>
      <c r="E662" s="3">
        <v>9113</v>
      </c>
      <c r="F662" s="3">
        <v>9127</v>
      </c>
      <c r="G662" s="3">
        <v>128752</v>
      </c>
      <c r="H662" s="3">
        <v>1.0449999999999999</v>
      </c>
      <c r="I662" s="2">
        <f t="shared" si="149"/>
        <v>0</v>
      </c>
      <c r="J662" s="10">
        <f t="shared" si="151"/>
        <v>-57</v>
      </c>
      <c r="K662" s="10">
        <f t="shared" si="150"/>
        <v>-55</v>
      </c>
      <c r="L662" s="10">
        <f t="shared" ca="1" si="139"/>
        <v>0</v>
      </c>
      <c r="M662" s="10">
        <f t="shared" ca="1" si="141"/>
        <v>0</v>
      </c>
      <c r="N662" s="30">
        <f t="shared" ca="1" si="142"/>
        <v>0</v>
      </c>
      <c r="O662" s="10">
        <f t="shared" ca="1" si="143"/>
        <v>0</v>
      </c>
      <c r="P662" s="29">
        <f t="shared" ca="1" si="144"/>
        <v>0</v>
      </c>
      <c r="Q662" s="12">
        <f t="shared" ca="1" si="145"/>
        <v>-288200</v>
      </c>
      <c r="R662" s="10">
        <f t="shared" ca="1" si="146"/>
        <v>0</v>
      </c>
      <c r="S662" s="10">
        <f t="shared" ca="1" si="136"/>
        <v>-1.6259177590927816</v>
      </c>
      <c r="T662" s="14">
        <f t="shared" ca="1" si="137"/>
        <v>-0.25528503743668701</v>
      </c>
      <c r="U662" s="12">
        <f t="shared" ca="1" si="147"/>
        <v>7900</v>
      </c>
      <c r="V662" s="14">
        <f t="shared" ca="1" si="148"/>
        <v>-3748.1012658227846</v>
      </c>
      <c r="W662" s="12">
        <f t="shared" ca="1" si="138"/>
        <v>-1774.6835443037974</v>
      </c>
      <c r="X662" s="7">
        <f ca="1">AVERAGE(E662:OFFSET(F662,-$X$5+1,0))</f>
        <v>9136.7999999999993</v>
      </c>
      <c r="Y662" s="7">
        <f ca="1">AVERAGE(E662:OFFSET(F662,-$Y$5+1,0))</f>
        <v>9050.4500000000007</v>
      </c>
      <c r="Z662" s="7">
        <f t="shared" ca="1" si="140"/>
        <v>0</v>
      </c>
    </row>
    <row r="663" spans="1:26">
      <c r="A663" s="3" t="s">
        <v>55</v>
      </c>
      <c r="B663" s="4">
        <v>42623</v>
      </c>
      <c r="C663" s="3">
        <v>8930</v>
      </c>
      <c r="D663" s="3">
        <v>9001</v>
      </c>
      <c r="E663" s="3">
        <v>8923</v>
      </c>
      <c r="F663" s="3">
        <v>8953</v>
      </c>
      <c r="G663" s="3">
        <v>75595</v>
      </c>
      <c r="H663" s="3">
        <v>1.0449999999999999</v>
      </c>
      <c r="I663" s="2">
        <f t="shared" si="149"/>
        <v>0</v>
      </c>
      <c r="J663" s="10">
        <f t="shared" si="151"/>
        <v>-197</v>
      </c>
      <c r="K663" s="10">
        <f t="shared" si="150"/>
        <v>23</v>
      </c>
      <c r="L663" s="10">
        <f t="shared" ca="1" si="139"/>
        <v>0</v>
      </c>
      <c r="M663" s="10">
        <f t="shared" ca="1" si="141"/>
        <v>0</v>
      </c>
      <c r="N663" s="30">
        <f t="shared" ca="1" si="142"/>
        <v>0</v>
      </c>
      <c r="O663" s="10">
        <f t="shared" ca="1" si="143"/>
        <v>0</v>
      </c>
      <c r="P663" s="29">
        <f t="shared" ca="1" si="144"/>
        <v>0</v>
      </c>
      <c r="Q663" s="12">
        <f t="shared" ca="1" si="145"/>
        <v>-288200</v>
      </c>
      <c r="R663" s="10">
        <f t="shared" ca="1" si="146"/>
        <v>0</v>
      </c>
      <c r="S663" s="10">
        <f t="shared" ca="1" si="136"/>
        <v>-1.6259177590927816</v>
      </c>
      <c r="T663" s="14">
        <f t="shared" ca="1" si="137"/>
        <v>-0.25518101447212349</v>
      </c>
      <c r="U663" s="12">
        <f t="shared" ca="1" si="147"/>
        <v>7900</v>
      </c>
      <c r="V663" s="14">
        <f t="shared" ca="1" si="148"/>
        <v>-3748.1012658227846</v>
      </c>
      <c r="W663" s="12">
        <f t="shared" ca="1" si="138"/>
        <v>-1774.6835443037974</v>
      </c>
      <c r="X663" s="7">
        <f ca="1">AVERAGE(E663:OFFSET(F663,-$X$5+1,0))</f>
        <v>9118.5</v>
      </c>
      <c r="Y663" s="7">
        <f ca="1">AVERAGE(E663:OFFSET(F663,-$Y$5+1,0))</f>
        <v>9044.75</v>
      </c>
      <c r="Z663" s="7">
        <f t="shared" ca="1" si="140"/>
        <v>0</v>
      </c>
    </row>
    <row r="664" spans="1:26">
      <c r="A664" s="3" t="s">
        <v>55</v>
      </c>
      <c r="B664" s="4">
        <v>42625</v>
      </c>
      <c r="C664" s="3">
        <v>8990</v>
      </c>
      <c r="D664" s="3">
        <v>8994</v>
      </c>
      <c r="E664" s="3">
        <v>8898</v>
      </c>
      <c r="F664" s="3">
        <v>8899</v>
      </c>
      <c r="G664" s="3">
        <v>137444</v>
      </c>
      <c r="H664" s="3">
        <v>1.0449999999999999</v>
      </c>
      <c r="I664" s="2">
        <f t="shared" si="149"/>
        <v>0</v>
      </c>
      <c r="J664" s="10">
        <f t="shared" si="151"/>
        <v>37</v>
      </c>
      <c r="K664" s="10">
        <f t="shared" si="150"/>
        <v>-91</v>
      </c>
      <c r="L664" s="10">
        <f t="shared" ca="1" si="139"/>
        <v>0</v>
      </c>
      <c r="M664" s="10">
        <f t="shared" ca="1" si="141"/>
        <v>0</v>
      </c>
      <c r="N664" s="30">
        <f t="shared" ca="1" si="142"/>
        <v>0</v>
      </c>
      <c r="O664" s="10">
        <f t="shared" ca="1" si="143"/>
        <v>0</v>
      </c>
      <c r="P664" s="29">
        <f t="shared" ca="1" si="144"/>
        <v>0</v>
      </c>
      <c r="Q664" s="12">
        <f t="shared" ca="1" si="145"/>
        <v>-288200</v>
      </c>
      <c r="R664" s="10">
        <f t="shared" ca="1" si="146"/>
        <v>0</v>
      </c>
      <c r="S664" s="10">
        <f t="shared" ca="1" si="136"/>
        <v>-1.6259177590927816</v>
      </c>
      <c r="T664" s="14">
        <f t="shared" ca="1" si="137"/>
        <v>-0.25507699150755986</v>
      </c>
      <c r="U664" s="12">
        <f t="shared" ca="1" si="147"/>
        <v>7900</v>
      </c>
      <c r="V664" s="14">
        <f t="shared" ca="1" si="148"/>
        <v>-3748.1012658227846</v>
      </c>
      <c r="W664" s="12">
        <f t="shared" ca="1" si="138"/>
        <v>-1774.6835443037974</v>
      </c>
      <c r="X664" s="7">
        <f ca="1">AVERAGE(E664:OFFSET(F664,-$X$5+1,0))</f>
        <v>9077</v>
      </c>
      <c r="Y664" s="7">
        <f ca="1">AVERAGE(E664:OFFSET(F664,-$Y$5+1,0))</f>
        <v>9031.75</v>
      </c>
      <c r="Z664" s="7">
        <f t="shared" ca="1" si="140"/>
        <v>0</v>
      </c>
    </row>
    <row r="665" spans="1:26">
      <c r="A665" s="3" t="s">
        <v>55</v>
      </c>
      <c r="B665" s="4">
        <v>42626</v>
      </c>
      <c r="C665" s="3">
        <v>8974</v>
      </c>
      <c r="D665" s="3">
        <v>8979</v>
      </c>
      <c r="E665" s="3">
        <v>8816</v>
      </c>
      <c r="F665" s="3">
        <v>8906</v>
      </c>
      <c r="G665" s="3">
        <v>173830</v>
      </c>
      <c r="H665" s="3">
        <v>1.0449999999999999</v>
      </c>
      <c r="I665" s="2">
        <f t="shared" si="149"/>
        <v>0</v>
      </c>
      <c r="J665" s="10">
        <f t="shared" si="151"/>
        <v>75</v>
      </c>
      <c r="K665" s="10">
        <f t="shared" si="150"/>
        <v>-68</v>
      </c>
      <c r="L665" s="10">
        <f t="shared" ca="1" si="139"/>
        <v>-1</v>
      </c>
      <c r="M665" s="10">
        <f t="shared" ca="1" si="141"/>
        <v>0</v>
      </c>
      <c r="N665" s="30">
        <f t="shared" ca="1" si="142"/>
        <v>0</v>
      </c>
      <c r="O665" s="10">
        <f t="shared" ca="1" si="143"/>
        <v>0</v>
      </c>
      <c r="P665" s="29">
        <f t="shared" ca="1" si="144"/>
        <v>0</v>
      </c>
      <c r="Q665" s="12">
        <f t="shared" ca="1" si="145"/>
        <v>-288200</v>
      </c>
      <c r="R665" s="10">
        <f t="shared" ca="1" si="146"/>
        <v>0</v>
      </c>
      <c r="S665" s="10">
        <f t="shared" ca="1" si="136"/>
        <v>-1.6259177590927816</v>
      </c>
      <c r="T665" s="14">
        <f t="shared" ca="1" si="137"/>
        <v>-0.25497296854299628</v>
      </c>
      <c r="U665" s="12">
        <f t="shared" ca="1" si="147"/>
        <v>7900</v>
      </c>
      <c r="V665" s="14">
        <f t="shared" ca="1" si="148"/>
        <v>-3748.1012658227846</v>
      </c>
      <c r="W665" s="12">
        <f t="shared" ca="1" si="138"/>
        <v>-1774.6835443037974</v>
      </c>
      <c r="X665" s="7">
        <f ca="1">AVERAGE(E665:OFFSET(F665,-$X$5+1,0))</f>
        <v>9008.9</v>
      </c>
      <c r="Y665" s="7">
        <f ca="1">AVERAGE(E665:OFFSET(F665,-$Y$5+1,0))</f>
        <v>9021.1</v>
      </c>
      <c r="Z665" s="7">
        <f t="shared" ca="1" si="140"/>
        <v>-1</v>
      </c>
    </row>
    <row r="666" spans="1:26">
      <c r="A666" s="3" t="s">
        <v>55</v>
      </c>
      <c r="B666" s="4">
        <v>42627</v>
      </c>
      <c r="C666" s="3">
        <v>8866</v>
      </c>
      <c r="D666" s="3">
        <v>8942</v>
      </c>
      <c r="E666" s="3">
        <v>8854</v>
      </c>
      <c r="F666" s="3">
        <v>8874</v>
      </c>
      <c r="G666" s="3">
        <v>129885</v>
      </c>
      <c r="H666" s="3">
        <v>1.0449999999999999</v>
      </c>
      <c r="I666" s="2">
        <f t="shared" si="149"/>
        <v>0</v>
      </c>
      <c r="J666" s="10">
        <f t="shared" si="151"/>
        <v>-40</v>
      </c>
      <c r="K666" s="10">
        <f t="shared" si="150"/>
        <v>8</v>
      </c>
      <c r="L666" s="10">
        <f t="shared" ca="1" si="139"/>
        <v>0</v>
      </c>
      <c r="M666" s="10">
        <f t="shared" ca="1" si="141"/>
        <v>-1</v>
      </c>
      <c r="N666" s="30">
        <f t="shared" ca="1" si="142"/>
        <v>0</v>
      </c>
      <c r="O666" s="10">
        <f t="shared" ca="1" si="143"/>
        <v>1773200</v>
      </c>
      <c r="P666" s="29">
        <f t="shared" ca="1" si="144"/>
        <v>-2100</v>
      </c>
      <c r="Q666" s="12">
        <f t="shared" ca="1" si="145"/>
        <v>-290300</v>
      </c>
      <c r="R666" s="10">
        <f t="shared" ca="1" si="146"/>
        <v>-0.11842995713963456</v>
      </c>
      <c r="S666" s="10">
        <f t="shared" ca="1" si="136"/>
        <v>-1.6513605854273183</v>
      </c>
      <c r="T666" s="14">
        <f t="shared" ca="1" si="137"/>
        <v>-0.25716132577967793</v>
      </c>
      <c r="U666" s="12">
        <f t="shared" ca="1" si="147"/>
        <v>7900</v>
      </c>
      <c r="V666" s="14">
        <f t="shared" ca="1" si="148"/>
        <v>-3774.6835443037976</v>
      </c>
      <c r="W666" s="12">
        <f t="shared" ca="1" si="138"/>
        <v>-1774.6835443037974</v>
      </c>
      <c r="X666" s="7">
        <f ca="1">AVERAGE(E666:OFFSET(F666,-$X$5+1,0))</f>
        <v>8936.2999999999993</v>
      </c>
      <c r="Y666" s="7">
        <f ca="1">AVERAGE(E666:OFFSET(F666,-$Y$5+1,0))</f>
        <v>9016.2999999999993</v>
      </c>
      <c r="Z666" s="7">
        <f t="shared" ca="1" si="140"/>
        <v>0</v>
      </c>
    </row>
    <row r="667" spans="1:26">
      <c r="A667" s="3" t="s">
        <v>55</v>
      </c>
      <c r="B667" s="4">
        <v>42632</v>
      </c>
      <c r="C667" s="3">
        <v>8949</v>
      </c>
      <c r="D667" s="3">
        <v>9158</v>
      </c>
      <c r="E667" s="3">
        <v>8947</v>
      </c>
      <c r="F667" s="3">
        <v>9151</v>
      </c>
      <c r="G667" s="3">
        <v>162262</v>
      </c>
      <c r="H667" s="3">
        <v>1.0449999999999999</v>
      </c>
      <c r="I667" s="2">
        <f t="shared" si="149"/>
        <v>0</v>
      </c>
      <c r="J667" s="10">
        <f t="shared" si="151"/>
        <v>75</v>
      </c>
      <c r="K667" s="10">
        <f t="shared" si="150"/>
        <v>202</v>
      </c>
      <c r="L667" s="10">
        <f t="shared" ca="1" si="139"/>
        <v>0</v>
      </c>
      <c r="M667" s="10">
        <f t="shared" ca="1" si="141"/>
        <v>-1</v>
      </c>
      <c r="N667" s="30">
        <f t="shared" ca="1" si="142"/>
        <v>0</v>
      </c>
      <c r="O667" s="10">
        <f t="shared" ca="1" si="143"/>
        <v>1773200</v>
      </c>
      <c r="P667" s="29">
        <f t="shared" ca="1" si="144"/>
        <v>-55400</v>
      </c>
      <c r="Q667" s="12">
        <f t="shared" ca="1" si="145"/>
        <v>-345700</v>
      </c>
      <c r="R667" s="10">
        <f t="shared" ca="1" si="146"/>
        <v>-3.1242950597789307</v>
      </c>
      <c r="S667" s="10">
        <f t="shared" ca="1" si="136"/>
        <v>-2.3225665753955753</v>
      </c>
      <c r="T667" s="14">
        <f t="shared" ca="1" si="137"/>
        <v>-0.30713303864494762</v>
      </c>
      <c r="U667" s="12">
        <f t="shared" ca="1" si="147"/>
        <v>7900</v>
      </c>
      <c r="V667" s="14">
        <f t="shared" ca="1" si="148"/>
        <v>-4475.9493670886077</v>
      </c>
      <c r="W667" s="12">
        <f t="shared" ca="1" si="138"/>
        <v>-1774.6835443037974</v>
      </c>
      <c r="X667" s="7">
        <f ca="1">AVERAGE(E667:OFFSET(F667,-$X$5+1,0))</f>
        <v>8922.1</v>
      </c>
      <c r="Y667" s="7">
        <f ca="1">AVERAGE(E667:OFFSET(F667,-$Y$5+1,0))</f>
        <v>9029.4500000000007</v>
      </c>
      <c r="Z667" s="7">
        <f t="shared" ca="1" si="140"/>
        <v>0</v>
      </c>
    </row>
    <row r="668" spans="1:26">
      <c r="A668" s="3" t="s">
        <v>55</v>
      </c>
      <c r="B668" s="4">
        <v>42633</v>
      </c>
      <c r="C668" s="3">
        <v>9142</v>
      </c>
      <c r="D668" s="3">
        <v>9164</v>
      </c>
      <c r="E668" s="3">
        <v>9113</v>
      </c>
      <c r="F668" s="3">
        <v>9141</v>
      </c>
      <c r="G668" s="3">
        <v>107397</v>
      </c>
      <c r="H668" s="3">
        <v>1.0449999999999999</v>
      </c>
      <c r="I668" s="2">
        <f t="shared" si="149"/>
        <v>0</v>
      </c>
      <c r="J668" s="10">
        <f t="shared" si="151"/>
        <v>-9</v>
      </c>
      <c r="K668" s="10">
        <f t="shared" si="150"/>
        <v>-1</v>
      </c>
      <c r="L668" s="10">
        <f t="shared" ca="1" si="139"/>
        <v>0</v>
      </c>
      <c r="M668" s="10">
        <f t="shared" ca="1" si="141"/>
        <v>-1</v>
      </c>
      <c r="N668" s="30">
        <f t="shared" ca="1" si="142"/>
        <v>0</v>
      </c>
      <c r="O668" s="10">
        <f t="shared" ca="1" si="143"/>
        <v>1773200</v>
      </c>
      <c r="P668" s="29">
        <f t="shared" ca="1" si="144"/>
        <v>2000</v>
      </c>
      <c r="Q668" s="12">
        <f t="shared" ca="1" si="145"/>
        <v>-343700</v>
      </c>
      <c r="R668" s="10">
        <f t="shared" ca="1" si="146"/>
        <v>0.11279043537108054</v>
      </c>
      <c r="S668" s="10">
        <f t="shared" ca="1" si="136"/>
        <v>-2.3455862754125372</v>
      </c>
      <c r="T668" s="14">
        <f t="shared" ca="1" si="137"/>
        <v>-0.30903093124647568</v>
      </c>
      <c r="U668" s="12">
        <f t="shared" ca="1" si="147"/>
        <v>7900</v>
      </c>
      <c r="V668" s="14">
        <f t="shared" ca="1" si="148"/>
        <v>-4450.6329113924048</v>
      </c>
      <c r="W668" s="12">
        <f t="shared" ca="1" si="138"/>
        <v>-1774.6835443037974</v>
      </c>
      <c r="X668" s="7">
        <f ca="1">AVERAGE(E668:OFFSET(F668,-$X$5+1,0))</f>
        <v>8959.9</v>
      </c>
      <c r="Y668" s="7">
        <f ca="1">AVERAGE(E668:OFFSET(F668,-$Y$5+1,0))</f>
        <v>9039.2000000000007</v>
      </c>
      <c r="Z668" s="7">
        <f t="shared" ca="1" si="140"/>
        <v>0</v>
      </c>
    </row>
    <row r="669" spans="1:26">
      <c r="A669" s="3" t="s">
        <v>55</v>
      </c>
      <c r="B669" s="4">
        <v>42634</v>
      </c>
      <c r="C669" s="3">
        <v>9129</v>
      </c>
      <c r="D669" s="3">
        <v>9224</v>
      </c>
      <c r="E669" s="3">
        <v>9115</v>
      </c>
      <c r="F669" s="3">
        <v>9221</v>
      </c>
      <c r="G669" s="3">
        <v>76502</v>
      </c>
      <c r="H669" s="3">
        <v>1.0449999999999999</v>
      </c>
      <c r="I669" s="2">
        <f t="shared" si="149"/>
        <v>1</v>
      </c>
      <c r="J669" s="10">
        <f t="shared" si="151"/>
        <v>-12</v>
      </c>
      <c r="K669" s="10">
        <f t="shared" si="150"/>
        <v>92</v>
      </c>
      <c r="L669" s="10">
        <f t="shared" ca="1" si="139"/>
        <v>0</v>
      </c>
      <c r="M669" s="10">
        <f t="shared" si="141"/>
        <v>0</v>
      </c>
      <c r="N669" s="30">
        <f t="shared" si="142"/>
        <v>0</v>
      </c>
      <c r="O669" s="10">
        <f t="shared" si="143"/>
        <v>0</v>
      </c>
      <c r="P669" s="29">
        <f t="shared" ca="1" si="144"/>
        <v>1900</v>
      </c>
      <c r="Q669" s="12">
        <f t="shared" ca="1" si="145"/>
        <v>-341800</v>
      </c>
      <c r="R669" s="10">
        <f t="shared" ca="1" si="146"/>
        <v>0.1071509136025265</v>
      </c>
      <c r="S669" s="10">
        <f t="shared" ca="1" si="136"/>
        <v>-2.2862196806319512</v>
      </c>
      <c r="T669" s="14">
        <f t="shared" ca="1" si="137"/>
        <v>-0.30371907708070717</v>
      </c>
      <c r="U669" s="12">
        <f t="shared" ca="1" si="147"/>
        <v>7900</v>
      </c>
      <c r="V669" s="14">
        <f t="shared" ca="1" si="148"/>
        <v>-4426.5822784810125</v>
      </c>
      <c r="W669" s="12">
        <f t="shared" ca="1" si="138"/>
        <v>-1774.6835443037974</v>
      </c>
      <c r="X669" s="7">
        <f ca="1">AVERAGE(E669:OFFSET(F669,-$X$5+1,0))</f>
        <v>9013.7999999999993</v>
      </c>
      <c r="Y669" s="7">
        <f ca="1">AVERAGE(E669:OFFSET(F669,-$Y$5+1,0))</f>
        <v>9045.4</v>
      </c>
      <c r="Z669" s="7">
        <f t="shared" ca="1" si="140"/>
        <v>0</v>
      </c>
    </row>
    <row r="670" spans="1:26">
      <c r="A670" s="3" t="s">
        <v>56</v>
      </c>
      <c r="B670" s="4">
        <v>42635</v>
      </c>
      <c r="C670" s="3">
        <v>9221</v>
      </c>
      <c r="D670" s="3">
        <v>9262</v>
      </c>
      <c r="E670" s="3">
        <v>9154</v>
      </c>
      <c r="F670" s="3">
        <v>9188</v>
      </c>
      <c r="G670" s="3">
        <v>123322</v>
      </c>
      <c r="H670" s="3">
        <v>1.0449999999999999</v>
      </c>
      <c r="I670" s="2">
        <f t="shared" si="149"/>
        <v>0</v>
      </c>
      <c r="J670" s="10">
        <f t="shared" si="151"/>
        <v>0</v>
      </c>
      <c r="K670" s="10">
        <f t="shared" si="150"/>
        <v>-33</v>
      </c>
      <c r="L670" s="10">
        <f t="shared" ca="1" si="139"/>
        <v>1</v>
      </c>
      <c r="M670" s="10">
        <f t="shared" ca="1" si="141"/>
        <v>0</v>
      </c>
      <c r="N670" s="30">
        <f t="shared" ca="1" si="142"/>
        <v>0</v>
      </c>
      <c r="O670" s="10">
        <f t="shared" ca="1" si="143"/>
        <v>0</v>
      </c>
      <c r="P670" s="29">
        <f t="shared" ca="1" si="144"/>
        <v>0</v>
      </c>
      <c r="Q670" s="12">
        <f t="shared" ca="1" si="145"/>
        <v>-341800</v>
      </c>
      <c r="R670" s="10">
        <f t="shared" ca="1" si="146"/>
        <v>0</v>
      </c>
      <c r="S670" s="10">
        <f t="shared" ca="1" si="136"/>
        <v>-1.8645957013739127</v>
      </c>
      <c r="T670" s="14">
        <f t="shared" ca="1" si="137"/>
        <v>-0.26671463185407884</v>
      </c>
      <c r="U670" s="12">
        <f t="shared" ca="1" si="147"/>
        <v>7900</v>
      </c>
      <c r="V670" s="14">
        <f t="shared" ca="1" si="148"/>
        <v>-4426.5822784810125</v>
      </c>
      <c r="W670" s="12">
        <f t="shared" ca="1" si="138"/>
        <v>-1774.6835443037974</v>
      </c>
      <c r="X670" s="7">
        <f ca="1">AVERAGE(E670:OFFSET(F670,-$X$5+1,0))</f>
        <v>9075.7999999999993</v>
      </c>
      <c r="Y670" s="7">
        <f ca="1">AVERAGE(E670:OFFSET(F670,-$Y$5+1,0))</f>
        <v>9042.35</v>
      </c>
      <c r="Z670" s="7">
        <f t="shared" ca="1" si="140"/>
        <v>1</v>
      </c>
    </row>
    <row r="671" spans="1:26">
      <c r="A671" s="3" t="s">
        <v>56</v>
      </c>
      <c r="B671" s="4">
        <v>42636</v>
      </c>
      <c r="C671" s="3">
        <v>9234</v>
      </c>
      <c r="D671" s="3">
        <v>9248</v>
      </c>
      <c r="E671" s="3">
        <v>9189</v>
      </c>
      <c r="F671" s="3">
        <v>9236</v>
      </c>
      <c r="G671" s="3">
        <v>95279</v>
      </c>
      <c r="H671" s="3">
        <v>1.0449999999999999</v>
      </c>
      <c r="I671" s="2">
        <f t="shared" si="149"/>
        <v>0</v>
      </c>
      <c r="J671" s="10">
        <f t="shared" si="151"/>
        <v>46</v>
      </c>
      <c r="K671" s="10">
        <f t="shared" si="150"/>
        <v>2</v>
      </c>
      <c r="L671" s="10">
        <f t="shared" ca="1" si="139"/>
        <v>0</v>
      </c>
      <c r="M671" s="10">
        <f t="shared" ca="1" si="141"/>
        <v>1</v>
      </c>
      <c r="N671" s="30">
        <f t="shared" ca="1" si="142"/>
        <v>1846800</v>
      </c>
      <c r="O671" s="10">
        <f t="shared" ca="1" si="143"/>
        <v>1846800</v>
      </c>
      <c r="P671" s="29">
        <f t="shared" ca="1" si="144"/>
        <v>-100</v>
      </c>
      <c r="Q671" s="12">
        <f t="shared" ca="1" si="145"/>
        <v>-341900</v>
      </c>
      <c r="R671" s="10">
        <f t="shared" ca="1" si="146"/>
        <v>-5.4147714966428419E-3</v>
      </c>
      <c r="S671" s="10">
        <f t="shared" ca="1" si="136"/>
        <v>-1.588024473793636</v>
      </c>
      <c r="T671" s="14">
        <f t="shared" ca="1" si="137"/>
        <v>-0.2424064722277125</v>
      </c>
      <c r="U671" s="12">
        <f t="shared" ca="1" si="147"/>
        <v>7900</v>
      </c>
      <c r="V671" s="14">
        <f t="shared" ca="1" si="148"/>
        <v>-4427.8481012658231</v>
      </c>
      <c r="W671" s="12">
        <f t="shared" ca="1" si="138"/>
        <v>-1774.6835443037974</v>
      </c>
      <c r="X671" s="7">
        <f ca="1">AVERAGE(E671:OFFSET(F671,-$X$5+1,0))</f>
        <v>9145.5</v>
      </c>
      <c r="Y671" s="7">
        <f ca="1">AVERAGE(E671:OFFSET(F671,-$Y$5+1,0))</f>
        <v>9040.9</v>
      </c>
      <c r="Z671" s="7">
        <f t="shared" ca="1" si="140"/>
        <v>0</v>
      </c>
    </row>
    <row r="672" spans="1:26">
      <c r="A672" s="3" t="s">
        <v>56</v>
      </c>
      <c r="B672" s="4">
        <v>42639</v>
      </c>
      <c r="C672" s="3">
        <v>9222</v>
      </c>
      <c r="D672" s="3">
        <v>9226</v>
      </c>
      <c r="E672" s="3">
        <v>9148</v>
      </c>
      <c r="F672" s="3">
        <v>9154</v>
      </c>
      <c r="G672" s="3">
        <v>95532</v>
      </c>
      <c r="H672" s="3">
        <v>1.0449999999999999</v>
      </c>
      <c r="I672" s="2">
        <f t="shared" si="149"/>
        <v>0</v>
      </c>
      <c r="J672" s="10">
        <f t="shared" si="151"/>
        <v>-14</v>
      </c>
      <c r="K672" s="10">
        <f t="shared" si="150"/>
        <v>-68</v>
      </c>
      <c r="L672" s="10">
        <f t="shared" ca="1" si="139"/>
        <v>0</v>
      </c>
      <c r="M672" s="10">
        <f t="shared" ca="1" si="141"/>
        <v>1</v>
      </c>
      <c r="N672" s="30">
        <f t="shared" ca="1" si="142"/>
        <v>0</v>
      </c>
      <c r="O672" s="10">
        <f t="shared" ca="1" si="143"/>
        <v>1846800</v>
      </c>
      <c r="P672" s="29">
        <f t="shared" ca="1" si="144"/>
        <v>-16400</v>
      </c>
      <c r="Q672" s="12">
        <f t="shared" ca="1" si="145"/>
        <v>-358300</v>
      </c>
      <c r="R672" s="10">
        <f t="shared" ca="1" si="146"/>
        <v>-0.88802252544942606</v>
      </c>
      <c r="S672" s="10">
        <f t="shared" ca="1" si="136"/>
        <v>-1.6355464031839693</v>
      </c>
      <c r="T672" s="14">
        <f t="shared" ca="1" si="137"/>
        <v>-0.24582567263874461</v>
      </c>
      <c r="U672" s="12">
        <f t="shared" ca="1" si="147"/>
        <v>7900</v>
      </c>
      <c r="V672" s="14">
        <f t="shared" ca="1" si="148"/>
        <v>-4635.4430379746836</v>
      </c>
      <c r="W672" s="12">
        <f t="shared" ca="1" si="138"/>
        <v>-1774.6835443037974</v>
      </c>
      <c r="X672" s="7">
        <f ca="1">AVERAGE(E672:OFFSET(F672,-$X$5+1,0))</f>
        <v>9165.9</v>
      </c>
      <c r="Y672" s="7">
        <f ca="1">AVERAGE(E672:OFFSET(F672,-$Y$5+1,0))</f>
        <v>9044</v>
      </c>
      <c r="Z672" s="7">
        <f t="shared" ca="1" si="140"/>
        <v>0</v>
      </c>
    </row>
    <row r="673" spans="1:26">
      <c r="A673" s="3" t="s">
        <v>56</v>
      </c>
      <c r="B673" s="4">
        <v>42642</v>
      </c>
      <c r="C673" s="3">
        <v>9226</v>
      </c>
      <c r="D673" s="3">
        <v>9297</v>
      </c>
      <c r="E673" s="3">
        <v>9206</v>
      </c>
      <c r="F673" s="3">
        <v>9253</v>
      </c>
      <c r="G673" s="3">
        <v>134752</v>
      </c>
      <c r="H673" s="3">
        <v>1.0449999999999999</v>
      </c>
      <c r="I673" s="2">
        <f t="shared" si="149"/>
        <v>0</v>
      </c>
      <c r="J673" s="10">
        <f t="shared" si="151"/>
        <v>72</v>
      </c>
      <c r="K673" s="10">
        <f t="shared" si="150"/>
        <v>27</v>
      </c>
      <c r="L673" s="10">
        <f t="shared" ca="1" si="139"/>
        <v>0</v>
      </c>
      <c r="M673" s="10">
        <f t="shared" ca="1" si="141"/>
        <v>1</v>
      </c>
      <c r="N673" s="30">
        <f t="shared" ca="1" si="142"/>
        <v>0</v>
      </c>
      <c r="O673" s="10">
        <f t="shared" ca="1" si="143"/>
        <v>1846800</v>
      </c>
      <c r="P673" s="29">
        <f t="shared" ca="1" si="144"/>
        <v>19800</v>
      </c>
      <c r="Q673" s="12">
        <f t="shared" ca="1" si="145"/>
        <v>-338500</v>
      </c>
      <c r="R673" s="10">
        <f t="shared" ca="1" si="146"/>
        <v>1.0721247563352827</v>
      </c>
      <c r="S673" s="10">
        <f t="shared" ca="1" si="136"/>
        <v>-1.3702156307546087</v>
      </c>
      <c r="T673" s="14">
        <f t="shared" ca="1" si="137"/>
        <v>-0.22167414173155459</v>
      </c>
      <c r="U673" s="12">
        <f t="shared" ca="1" si="147"/>
        <v>7900</v>
      </c>
      <c r="V673" s="14">
        <f t="shared" ca="1" si="148"/>
        <v>-4384.8101265822788</v>
      </c>
      <c r="W673" s="12">
        <f t="shared" ca="1" si="138"/>
        <v>-1774.6835443037974</v>
      </c>
      <c r="X673" s="7">
        <f ca="1">AVERAGE(E673:OFFSET(F673,-$X$5+1,0))</f>
        <v>9186.4</v>
      </c>
      <c r="Y673" s="7">
        <f ca="1">AVERAGE(E673:OFFSET(F673,-$Y$5+1,0))</f>
        <v>9073.15</v>
      </c>
      <c r="Z673" s="7">
        <f t="shared" ca="1" si="140"/>
        <v>0</v>
      </c>
    </row>
    <row r="674" spans="1:26">
      <c r="A674" s="3" t="s">
        <v>56</v>
      </c>
      <c r="B674" s="4">
        <v>42643</v>
      </c>
      <c r="C674" s="3">
        <v>9183</v>
      </c>
      <c r="D674" s="3">
        <v>9206</v>
      </c>
      <c r="E674" s="3">
        <v>9127</v>
      </c>
      <c r="F674" s="3">
        <v>9128</v>
      </c>
      <c r="G674" s="3">
        <v>131337</v>
      </c>
      <c r="H674" s="3">
        <v>1.0449999999999999</v>
      </c>
      <c r="I674" s="2">
        <f t="shared" si="149"/>
        <v>0</v>
      </c>
      <c r="J674" s="10">
        <f t="shared" si="151"/>
        <v>-70</v>
      </c>
      <c r="K674" s="10">
        <f t="shared" si="150"/>
        <v>-55</v>
      </c>
      <c r="L674" s="10">
        <f t="shared" ca="1" si="139"/>
        <v>0</v>
      </c>
      <c r="M674" s="10">
        <f t="shared" ca="1" si="141"/>
        <v>1</v>
      </c>
      <c r="N674" s="30">
        <f t="shared" ca="1" si="142"/>
        <v>0</v>
      </c>
      <c r="O674" s="10">
        <f t="shared" ca="1" si="143"/>
        <v>1846800</v>
      </c>
      <c r="P674" s="29">
        <f t="shared" ca="1" si="144"/>
        <v>-25000</v>
      </c>
      <c r="Q674" s="12">
        <f t="shared" ca="1" si="145"/>
        <v>-363500</v>
      </c>
      <c r="R674" s="10">
        <f t="shared" ca="1" si="146"/>
        <v>-1.3536928741607104</v>
      </c>
      <c r="S674" s="10">
        <f t="shared" ca="1" si="136"/>
        <v>-1.5989149159455873</v>
      </c>
      <c r="T674" s="14">
        <f t="shared" ca="1" si="137"/>
        <v>-0.24001377778398039</v>
      </c>
      <c r="U674" s="12">
        <f t="shared" ca="1" si="147"/>
        <v>7900</v>
      </c>
      <c r="V674" s="14">
        <f t="shared" ca="1" si="148"/>
        <v>-4701.2658227848106</v>
      </c>
      <c r="W674" s="12">
        <f t="shared" ca="1" si="138"/>
        <v>-1774.6835443037974</v>
      </c>
      <c r="X674" s="7">
        <f ca="1">AVERAGE(E674:OFFSET(F674,-$X$5+1,0))</f>
        <v>9178.2999999999993</v>
      </c>
      <c r="Y674" s="7">
        <f ca="1">AVERAGE(E674:OFFSET(F674,-$Y$5+1,0))</f>
        <v>9096.0499999999993</v>
      </c>
      <c r="Z674" s="7">
        <f t="shared" ca="1" si="140"/>
        <v>0</v>
      </c>
    </row>
    <row r="675" spans="1:26">
      <c r="A675" s="3" t="s">
        <v>56</v>
      </c>
      <c r="B675" s="4">
        <v>42646</v>
      </c>
      <c r="C675" s="3">
        <v>9205</v>
      </c>
      <c r="D675" s="3">
        <v>9230</v>
      </c>
      <c r="E675" s="3">
        <v>9161</v>
      </c>
      <c r="F675" s="3">
        <v>9194</v>
      </c>
      <c r="G675" s="3">
        <v>100555</v>
      </c>
      <c r="H675" s="3">
        <v>1.0449999999999999</v>
      </c>
      <c r="I675" s="2">
        <f t="shared" si="149"/>
        <v>0</v>
      </c>
      <c r="J675" s="10">
        <f t="shared" si="151"/>
        <v>77</v>
      </c>
      <c r="K675" s="10">
        <f t="shared" si="150"/>
        <v>-11</v>
      </c>
      <c r="L675" s="10">
        <f t="shared" ca="1" si="139"/>
        <v>0</v>
      </c>
      <c r="M675" s="10">
        <f t="shared" ca="1" si="141"/>
        <v>1</v>
      </c>
      <c r="N675" s="30">
        <f t="shared" ca="1" si="142"/>
        <v>0</v>
      </c>
      <c r="O675" s="10">
        <f t="shared" ca="1" si="143"/>
        <v>1846800</v>
      </c>
      <c r="P675" s="29">
        <f t="shared" ca="1" si="144"/>
        <v>13200</v>
      </c>
      <c r="Q675" s="12">
        <f t="shared" ca="1" si="145"/>
        <v>-350300</v>
      </c>
      <c r="R675" s="10">
        <f t="shared" ca="1" si="146"/>
        <v>0.71474983755685506</v>
      </c>
      <c r="S675" s="10">
        <f t="shared" ca="1" si="136"/>
        <v>-1.468229610122171</v>
      </c>
      <c r="T675" s="14">
        <f t="shared" ca="1" si="137"/>
        <v>-0.22821358029417524</v>
      </c>
      <c r="U675" s="12">
        <f t="shared" ca="1" si="147"/>
        <v>7900</v>
      </c>
      <c r="V675" s="14">
        <f t="shared" ca="1" si="148"/>
        <v>-4534.1772151898731</v>
      </c>
      <c r="W675" s="12">
        <f t="shared" ca="1" si="138"/>
        <v>-1774.6835443037974</v>
      </c>
      <c r="X675" s="7">
        <f ca="1">AVERAGE(E675:OFFSET(F675,-$X$5+1,0))</f>
        <v>9179.6</v>
      </c>
      <c r="Y675" s="7">
        <f ca="1">AVERAGE(E675:OFFSET(F675,-$Y$5+1,0))</f>
        <v>9127.7000000000007</v>
      </c>
      <c r="Z675" s="7">
        <f t="shared" ca="1" si="140"/>
        <v>0</v>
      </c>
    </row>
    <row r="676" spans="1:26">
      <c r="A676" s="3" t="s">
        <v>56</v>
      </c>
      <c r="B676" s="4">
        <v>42647</v>
      </c>
      <c r="C676" s="3">
        <v>9202</v>
      </c>
      <c r="D676" s="3">
        <v>9259</v>
      </c>
      <c r="E676" s="3">
        <v>9187</v>
      </c>
      <c r="F676" s="3">
        <v>9247</v>
      </c>
      <c r="G676" s="3">
        <v>95262</v>
      </c>
      <c r="H676" s="3">
        <v>1.0449999999999999</v>
      </c>
      <c r="I676" s="2">
        <f t="shared" si="149"/>
        <v>0</v>
      </c>
      <c r="J676" s="10">
        <f t="shared" si="151"/>
        <v>8</v>
      </c>
      <c r="K676" s="10">
        <f t="shared" si="150"/>
        <v>45</v>
      </c>
      <c r="L676" s="10">
        <f t="shared" ca="1" si="139"/>
        <v>0</v>
      </c>
      <c r="M676" s="10">
        <f t="shared" ca="1" si="141"/>
        <v>1</v>
      </c>
      <c r="N676" s="30">
        <f t="shared" ca="1" si="142"/>
        <v>0</v>
      </c>
      <c r="O676" s="10">
        <f t="shared" ca="1" si="143"/>
        <v>1846800</v>
      </c>
      <c r="P676" s="29">
        <f t="shared" ca="1" si="144"/>
        <v>10600</v>
      </c>
      <c r="Q676" s="12">
        <f t="shared" ca="1" si="145"/>
        <v>-339700</v>
      </c>
      <c r="R676" s="10">
        <f t="shared" ca="1" si="146"/>
        <v>0.57396577864414122</v>
      </c>
      <c r="S676" s="10">
        <f t="shared" ca="1" si="136"/>
        <v>-1.3632853493851851</v>
      </c>
      <c r="T676" s="14">
        <f t="shared" ca="1" si="137"/>
        <v>-0.21880948537902353</v>
      </c>
      <c r="U676" s="12">
        <f t="shared" ca="1" si="147"/>
        <v>7900</v>
      </c>
      <c r="V676" s="14">
        <f t="shared" ca="1" si="148"/>
        <v>-4400</v>
      </c>
      <c r="W676" s="12">
        <f t="shared" ca="1" si="138"/>
        <v>-1774.6835443037974</v>
      </c>
      <c r="X676" s="7">
        <f ca="1">AVERAGE(E676:OFFSET(F676,-$X$5+1,0))</f>
        <v>9180.5</v>
      </c>
      <c r="Y676" s="7">
        <f ca="1">AVERAGE(E676:OFFSET(F676,-$Y$5+1,0))</f>
        <v>9163</v>
      </c>
      <c r="Z676" s="7">
        <f t="shared" ca="1" si="140"/>
        <v>0</v>
      </c>
    </row>
    <row r="677" spans="1:26">
      <c r="A677" s="3" t="s">
        <v>56</v>
      </c>
      <c r="B677" s="4">
        <v>42648</v>
      </c>
      <c r="C677" s="3">
        <v>9210</v>
      </c>
      <c r="D677" s="3">
        <v>9266</v>
      </c>
      <c r="E677" s="3">
        <v>9201</v>
      </c>
      <c r="F677" s="3">
        <v>9240</v>
      </c>
      <c r="G677" s="3">
        <v>81576</v>
      </c>
      <c r="H677" s="3">
        <v>1.0449999999999999</v>
      </c>
      <c r="I677" s="2">
        <f t="shared" si="149"/>
        <v>0</v>
      </c>
      <c r="J677" s="10">
        <f t="shared" si="151"/>
        <v>-37</v>
      </c>
      <c r="K677" s="10">
        <f t="shared" si="150"/>
        <v>30</v>
      </c>
      <c r="L677" s="10">
        <f t="shared" ca="1" si="139"/>
        <v>0</v>
      </c>
      <c r="M677" s="10">
        <f t="shared" ca="1" si="141"/>
        <v>1</v>
      </c>
      <c r="N677" s="30">
        <f t="shared" ca="1" si="142"/>
        <v>0</v>
      </c>
      <c r="O677" s="10">
        <f t="shared" ca="1" si="143"/>
        <v>1846800</v>
      </c>
      <c r="P677" s="29">
        <f t="shared" ca="1" si="144"/>
        <v>-1400</v>
      </c>
      <c r="Q677" s="12">
        <f t="shared" ca="1" si="145"/>
        <v>-341100</v>
      </c>
      <c r="R677" s="10">
        <f t="shared" ca="1" si="146"/>
        <v>-7.5806800952999784E-2</v>
      </c>
      <c r="S677" s="10">
        <f t="shared" ca="1" si="136"/>
        <v>-1.3771459121240321</v>
      </c>
      <c r="T677" s="14">
        <f t="shared" ca="1" si="137"/>
        <v>-0.2199022562009344</v>
      </c>
      <c r="U677" s="12">
        <f t="shared" ca="1" si="147"/>
        <v>7900</v>
      </c>
      <c r="V677" s="14">
        <f t="shared" ca="1" si="148"/>
        <v>-4417.7215189873414</v>
      </c>
      <c r="W677" s="12">
        <f t="shared" ca="1" si="138"/>
        <v>-1774.6835443037974</v>
      </c>
      <c r="X677" s="7">
        <f ca="1">AVERAGE(E677:OFFSET(F677,-$X$5+1,0))</f>
        <v>9194.4</v>
      </c>
      <c r="Y677" s="7">
        <f ca="1">AVERAGE(E677:OFFSET(F677,-$Y$5+1,0))</f>
        <v>9180.15</v>
      </c>
      <c r="Z677" s="7">
        <f t="shared" ca="1" si="140"/>
        <v>0</v>
      </c>
    </row>
    <row r="678" spans="1:26">
      <c r="A678" s="3" t="s">
        <v>56</v>
      </c>
      <c r="B678" s="4">
        <v>42649</v>
      </c>
      <c r="C678" s="3">
        <v>9281</v>
      </c>
      <c r="D678" s="3">
        <v>9283</v>
      </c>
      <c r="E678" s="3">
        <v>9207</v>
      </c>
      <c r="F678" s="3">
        <v>9256</v>
      </c>
      <c r="G678" s="3">
        <v>100967</v>
      </c>
      <c r="H678" s="3">
        <v>1.0449999999999999</v>
      </c>
      <c r="I678" s="2">
        <f t="shared" si="149"/>
        <v>0</v>
      </c>
      <c r="J678" s="10">
        <f t="shared" si="151"/>
        <v>41</v>
      </c>
      <c r="K678" s="10">
        <f t="shared" si="150"/>
        <v>-25</v>
      </c>
      <c r="L678" s="10">
        <f t="shared" ca="1" si="139"/>
        <v>0</v>
      </c>
      <c r="M678" s="10">
        <f t="shared" ca="1" si="141"/>
        <v>1</v>
      </c>
      <c r="N678" s="30">
        <f t="shared" ca="1" si="142"/>
        <v>0</v>
      </c>
      <c r="O678" s="10">
        <f t="shared" ca="1" si="143"/>
        <v>1846800</v>
      </c>
      <c r="P678" s="29">
        <f t="shared" ca="1" si="144"/>
        <v>3200</v>
      </c>
      <c r="Q678" s="12">
        <f t="shared" ca="1" si="145"/>
        <v>-337900</v>
      </c>
      <c r="R678" s="10">
        <f t="shared" ca="1" si="146"/>
        <v>0.17327268789257094</v>
      </c>
      <c r="S678" s="10">
        <f t="shared" ca="1" si="136"/>
        <v>-1.3454646258638101</v>
      </c>
      <c r="T678" s="14">
        <f t="shared" ca="1" si="137"/>
        <v>-0.21704834672010243</v>
      </c>
      <c r="U678" s="12">
        <f t="shared" ca="1" si="147"/>
        <v>7900</v>
      </c>
      <c r="V678" s="14">
        <f t="shared" ca="1" si="148"/>
        <v>-4377.2151898734173</v>
      </c>
      <c r="W678" s="12">
        <f t="shared" ca="1" si="138"/>
        <v>-1774.6835443037974</v>
      </c>
      <c r="X678" s="7">
        <f ca="1">AVERAGE(E678:OFFSET(F678,-$X$5+1,0))</f>
        <v>9194.7999999999993</v>
      </c>
      <c r="Y678" s="7">
        <f ca="1">AVERAGE(E678:OFFSET(F678,-$Y$5+1,0))</f>
        <v>9190.6</v>
      </c>
      <c r="Z678" s="7">
        <f t="shared" ca="1" si="140"/>
        <v>0</v>
      </c>
    </row>
    <row r="679" spans="1:26">
      <c r="A679" s="3" t="s">
        <v>56</v>
      </c>
      <c r="B679" s="4">
        <v>42650</v>
      </c>
      <c r="C679" s="3">
        <v>9250</v>
      </c>
      <c r="D679" s="3">
        <v>9269</v>
      </c>
      <c r="E679" s="3">
        <v>9236</v>
      </c>
      <c r="F679" s="3">
        <v>9253</v>
      </c>
      <c r="G679" s="3">
        <v>66389</v>
      </c>
      <c r="H679" s="3">
        <v>1.0449999999999999</v>
      </c>
      <c r="I679" s="2">
        <f t="shared" si="149"/>
        <v>0</v>
      </c>
      <c r="J679" s="10">
        <f t="shared" si="151"/>
        <v>-6</v>
      </c>
      <c r="K679" s="10">
        <f t="shared" si="150"/>
        <v>3</v>
      </c>
      <c r="L679" s="10">
        <f t="shared" ca="1" si="139"/>
        <v>0</v>
      </c>
      <c r="M679" s="10">
        <f t="shared" ca="1" si="141"/>
        <v>1</v>
      </c>
      <c r="N679" s="30">
        <f t="shared" ca="1" si="142"/>
        <v>0</v>
      </c>
      <c r="O679" s="10">
        <f t="shared" ca="1" si="143"/>
        <v>1846800</v>
      </c>
      <c r="P679" s="29">
        <f t="shared" ca="1" si="144"/>
        <v>-600</v>
      </c>
      <c r="Q679" s="12">
        <f t="shared" ca="1" si="145"/>
        <v>-338500</v>
      </c>
      <c r="R679" s="10">
        <f t="shared" ca="1" si="146"/>
        <v>-3.2488628979857048E-2</v>
      </c>
      <c r="S679" s="10">
        <f t="shared" ca="1" si="136"/>
        <v>-1.3514048670376018</v>
      </c>
      <c r="T679" s="14">
        <f t="shared" ca="1" si="137"/>
        <v>-0.21746109019552368</v>
      </c>
      <c r="U679" s="12">
        <f t="shared" ca="1" si="147"/>
        <v>7900</v>
      </c>
      <c r="V679" s="14">
        <f t="shared" ca="1" si="148"/>
        <v>-4384.8101265822788</v>
      </c>
      <c r="W679" s="12">
        <f t="shared" ca="1" si="138"/>
        <v>-1774.6835443037974</v>
      </c>
      <c r="X679" s="7">
        <f ca="1">AVERAGE(E679:OFFSET(F679,-$X$5+1,0))</f>
        <v>9218.2000000000007</v>
      </c>
      <c r="Y679" s="7">
        <f ca="1">AVERAGE(E679:OFFSET(F679,-$Y$5+1,0))</f>
        <v>9198.25</v>
      </c>
      <c r="Z679" s="7">
        <f t="shared" ca="1" si="140"/>
        <v>0</v>
      </c>
    </row>
    <row r="680" spans="1:26">
      <c r="A680" s="3" t="s">
        <v>56</v>
      </c>
      <c r="B680" s="4">
        <v>42654</v>
      </c>
      <c r="C680" s="3">
        <v>9300</v>
      </c>
      <c r="D680" s="3">
        <v>9343</v>
      </c>
      <c r="E680" s="3">
        <v>9143</v>
      </c>
      <c r="F680" s="3">
        <v>9191</v>
      </c>
      <c r="G680" s="3">
        <v>178389</v>
      </c>
      <c r="H680" s="3">
        <v>1.0449999999999999</v>
      </c>
      <c r="I680" s="2">
        <f t="shared" si="149"/>
        <v>0</v>
      </c>
      <c r="J680" s="10">
        <f t="shared" si="151"/>
        <v>47</v>
      </c>
      <c r="K680" s="10">
        <f t="shared" si="150"/>
        <v>-109</v>
      </c>
      <c r="L680" s="10">
        <f t="shared" ca="1" si="139"/>
        <v>0</v>
      </c>
      <c r="M680" s="10">
        <f t="shared" ca="1" si="141"/>
        <v>1</v>
      </c>
      <c r="N680" s="30">
        <f t="shared" ca="1" si="142"/>
        <v>0</v>
      </c>
      <c r="O680" s="10">
        <f t="shared" ca="1" si="143"/>
        <v>1846800</v>
      </c>
      <c r="P680" s="29">
        <f t="shared" ca="1" si="144"/>
        <v>-12400</v>
      </c>
      <c r="Q680" s="12">
        <f t="shared" ca="1" si="145"/>
        <v>-350900</v>
      </c>
      <c r="R680" s="10">
        <f t="shared" ca="1" si="146"/>
        <v>-0.67143166558371237</v>
      </c>
      <c r="S680" s="10">
        <f t="shared" ca="1" si="136"/>
        <v>-1.4741698512959627</v>
      </c>
      <c r="T680" s="14">
        <f t="shared" ca="1" si="137"/>
        <v>-0.22761476144508266</v>
      </c>
      <c r="U680" s="12">
        <f t="shared" ca="1" si="147"/>
        <v>7900</v>
      </c>
      <c r="V680" s="14">
        <f t="shared" ca="1" si="148"/>
        <v>-4541.7721518987346</v>
      </c>
      <c r="W680" s="12">
        <f t="shared" ca="1" si="138"/>
        <v>-1774.6835443037974</v>
      </c>
      <c r="X680" s="7">
        <f ca="1">AVERAGE(E680:OFFSET(F680,-$X$5+1,0))</f>
        <v>9216.1</v>
      </c>
      <c r="Y680" s="7">
        <f ca="1">AVERAGE(E680:OFFSET(F680,-$Y$5+1,0))</f>
        <v>9197.85</v>
      </c>
      <c r="Z680" s="7">
        <f t="shared" ca="1" si="140"/>
        <v>0</v>
      </c>
    </row>
    <row r="681" spans="1:26">
      <c r="A681" s="3" t="s">
        <v>56</v>
      </c>
      <c r="B681" s="4">
        <v>42655</v>
      </c>
      <c r="C681" s="3">
        <v>9180</v>
      </c>
      <c r="D681" s="3">
        <v>9274</v>
      </c>
      <c r="E681" s="3">
        <v>9164</v>
      </c>
      <c r="F681" s="3">
        <v>9260</v>
      </c>
      <c r="G681" s="3">
        <v>113440</v>
      </c>
      <c r="H681" s="3">
        <v>1.0449999999999999</v>
      </c>
      <c r="I681" s="2">
        <f t="shared" si="149"/>
        <v>0</v>
      </c>
      <c r="J681" s="10">
        <f t="shared" si="151"/>
        <v>-11</v>
      </c>
      <c r="K681" s="10">
        <f t="shared" si="150"/>
        <v>80</v>
      </c>
      <c r="L681" s="10">
        <f t="shared" ca="1" si="139"/>
        <v>0</v>
      </c>
      <c r="M681" s="10">
        <f t="shared" ca="1" si="141"/>
        <v>1</v>
      </c>
      <c r="N681" s="30">
        <f t="shared" ca="1" si="142"/>
        <v>0</v>
      </c>
      <c r="O681" s="10">
        <f t="shared" ca="1" si="143"/>
        <v>1846800</v>
      </c>
      <c r="P681" s="29">
        <f t="shared" ca="1" si="144"/>
        <v>13800</v>
      </c>
      <c r="Q681" s="12">
        <f t="shared" ca="1" si="145"/>
        <v>-337100</v>
      </c>
      <c r="R681" s="10">
        <f t="shared" ca="1" si="146"/>
        <v>0.74723846653671211</v>
      </c>
      <c r="S681" s="10">
        <f t="shared" ca="1" si="136"/>
        <v>-1.3375443042987545</v>
      </c>
      <c r="T681" s="14">
        <f t="shared" ca="1" si="137"/>
        <v>-0.2190703842245047</v>
      </c>
      <c r="U681" s="12">
        <f t="shared" ca="1" si="147"/>
        <v>7900</v>
      </c>
      <c r="V681" s="14">
        <f t="shared" ca="1" si="148"/>
        <v>-4367.0886075949365</v>
      </c>
      <c r="W681" s="12">
        <f t="shared" ca="1" si="138"/>
        <v>-1774.6835443037974</v>
      </c>
      <c r="X681" s="7">
        <f ca="1">AVERAGE(E681:OFFSET(F681,-$X$5+1,0))</f>
        <v>9215.1</v>
      </c>
      <c r="Y681" s="7">
        <f ca="1">AVERAGE(E681:OFFSET(F681,-$Y$5+1,0))</f>
        <v>9197.7999999999993</v>
      </c>
      <c r="Z681" s="7">
        <f t="shared" ca="1" si="140"/>
        <v>0</v>
      </c>
    </row>
    <row r="682" spans="1:26">
      <c r="A682" s="3" t="s">
        <v>56</v>
      </c>
      <c r="B682" s="4">
        <v>42656</v>
      </c>
      <c r="C682" s="3">
        <v>9268</v>
      </c>
      <c r="D682" s="3">
        <v>9282</v>
      </c>
      <c r="E682" s="3">
        <v>9179</v>
      </c>
      <c r="F682" s="3">
        <v>9203</v>
      </c>
      <c r="G682" s="3">
        <v>138511</v>
      </c>
      <c r="H682" s="3">
        <v>1.0449999999999999</v>
      </c>
      <c r="I682" s="2">
        <f t="shared" si="149"/>
        <v>0</v>
      </c>
      <c r="J682" s="10">
        <f t="shared" si="151"/>
        <v>8</v>
      </c>
      <c r="K682" s="10">
        <f t="shared" si="150"/>
        <v>-65</v>
      </c>
      <c r="L682" s="10">
        <f t="shared" ca="1" si="139"/>
        <v>0</v>
      </c>
      <c r="M682" s="10">
        <f t="shared" ca="1" si="141"/>
        <v>1</v>
      </c>
      <c r="N682" s="30">
        <f t="shared" ca="1" si="142"/>
        <v>0</v>
      </c>
      <c r="O682" s="10">
        <f t="shared" ca="1" si="143"/>
        <v>1846800</v>
      </c>
      <c r="P682" s="29">
        <f t="shared" ca="1" si="144"/>
        <v>-11400</v>
      </c>
      <c r="Q682" s="12">
        <f t="shared" ca="1" si="145"/>
        <v>-348500</v>
      </c>
      <c r="R682" s="10">
        <f t="shared" ca="1" si="146"/>
        <v>-0.61728395061728392</v>
      </c>
      <c r="S682" s="10">
        <f t="shared" ca="1" si="136"/>
        <v>-1.450408886600796</v>
      </c>
      <c r="T682" s="14">
        <f t="shared" ca="1" si="137"/>
        <v>-0.22870175763517808</v>
      </c>
      <c r="U682" s="12">
        <f t="shared" ca="1" si="147"/>
        <v>7900</v>
      </c>
      <c r="V682" s="14">
        <f t="shared" ca="1" si="148"/>
        <v>-4511.3924050632913</v>
      </c>
      <c r="W682" s="12">
        <f t="shared" ca="1" si="138"/>
        <v>-1774.6835443037974</v>
      </c>
      <c r="X682" s="7">
        <f ca="1">AVERAGE(E682:OFFSET(F682,-$X$5+1,0))</f>
        <v>9209.2000000000007</v>
      </c>
      <c r="Y682" s="7">
        <f ca="1">AVERAGE(E682:OFFSET(F682,-$Y$5+1,0))</f>
        <v>9201.7999999999993</v>
      </c>
      <c r="Z682" s="7">
        <f t="shared" ca="1" si="140"/>
        <v>0</v>
      </c>
    </row>
    <row r="683" spans="1:26">
      <c r="A683" s="3" t="s">
        <v>56</v>
      </c>
      <c r="B683" s="4">
        <v>42657</v>
      </c>
      <c r="C683" s="3">
        <v>9207</v>
      </c>
      <c r="D683" s="3">
        <v>9224</v>
      </c>
      <c r="E683" s="3">
        <v>9147</v>
      </c>
      <c r="F683" s="3">
        <v>9169</v>
      </c>
      <c r="G683" s="3">
        <v>130516</v>
      </c>
      <c r="H683" s="3">
        <v>1.0449999999999999</v>
      </c>
      <c r="I683" s="2">
        <f t="shared" si="149"/>
        <v>0</v>
      </c>
      <c r="J683" s="10">
        <f t="shared" si="151"/>
        <v>4</v>
      </c>
      <c r="K683" s="10">
        <f t="shared" si="150"/>
        <v>-38</v>
      </c>
      <c r="L683" s="10">
        <f t="shared" ca="1" si="139"/>
        <v>-1</v>
      </c>
      <c r="M683" s="10">
        <f t="shared" ca="1" si="141"/>
        <v>1</v>
      </c>
      <c r="N683" s="30">
        <f t="shared" ca="1" si="142"/>
        <v>0</v>
      </c>
      <c r="O683" s="10">
        <f t="shared" ca="1" si="143"/>
        <v>1846800</v>
      </c>
      <c r="P683" s="29">
        <f t="shared" ca="1" si="144"/>
        <v>-6800</v>
      </c>
      <c r="Q683" s="12">
        <f t="shared" ca="1" si="145"/>
        <v>-355300</v>
      </c>
      <c r="R683" s="10">
        <f t="shared" ca="1" si="146"/>
        <v>-0.36820446177171323</v>
      </c>
      <c r="S683" s="10">
        <f t="shared" ca="1" si="136"/>
        <v>-1.517731619903768</v>
      </c>
      <c r="T683" s="14">
        <f t="shared" ca="1" si="137"/>
        <v>-0.23534960271328242</v>
      </c>
      <c r="U683" s="12">
        <f t="shared" ca="1" si="147"/>
        <v>7900</v>
      </c>
      <c r="V683" s="14">
        <f t="shared" ca="1" si="148"/>
        <v>-4597.4683544303798</v>
      </c>
      <c r="W683" s="12">
        <f t="shared" ca="1" si="138"/>
        <v>-1774.6835443037974</v>
      </c>
      <c r="X683" s="7">
        <f ca="1">AVERAGE(E683:OFFSET(F683,-$X$5+1,0))</f>
        <v>9194.5</v>
      </c>
      <c r="Y683" s="7">
        <f ca="1">AVERAGE(E683:OFFSET(F683,-$Y$5+1,0))</f>
        <v>9194.65</v>
      </c>
      <c r="Z683" s="7">
        <f t="shared" ca="1" si="140"/>
        <v>-1</v>
      </c>
    </row>
    <row r="684" spans="1:26">
      <c r="A684" s="3" t="s">
        <v>56</v>
      </c>
      <c r="B684" s="4">
        <v>42660</v>
      </c>
      <c r="C684" s="3">
        <v>9178</v>
      </c>
      <c r="D684" s="3">
        <v>9193</v>
      </c>
      <c r="E684" s="3">
        <v>9060</v>
      </c>
      <c r="F684" s="3">
        <v>9166</v>
      </c>
      <c r="G684" s="3">
        <v>202913</v>
      </c>
      <c r="H684" s="3">
        <v>1.0449999999999999</v>
      </c>
      <c r="I684" s="2">
        <f t="shared" si="149"/>
        <v>0</v>
      </c>
      <c r="J684" s="10">
        <f t="shared" si="151"/>
        <v>9</v>
      </c>
      <c r="K684" s="10">
        <f t="shared" si="150"/>
        <v>-12</v>
      </c>
      <c r="L684" s="10">
        <f t="shared" ca="1" si="139"/>
        <v>0</v>
      </c>
      <c r="M684" s="10">
        <f t="shared" ca="1" si="141"/>
        <v>0</v>
      </c>
      <c r="N684" s="30">
        <f t="shared" ca="1" si="142"/>
        <v>0</v>
      </c>
      <c r="O684" s="10">
        <f t="shared" ca="1" si="143"/>
        <v>0</v>
      </c>
      <c r="P684" s="29">
        <f t="shared" ca="1" si="144"/>
        <v>1300</v>
      </c>
      <c r="Q684" s="12">
        <f t="shared" ca="1" si="145"/>
        <v>-354000</v>
      </c>
      <c r="R684" s="10">
        <f t="shared" ca="1" si="146"/>
        <v>7.0392029456356947E-2</v>
      </c>
      <c r="S684" s="10">
        <f t="shared" ref="S684:S747" ca="1" si="152">100*SUM(P445:P684)/SUM(N445:N684)</f>
        <v>-1.5048610973605527</v>
      </c>
      <c r="T684" s="14">
        <f t="shared" ca="1" si="137"/>
        <v>-0.23436873200007996</v>
      </c>
      <c r="U684" s="12">
        <f t="shared" ca="1" si="147"/>
        <v>7900</v>
      </c>
      <c r="V684" s="14">
        <f t="shared" ca="1" si="148"/>
        <v>-4581.0126582278481</v>
      </c>
      <c r="W684" s="12">
        <f t="shared" ca="1" si="138"/>
        <v>-1774.6835443037974</v>
      </c>
      <c r="X684" s="7">
        <f ca="1">AVERAGE(E684:OFFSET(F684,-$X$5+1,0))</f>
        <v>9168.2000000000007</v>
      </c>
      <c r="Y684" s="7">
        <f ca="1">AVERAGE(E684:OFFSET(F684,-$Y$5+1,0))</f>
        <v>9193.2000000000007</v>
      </c>
      <c r="Z684" s="7">
        <f t="shared" ca="1" si="140"/>
        <v>0</v>
      </c>
    </row>
    <row r="685" spans="1:26">
      <c r="A685" s="3" t="s">
        <v>56</v>
      </c>
      <c r="B685" s="4">
        <v>42661</v>
      </c>
      <c r="C685" s="3">
        <v>9183</v>
      </c>
      <c r="D685" s="3">
        <v>9218</v>
      </c>
      <c r="E685" s="3">
        <v>9154</v>
      </c>
      <c r="F685" s="3">
        <v>9212</v>
      </c>
      <c r="G685" s="3">
        <v>133283</v>
      </c>
      <c r="H685" s="3">
        <v>1.0449999999999999</v>
      </c>
      <c r="I685" s="2">
        <f t="shared" si="149"/>
        <v>0</v>
      </c>
      <c r="J685" s="10">
        <f t="shared" si="151"/>
        <v>17</v>
      </c>
      <c r="K685" s="10">
        <f t="shared" si="150"/>
        <v>29</v>
      </c>
      <c r="L685" s="10">
        <f t="shared" ca="1" si="139"/>
        <v>0</v>
      </c>
      <c r="M685" s="10">
        <f t="shared" ca="1" si="141"/>
        <v>0</v>
      </c>
      <c r="N685" s="30">
        <f t="shared" ca="1" si="142"/>
        <v>0</v>
      </c>
      <c r="O685" s="10">
        <f t="shared" ca="1" si="143"/>
        <v>0</v>
      </c>
      <c r="P685" s="29">
        <f t="shared" ca="1" si="144"/>
        <v>0</v>
      </c>
      <c r="Q685" s="12">
        <f t="shared" ca="1" si="145"/>
        <v>-354000</v>
      </c>
      <c r="R685" s="10">
        <f t="shared" ca="1" si="146"/>
        <v>0</v>
      </c>
      <c r="S685" s="10">
        <f t="shared" ca="1" si="152"/>
        <v>-1.5048610973605527</v>
      </c>
      <c r="T685" s="14">
        <f t="shared" ref="T685:T748" ca="1" si="153">(S685-AVERAGE(H416:H685))/(_xlfn.STDEV.S(R416:R685)*SQRT(240))</f>
        <v>-0.23454863278298355</v>
      </c>
      <c r="U685" s="12">
        <f t="shared" ca="1" si="147"/>
        <v>7900</v>
      </c>
      <c r="V685" s="14">
        <f t="shared" ca="1" si="148"/>
        <v>-4581.0126582278481</v>
      </c>
      <c r="W685" s="12">
        <f t="shared" ref="W685:W748" ca="1" si="154">MAX(V446:V685)</f>
        <v>-1774.6835443037974</v>
      </c>
      <c r="X685" s="7">
        <f ca="1">AVERAGE(E685:OFFSET(F685,-$X$5+1,0))</f>
        <v>9171.4</v>
      </c>
      <c r="Y685" s="7">
        <f ca="1">AVERAGE(E685:OFFSET(F685,-$Y$5+1,0))</f>
        <v>9193.75</v>
      </c>
      <c r="Z685" s="7">
        <f t="shared" ca="1" si="140"/>
        <v>0</v>
      </c>
    </row>
    <row r="686" spans="1:26">
      <c r="A686" s="3" t="s">
        <v>56</v>
      </c>
      <c r="B686" s="4">
        <v>42662</v>
      </c>
      <c r="C686" s="3">
        <v>9223</v>
      </c>
      <c r="D686" s="3">
        <v>9300</v>
      </c>
      <c r="E686" s="3">
        <v>9219</v>
      </c>
      <c r="F686" s="3">
        <v>9280</v>
      </c>
      <c r="G686" s="3">
        <v>87933</v>
      </c>
      <c r="H686" s="3">
        <v>1.0449999999999999</v>
      </c>
      <c r="I686" s="2">
        <f t="shared" si="149"/>
        <v>1</v>
      </c>
      <c r="J686" s="10">
        <f t="shared" si="151"/>
        <v>11</v>
      </c>
      <c r="K686" s="10">
        <f t="shared" si="150"/>
        <v>57</v>
      </c>
      <c r="L686" s="10">
        <f t="shared" ca="1" si="139"/>
        <v>0</v>
      </c>
      <c r="M686" s="10">
        <f t="shared" si="141"/>
        <v>0</v>
      </c>
      <c r="N686" s="30">
        <f t="shared" si="142"/>
        <v>0</v>
      </c>
      <c r="O686" s="10">
        <f t="shared" si="143"/>
        <v>0</v>
      </c>
      <c r="P686" s="29">
        <f t="shared" ca="1" si="144"/>
        <v>0</v>
      </c>
      <c r="Q686" s="12">
        <f t="shared" ca="1" si="145"/>
        <v>-354000</v>
      </c>
      <c r="R686" s="10">
        <f t="shared" ca="1" si="146"/>
        <v>0</v>
      </c>
      <c r="S686" s="10">
        <f t="shared" ca="1" si="152"/>
        <v>-1.5048610973605527</v>
      </c>
      <c r="T686" s="14">
        <f t="shared" ca="1" si="153"/>
        <v>-0.25380335267716198</v>
      </c>
      <c r="U686" s="12">
        <f t="shared" ca="1" si="147"/>
        <v>7900</v>
      </c>
      <c r="V686" s="14">
        <f t="shared" ca="1" si="148"/>
        <v>-4581.0126582278481</v>
      </c>
      <c r="W686" s="12">
        <f t="shared" ca="1" si="154"/>
        <v>-1774.6835443037974</v>
      </c>
      <c r="X686" s="7">
        <f ca="1">AVERAGE(E686:OFFSET(F686,-$X$5+1,0))</f>
        <v>9178.9</v>
      </c>
      <c r="Y686" s="7">
        <f ca="1">AVERAGE(E686:OFFSET(F686,-$Y$5+1,0))</f>
        <v>9197</v>
      </c>
      <c r="Z686" s="7">
        <f t="shared" ca="1" si="140"/>
        <v>0</v>
      </c>
    </row>
    <row r="687" spans="1:26">
      <c r="A687" s="3" t="s">
        <v>57</v>
      </c>
      <c r="B687" s="4">
        <v>42663</v>
      </c>
      <c r="C687" s="3">
        <v>9269</v>
      </c>
      <c r="D687" s="3">
        <v>9295</v>
      </c>
      <c r="E687" s="3">
        <v>9235</v>
      </c>
      <c r="F687" s="3">
        <v>9278</v>
      </c>
      <c r="G687" s="3">
        <v>101510</v>
      </c>
      <c r="H687" s="3">
        <v>1.0449999999999999</v>
      </c>
      <c r="I687" s="2">
        <f t="shared" si="149"/>
        <v>0</v>
      </c>
      <c r="J687" s="10">
        <f t="shared" si="151"/>
        <v>-11</v>
      </c>
      <c r="K687" s="10">
        <f t="shared" si="150"/>
        <v>9</v>
      </c>
      <c r="L687" s="10">
        <f t="shared" ca="1" si="139"/>
        <v>0</v>
      </c>
      <c r="M687" s="10">
        <f t="shared" ca="1" si="141"/>
        <v>0</v>
      </c>
      <c r="N687" s="30">
        <f t="shared" ca="1" si="142"/>
        <v>0</v>
      </c>
      <c r="O687" s="10">
        <f t="shared" ca="1" si="143"/>
        <v>0</v>
      </c>
      <c r="P687" s="29">
        <f t="shared" ca="1" si="144"/>
        <v>0</v>
      </c>
      <c r="Q687" s="12">
        <f t="shared" ca="1" si="145"/>
        <v>-354000</v>
      </c>
      <c r="R687" s="10">
        <f t="shared" ca="1" si="146"/>
        <v>0</v>
      </c>
      <c r="S687" s="10">
        <f t="shared" ca="1" si="152"/>
        <v>-1.5048610973605527</v>
      </c>
      <c r="T687" s="14">
        <f t="shared" ca="1" si="153"/>
        <v>-0.25445376649804796</v>
      </c>
      <c r="U687" s="12">
        <f t="shared" ca="1" si="147"/>
        <v>7900</v>
      </c>
      <c r="V687" s="14">
        <f t="shared" ca="1" si="148"/>
        <v>-4581.0126582278481</v>
      </c>
      <c r="W687" s="12">
        <f t="shared" ca="1" si="154"/>
        <v>-1774.6835443037974</v>
      </c>
      <c r="X687" s="7">
        <f ca="1">AVERAGE(E687:OFFSET(F687,-$X$5+1,0))</f>
        <v>9192</v>
      </c>
      <c r="Y687" s="7">
        <f ca="1">AVERAGE(E687:OFFSET(F687,-$Y$5+1,0))</f>
        <v>9200.6</v>
      </c>
      <c r="Z687" s="7">
        <f t="shared" ca="1" si="140"/>
        <v>0</v>
      </c>
    </row>
    <row r="688" spans="1:26">
      <c r="A688" s="3" t="s">
        <v>57</v>
      </c>
      <c r="B688" s="4">
        <v>42664</v>
      </c>
      <c r="C688" s="3">
        <v>9259</v>
      </c>
      <c r="D688" s="3">
        <v>9322</v>
      </c>
      <c r="E688" s="3">
        <v>9241</v>
      </c>
      <c r="F688" s="3">
        <v>9264</v>
      </c>
      <c r="G688" s="3">
        <v>118712</v>
      </c>
      <c r="H688" s="3">
        <v>1.0449999999999999</v>
      </c>
      <c r="I688" s="2">
        <f t="shared" si="149"/>
        <v>0</v>
      </c>
      <c r="J688" s="10">
        <f t="shared" si="151"/>
        <v>-19</v>
      </c>
      <c r="K688" s="10">
        <f t="shared" si="150"/>
        <v>5</v>
      </c>
      <c r="L688" s="10">
        <f t="shared" ca="1" si="139"/>
        <v>1</v>
      </c>
      <c r="M688" s="10">
        <f t="shared" ca="1" si="141"/>
        <v>0</v>
      </c>
      <c r="N688" s="30">
        <f t="shared" ca="1" si="142"/>
        <v>0</v>
      </c>
      <c r="O688" s="10">
        <f t="shared" ca="1" si="143"/>
        <v>0</v>
      </c>
      <c r="P688" s="29">
        <f t="shared" ca="1" si="144"/>
        <v>0</v>
      </c>
      <c r="Q688" s="12">
        <f t="shared" ca="1" si="145"/>
        <v>-354000</v>
      </c>
      <c r="R688" s="10">
        <f t="shared" ca="1" si="146"/>
        <v>0</v>
      </c>
      <c r="S688" s="10">
        <f t="shared" ca="1" si="152"/>
        <v>-1.5048610973605527</v>
      </c>
      <c r="T688" s="14">
        <f t="shared" ca="1" si="153"/>
        <v>-0.25434546690212223</v>
      </c>
      <c r="U688" s="12">
        <f t="shared" ca="1" si="147"/>
        <v>7900</v>
      </c>
      <c r="V688" s="14">
        <f t="shared" ca="1" si="148"/>
        <v>-4581.0126582278481</v>
      </c>
      <c r="W688" s="12">
        <f t="shared" ca="1" si="154"/>
        <v>-1774.6835443037974</v>
      </c>
      <c r="X688" s="7">
        <f ca="1">AVERAGE(E688:OFFSET(F688,-$X$5+1,0))</f>
        <v>9210.9</v>
      </c>
      <c r="Y688" s="7">
        <f ca="1">AVERAGE(E688:OFFSET(F688,-$Y$5+1,0))</f>
        <v>9202.7000000000007</v>
      </c>
      <c r="Z688" s="7">
        <f t="shared" ca="1" si="140"/>
        <v>1</v>
      </c>
    </row>
    <row r="689" spans="1:26">
      <c r="A689" s="3" t="s">
        <v>57</v>
      </c>
      <c r="B689" s="4">
        <v>42667</v>
      </c>
      <c r="C689" s="3">
        <v>9294</v>
      </c>
      <c r="D689" s="3">
        <v>9325</v>
      </c>
      <c r="E689" s="3">
        <v>9269</v>
      </c>
      <c r="F689" s="3">
        <v>9309</v>
      </c>
      <c r="G689" s="3">
        <v>97060</v>
      </c>
      <c r="H689" s="3">
        <v>1.0449999999999999</v>
      </c>
      <c r="I689" s="2">
        <f t="shared" si="149"/>
        <v>0</v>
      </c>
      <c r="J689" s="10">
        <f t="shared" si="151"/>
        <v>30</v>
      </c>
      <c r="K689" s="10">
        <f t="shared" si="150"/>
        <v>15</v>
      </c>
      <c r="L689" s="10">
        <f t="shared" ca="1" si="139"/>
        <v>0</v>
      </c>
      <c r="M689" s="10">
        <f t="shared" ca="1" si="141"/>
        <v>1</v>
      </c>
      <c r="N689" s="30">
        <f t="shared" ca="1" si="142"/>
        <v>1858800</v>
      </c>
      <c r="O689" s="10">
        <f t="shared" ca="1" si="143"/>
        <v>1858800</v>
      </c>
      <c r="P689" s="29">
        <f t="shared" ca="1" si="144"/>
        <v>2500</v>
      </c>
      <c r="Q689" s="12">
        <f t="shared" ca="1" si="145"/>
        <v>-351500</v>
      </c>
      <c r="R689" s="10">
        <f t="shared" ca="1" si="146"/>
        <v>0.13449537335915646</v>
      </c>
      <c r="S689" s="10">
        <f t="shared" ca="1" si="152"/>
        <v>-1.250062712176196</v>
      </c>
      <c r="T689" s="14">
        <f t="shared" ca="1" si="153"/>
        <v>-0.22993266983705318</v>
      </c>
      <c r="U689" s="12">
        <f t="shared" ca="1" si="147"/>
        <v>7900</v>
      </c>
      <c r="V689" s="14">
        <f t="shared" ca="1" si="148"/>
        <v>-4549.3670886075952</v>
      </c>
      <c r="W689" s="12">
        <f t="shared" ca="1" si="154"/>
        <v>-1774.6835443037974</v>
      </c>
      <c r="X689" s="7">
        <f ca="1">AVERAGE(E689:OFFSET(F689,-$X$5+1,0))</f>
        <v>9246.1</v>
      </c>
      <c r="Y689" s="7">
        <f ca="1">AVERAGE(E689:OFFSET(F689,-$Y$5+1,0))</f>
        <v>9207.15</v>
      </c>
      <c r="Z689" s="7">
        <f t="shared" ca="1" si="140"/>
        <v>0</v>
      </c>
    </row>
    <row r="690" spans="1:26">
      <c r="A690" s="3" t="s">
        <v>57</v>
      </c>
      <c r="B690" s="4">
        <v>42668</v>
      </c>
      <c r="C690" s="3">
        <v>9328</v>
      </c>
      <c r="D690" s="3">
        <v>9394</v>
      </c>
      <c r="E690" s="3">
        <v>9308</v>
      </c>
      <c r="F690" s="3">
        <v>9374</v>
      </c>
      <c r="G690" s="3">
        <v>112280</v>
      </c>
      <c r="H690" s="3">
        <v>1.0449999999999999</v>
      </c>
      <c r="I690" s="2">
        <f t="shared" si="149"/>
        <v>0</v>
      </c>
      <c r="J690" s="10">
        <f t="shared" si="151"/>
        <v>19</v>
      </c>
      <c r="K690" s="10">
        <f t="shared" si="150"/>
        <v>46</v>
      </c>
      <c r="L690" s="10">
        <f t="shared" ca="1" si="139"/>
        <v>0</v>
      </c>
      <c r="M690" s="10">
        <f t="shared" ca="1" si="141"/>
        <v>1</v>
      </c>
      <c r="N690" s="30">
        <f t="shared" ca="1" si="142"/>
        <v>0</v>
      </c>
      <c r="O690" s="10">
        <f t="shared" ca="1" si="143"/>
        <v>1858800</v>
      </c>
      <c r="P690" s="29">
        <f t="shared" ca="1" si="144"/>
        <v>13000</v>
      </c>
      <c r="Q690" s="12">
        <f t="shared" ca="1" si="145"/>
        <v>-338500</v>
      </c>
      <c r="R690" s="10">
        <f t="shared" ca="1" si="146"/>
        <v>0.6993759414676135</v>
      </c>
      <c r="S690" s="10">
        <f t="shared" ca="1" si="152"/>
        <v>-1.1413616067695704</v>
      </c>
      <c r="T690" s="14">
        <f t="shared" ca="1" si="153"/>
        <v>-0.21913612876091207</v>
      </c>
      <c r="U690" s="12">
        <f t="shared" ca="1" si="147"/>
        <v>7900</v>
      </c>
      <c r="V690" s="14">
        <f t="shared" ca="1" si="148"/>
        <v>-4384.8101265822788</v>
      </c>
      <c r="W690" s="12">
        <f t="shared" ca="1" si="154"/>
        <v>-1774.6835443037974</v>
      </c>
      <c r="X690" s="7">
        <f ca="1">AVERAGE(E690:OFFSET(F690,-$X$5+1,0))</f>
        <v>9277.7000000000007</v>
      </c>
      <c r="Y690" s="7">
        <f ca="1">AVERAGE(E690:OFFSET(F690,-$Y$5+1,0))</f>
        <v>9224.5499999999993</v>
      </c>
      <c r="Z690" s="7">
        <f t="shared" ca="1" si="140"/>
        <v>0</v>
      </c>
    </row>
    <row r="691" spans="1:26">
      <c r="A691" s="3" t="s">
        <v>57</v>
      </c>
      <c r="B691" s="4">
        <v>42669</v>
      </c>
      <c r="C691" s="3">
        <v>9340</v>
      </c>
      <c r="D691" s="3">
        <v>9363</v>
      </c>
      <c r="E691" s="3">
        <v>9323</v>
      </c>
      <c r="F691" s="3">
        <v>9336</v>
      </c>
      <c r="G691" s="3">
        <v>89110</v>
      </c>
      <c r="H691" s="3">
        <v>1.0449999999999999</v>
      </c>
      <c r="I691" s="2">
        <f t="shared" si="149"/>
        <v>0</v>
      </c>
      <c r="J691" s="10">
        <f t="shared" si="151"/>
        <v>-34</v>
      </c>
      <c r="K691" s="10">
        <f t="shared" si="150"/>
        <v>-4</v>
      </c>
      <c r="L691" s="10">
        <f t="shared" ca="1" si="139"/>
        <v>0</v>
      </c>
      <c r="M691" s="10">
        <f t="shared" ca="1" si="141"/>
        <v>1</v>
      </c>
      <c r="N691" s="30">
        <f t="shared" ca="1" si="142"/>
        <v>0</v>
      </c>
      <c r="O691" s="10">
        <f t="shared" ca="1" si="143"/>
        <v>1858800</v>
      </c>
      <c r="P691" s="29">
        <f t="shared" ca="1" si="144"/>
        <v>-7600</v>
      </c>
      <c r="Q691" s="12">
        <f t="shared" ca="1" si="145"/>
        <v>-346100</v>
      </c>
      <c r="R691" s="10">
        <f t="shared" ca="1" si="146"/>
        <v>-0.4088659350118356</v>
      </c>
      <c r="S691" s="10">
        <f t="shared" ca="1" si="152"/>
        <v>-1.120457548037527</v>
      </c>
      <c r="T691" s="14">
        <f t="shared" ca="1" si="153"/>
        <v>-0.21770114972063981</v>
      </c>
      <c r="U691" s="12">
        <f t="shared" ca="1" si="147"/>
        <v>7900</v>
      </c>
      <c r="V691" s="14">
        <f t="shared" ca="1" si="148"/>
        <v>-4481.0126582278481</v>
      </c>
      <c r="W691" s="12">
        <f t="shared" ca="1" si="154"/>
        <v>-1774.6835443037974</v>
      </c>
      <c r="X691" s="7">
        <f ca="1">AVERAGE(E691:OFFSET(F691,-$X$5+1,0))</f>
        <v>9293.7000000000007</v>
      </c>
      <c r="Y691" s="7">
        <f ca="1">AVERAGE(E691:OFFSET(F691,-$Y$5+1,0))</f>
        <v>9236.2999999999993</v>
      </c>
      <c r="Z691" s="7">
        <f t="shared" ca="1" si="140"/>
        <v>0</v>
      </c>
    </row>
    <row r="692" spans="1:26">
      <c r="A692" s="3" t="s">
        <v>57</v>
      </c>
      <c r="B692" s="4">
        <v>42670</v>
      </c>
      <c r="C692" s="3">
        <v>9324</v>
      </c>
      <c r="D692" s="3">
        <v>9348</v>
      </c>
      <c r="E692" s="3">
        <v>9260</v>
      </c>
      <c r="F692" s="3">
        <v>9287</v>
      </c>
      <c r="G692" s="3">
        <v>127682</v>
      </c>
      <c r="H692" s="3">
        <v>1.0449999999999999</v>
      </c>
      <c r="I692" s="2">
        <f t="shared" si="149"/>
        <v>0</v>
      </c>
      <c r="J692" s="10">
        <f t="shared" si="151"/>
        <v>-12</v>
      </c>
      <c r="K692" s="10">
        <f t="shared" si="150"/>
        <v>-37</v>
      </c>
      <c r="L692" s="10">
        <f t="shared" ca="1" si="139"/>
        <v>0</v>
      </c>
      <c r="M692" s="10">
        <f t="shared" ca="1" si="141"/>
        <v>1</v>
      </c>
      <c r="N692" s="30">
        <f t="shared" ca="1" si="142"/>
        <v>0</v>
      </c>
      <c r="O692" s="10">
        <f t="shared" ca="1" si="143"/>
        <v>1858800</v>
      </c>
      <c r="P692" s="29">
        <f t="shared" ca="1" si="144"/>
        <v>-9800</v>
      </c>
      <c r="Q692" s="12">
        <f t="shared" ca="1" si="145"/>
        <v>-355900</v>
      </c>
      <c r="R692" s="10">
        <f t="shared" ca="1" si="146"/>
        <v>-0.52722186356789325</v>
      </c>
      <c r="S692" s="10">
        <f t="shared" ca="1" si="152"/>
        <v>-0.97162064986537788</v>
      </c>
      <c r="T692" s="14">
        <f t="shared" ca="1" si="153"/>
        <v>-0.20317893153519873</v>
      </c>
      <c r="U692" s="12">
        <f t="shared" ca="1" si="147"/>
        <v>7900</v>
      </c>
      <c r="V692" s="14">
        <f t="shared" ca="1" si="148"/>
        <v>-4605.0632911392404</v>
      </c>
      <c r="W692" s="12">
        <f t="shared" ca="1" si="154"/>
        <v>-1774.6835443037974</v>
      </c>
      <c r="X692" s="7">
        <f ca="1">AVERAGE(E692:OFFSET(F692,-$X$5+1,0))</f>
        <v>9297.1</v>
      </c>
      <c r="Y692" s="7">
        <f ca="1">AVERAGE(E692:OFFSET(F692,-$Y$5+1,0))</f>
        <v>9244.5499999999993</v>
      </c>
      <c r="Z692" s="7">
        <f t="shared" ca="1" si="140"/>
        <v>0</v>
      </c>
    </row>
    <row r="693" spans="1:26">
      <c r="A693" s="3" t="s">
        <v>57</v>
      </c>
      <c r="B693" s="4">
        <v>42671</v>
      </c>
      <c r="C693" s="3">
        <v>9286</v>
      </c>
      <c r="D693" s="3">
        <v>9313</v>
      </c>
      <c r="E693" s="3">
        <v>9261</v>
      </c>
      <c r="F693" s="3">
        <v>9280</v>
      </c>
      <c r="G693" s="3">
        <v>95640</v>
      </c>
      <c r="H693" s="3">
        <v>1.0449999999999999</v>
      </c>
      <c r="I693" s="2">
        <f t="shared" si="149"/>
        <v>0</v>
      </c>
      <c r="J693" s="10">
        <f t="shared" si="151"/>
        <v>-1</v>
      </c>
      <c r="K693" s="10">
        <f t="shared" si="150"/>
        <v>-6</v>
      </c>
      <c r="L693" s="10">
        <f t="shared" ca="1" si="139"/>
        <v>0</v>
      </c>
      <c r="M693" s="10">
        <f t="shared" ca="1" si="141"/>
        <v>1</v>
      </c>
      <c r="N693" s="30">
        <f t="shared" ca="1" si="142"/>
        <v>0</v>
      </c>
      <c r="O693" s="10">
        <f t="shared" ca="1" si="143"/>
        <v>1858800</v>
      </c>
      <c r="P693" s="29">
        <f t="shared" ca="1" si="144"/>
        <v>-1400</v>
      </c>
      <c r="Q693" s="12">
        <f t="shared" ca="1" si="145"/>
        <v>-357300</v>
      </c>
      <c r="R693" s="10">
        <f t="shared" ca="1" si="146"/>
        <v>-7.5317409081127606E-2</v>
      </c>
      <c r="S693" s="10">
        <f t="shared" ca="1" si="152"/>
        <v>-0.71408264628660301</v>
      </c>
      <c r="T693" s="14">
        <f t="shared" ca="1" si="153"/>
        <v>-0.17849137717685223</v>
      </c>
      <c r="U693" s="12">
        <f t="shared" ca="1" si="147"/>
        <v>7900</v>
      </c>
      <c r="V693" s="14">
        <f t="shared" ca="1" si="148"/>
        <v>-4622.7848101265827</v>
      </c>
      <c r="W693" s="12">
        <f t="shared" ca="1" si="154"/>
        <v>-1774.6835443037974</v>
      </c>
      <c r="X693" s="7">
        <f ca="1">AVERAGE(E693:OFFSET(F693,-$X$5+1,0))</f>
        <v>9300.7000000000007</v>
      </c>
      <c r="Y693" s="7">
        <f ca="1">AVERAGE(E693:OFFSET(F693,-$Y$5+1,0))</f>
        <v>9255.7999999999993</v>
      </c>
      <c r="Z693" s="7">
        <f t="shared" ca="1" si="140"/>
        <v>0</v>
      </c>
    </row>
    <row r="694" spans="1:26">
      <c r="A694" s="3" t="s">
        <v>57</v>
      </c>
      <c r="B694" s="4">
        <v>42674</v>
      </c>
      <c r="C694" s="3">
        <v>9263</v>
      </c>
      <c r="D694" s="3">
        <v>9300</v>
      </c>
      <c r="E694" s="3">
        <v>9174</v>
      </c>
      <c r="F694" s="3">
        <v>9283</v>
      </c>
      <c r="G694" s="3">
        <v>146504</v>
      </c>
      <c r="H694" s="3">
        <v>1.0449999999999999</v>
      </c>
      <c r="I694" s="2">
        <f t="shared" si="149"/>
        <v>0</v>
      </c>
      <c r="J694" s="10">
        <f t="shared" si="151"/>
        <v>-17</v>
      </c>
      <c r="K694" s="10">
        <f t="shared" si="150"/>
        <v>20</v>
      </c>
      <c r="L694" s="10">
        <f t="shared" ca="1" si="139"/>
        <v>0</v>
      </c>
      <c r="M694" s="10">
        <f t="shared" ca="1" si="141"/>
        <v>1</v>
      </c>
      <c r="N694" s="30">
        <f t="shared" ca="1" si="142"/>
        <v>0</v>
      </c>
      <c r="O694" s="10">
        <f t="shared" ca="1" si="143"/>
        <v>1858800</v>
      </c>
      <c r="P694" s="29">
        <f t="shared" ca="1" si="144"/>
        <v>600</v>
      </c>
      <c r="Q694" s="12">
        <f t="shared" ca="1" si="145"/>
        <v>-356700</v>
      </c>
      <c r="R694" s="10">
        <f t="shared" ca="1" si="146"/>
        <v>3.2278889606197549E-2</v>
      </c>
      <c r="S694" s="10">
        <f t="shared" ca="1" si="152"/>
        <v>-0.72913356857367428</v>
      </c>
      <c r="T694" s="14">
        <f t="shared" ca="1" si="153"/>
        <v>-0.17981548053388274</v>
      </c>
      <c r="U694" s="12">
        <f t="shared" ca="1" si="147"/>
        <v>7900</v>
      </c>
      <c r="V694" s="14">
        <f t="shared" ca="1" si="148"/>
        <v>-4615.1898734177212</v>
      </c>
      <c r="W694" s="12">
        <f t="shared" ca="1" si="154"/>
        <v>-1774.6835443037974</v>
      </c>
      <c r="X694" s="7">
        <f ca="1">AVERAGE(E694:OFFSET(F694,-$X$5+1,0))</f>
        <v>9288.6</v>
      </c>
      <c r="Y694" s="7">
        <f ca="1">AVERAGE(E694:OFFSET(F694,-$Y$5+1,0))</f>
        <v>9267.35</v>
      </c>
      <c r="Z694" s="7">
        <f t="shared" ca="1" si="140"/>
        <v>0</v>
      </c>
    </row>
    <row r="695" spans="1:26">
      <c r="A695" s="3" t="s">
        <v>57</v>
      </c>
      <c r="B695" s="4">
        <v>42675</v>
      </c>
      <c r="C695" s="3">
        <v>9259</v>
      </c>
      <c r="D695" s="3">
        <v>9292</v>
      </c>
      <c r="E695" s="3">
        <v>9226</v>
      </c>
      <c r="F695" s="3">
        <v>9280</v>
      </c>
      <c r="G695" s="3">
        <v>101255</v>
      </c>
      <c r="H695" s="3">
        <v>1.0449999999999999</v>
      </c>
      <c r="I695" s="2">
        <f t="shared" si="149"/>
        <v>0</v>
      </c>
      <c r="J695" s="10">
        <f t="shared" si="151"/>
        <v>-24</v>
      </c>
      <c r="K695" s="10">
        <f t="shared" si="150"/>
        <v>21</v>
      </c>
      <c r="L695" s="10">
        <f t="shared" ca="1" si="139"/>
        <v>-1</v>
      </c>
      <c r="M695" s="10">
        <f t="shared" ca="1" si="141"/>
        <v>1</v>
      </c>
      <c r="N695" s="30">
        <f t="shared" ca="1" si="142"/>
        <v>0</v>
      </c>
      <c r="O695" s="10">
        <f t="shared" ca="1" si="143"/>
        <v>1858800</v>
      </c>
      <c r="P695" s="29">
        <f t="shared" ca="1" si="144"/>
        <v>-600</v>
      </c>
      <c r="Q695" s="12">
        <f t="shared" ca="1" si="145"/>
        <v>-357300</v>
      </c>
      <c r="R695" s="10">
        <f t="shared" ca="1" si="146"/>
        <v>-3.2278889606197549E-2</v>
      </c>
      <c r="S695" s="10">
        <f t="shared" ca="1" si="152"/>
        <v>-0.76341622489422545</v>
      </c>
      <c r="T695" s="14">
        <f t="shared" ca="1" si="153"/>
        <v>-0.18297889048396973</v>
      </c>
      <c r="U695" s="12">
        <f t="shared" ca="1" si="147"/>
        <v>7900</v>
      </c>
      <c r="V695" s="14">
        <f t="shared" ca="1" si="148"/>
        <v>-4622.7848101265827</v>
      </c>
      <c r="W695" s="12">
        <f t="shared" ca="1" si="154"/>
        <v>-1774.6835443037974</v>
      </c>
      <c r="X695" s="7">
        <f ca="1">AVERAGE(E695:OFFSET(F695,-$X$5+1,0))</f>
        <v>9271</v>
      </c>
      <c r="Y695" s="7">
        <f ca="1">AVERAGE(E695:OFFSET(F695,-$Y$5+1,0))</f>
        <v>9274.35</v>
      </c>
      <c r="Z695" s="7">
        <f t="shared" ca="1" si="140"/>
        <v>-1</v>
      </c>
    </row>
    <row r="696" spans="1:26">
      <c r="A696" s="3" t="s">
        <v>57</v>
      </c>
      <c r="B696" s="4">
        <v>42676</v>
      </c>
      <c r="C696" s="3">
        <v>9199</v>
      </c>
      <c r="D696" s="3">
        <v>9225</v>
      </c>
      <c r="E696" s="3">
        <v>9144</v>
      </c>
      <c r="F696" s="3">
        <v>9160</v>
      </c>
      <c r="G696" s="3">
        <v>150857</v>
      </c>
      <c r="H696" s="3">
        <v>1.0449999999999999</v>
      </c>
      <c r="I696" s="2">
        <f t="shared" si="149"/>
        <v>0</v>
      </c>
      <c r="J696" s="10">
        <f t="shared" si="151"/>
        <v>-81</v>
      </c>
      <c r="K696" s="10">
        <f t="shared" si="150"/>
        <v>-39</v>
      </c>
      <c r="L696" s="10">
        <f t="shared" ca="1" si="139"/>
        <v>0</v>
      </c>
      <c r="M696" s="10">
        <f t="shared" ca="1" si="141"/>
        <v>0</v>
      </c>
      <c r="N696" s="30">
        <f t="shared" ca="1" si="142"/>
        <v>0</v>
      </c>
      <c r="O696" s="10">
        <f t="shared" ca="1" si="143"/>
        <v>0</v>
      </c>
      <c r="P696" s="29">
        <f t="shared" ca="1" si="144"/>
        <v>-16700</v>
      </c>
      <c r="Q696" s="12">
        <f t="shared" ca="1" si="145"/>
        <v>-374000</v>
      </c>
      <c r="R696" s="10">
        <f t="shared" ca="1" si="146"/>
        <v>-0.89842909403916504</v>
      </c>
      <c r="S696" s="10">
        <f t="shared" ca="1" si="152"/>
        <v>-0.90305533722427545</v>
      </c>
      <c r="T696" s="14">
        <f t="shared" ca="1" si="153"/>
        <v>-0.19561709336442284</v>
      </c>
      <c r="U696" s="12">
        <f t="shared" ca="1" si="147"/>
        <v>7900</v>
      </c>
      <c r="V696" s="14">
        <f t="shared" ca="1" si="148"/>
        <v>-4834.1772151898731</v>
      </c>
      <c r="W696" s="12">
        <f t="shared" ca="1" si="154"/>
        <v>-1774.6835443037974</v>
      </c>
      <c r="X696" s="7">
        <f ca="1">AVERAGE(E696:OFFSET(F696,-$X$5+1,0))</f>
        <v>9235.5</v>
      </c>
      <c r="Y696" s="7">
        <f ca="1">AVERAGE(E696:OFFSET(F696,-$Y$5+1,0))</f>
        <v>9264.6</v>
      </c>
      <c r="Z696" s="7">
        <f t="shared" ca="1" si="140"/>
        <v>0</v>
      </c>
    </row>
    <row r="697" spans="1:26">
      <c r="A697" s="3" t="s">
        <v>57</v>
      </c>
      <c r="B697" s="4">
        <v>42677</v>
      </c>
      <c r="C697" s="3">
        <v>9131</v>
      </c>
      <c r="D697" s="3">
        <v>9160</v>
      </c>
      <c r="E697" s="3">
        <v>9078</v>
      </c>
      <c r="F697" s="3">
        <v>9088</v>
      </c>
      <c r="G697" s="3">
        <v>134541</v>
      </c>
      <c r="H697" s="3">
        <v>1.0449999999999999</v>
      </c>
      <c r="I697" s="2">
        <f t="shared" si="149"/>
        <v>0</v>
      </c>
      <c r="J697" s="10">
        <f t="shared" si="151"/>
        <v>-29</v>
      </c>
      <c r="K697" s="10">
        <f t="shared" si="150"/>
        <v>-43</v>
      </c>
      <c r="L697" s="10">
        <f t="shared" ca="1" si="139"/>
        <v>0</v>
      </c>
      <c r="M697" s="10">
        <f t="shared" ca="1" si="141"/>
        <v>0</v>
      </c>
      <c r="N697" s="30">
        <f t="shared" ca="1" si="142"/>
        <v>0</v>
      </c>
      <c r="O697" s="10">
        <f t="shared" ca="1" si="143"/>
        <v>0</v>
      </c>
      <c r="P697" s="29">
        <f t="shared" ca="1" si="144"/>
        <v>0</v>
      </c>
      <c r="Q697" s="12">
        <f t="shared" ca="1" si="145"/>
        <v>-374000</v>
      </c>
      <c r="R697" s="10">
        <f t="shared" ca="1" si="146"/>
        <v>0</v>
      </c>
      <c r="S697" s="10">
        <f t="shared" ca="1" si="152"/>
        <v>-0.90305533722427545</v>
      </c>
      <c r="T697" s="14">
        <f t="shared" ca="1" si="153"/>
        <v>-0.19550784254626058</v>
      </c>
      <c r="U697" s="12">
        <f t="shared" ca="1" si="147"/>
        <v>7900</v>
      </c>
      <c r="V697" s="14">
        <f t="shared" ca="1" si="148"/>
        <v>-4834.1772151898731</v>
      </c>
      <c r="W697" s="12">
        <f t="shared" ca="1" si="154"/>
        <v>-1774.6835443037974</v>
      </c>
      <c r="X697" s="7">
        <f ca="1">AVERAGE(E697:OFFSET(F697,-$X$5+1,0))</f>
        <v>9197.4</v>
      </c>
      <c r="Y697" s="7">
        <f ca="1">AVERAGE(E697:OFFSET(F697,-$Y$5+1,0))</f>
        <v>9247.25</v>
      </c>
      <c r="Z697" s="7">
        <f t="shared" ca="1" si="140"/>
        <v>0</v>
      </c>
    </row>
    <row r="698" spans="1:26">
      <c r="A698" s="3" t="s">
        <v>57</v>
      </c>
      <c r="B698" s="4">
        <v>42678</v>
      </c>
      <c r="C698" s="3">
        <v>9058</v>
      </c>
      <c r="D698" s="3">
        <v>9094</v>
      </c>
      <c r="E698" s="3">
        <v>9047</v>
      </c>
      <c r="F698" s="3">
        <v>9064</v>
      </c>
      <c r="G698" s="3">
        <v>97483</v>
      </c>
      <c r="H698" s="3">
        <v>1.0449999999999999</v>
      </c>
      <c r="I698" s="2">
        <f t="shared" si="149"/>
        <v>0</v>
      </c>
      <c r="J698" s="10">
        <f t="shared" si="151"/>
        <v>-30</v>
      </c>
      <c r="K698" s="10">
        <f t="shared" si="150"/>
        <v>6</v>
      </c>
      <c r="L698" s="10">
        <f t="shared" ca="1" si="139"/>
        <v>0</v>
      </c>
      <c r="M698" s="10">
        <f t="shared" ca="1" si="141"/>
        <v>0</v>
      </c>
      <c r="N698" s="30">
        <f t="shared" ca="1" si="142"/>
        <v>0</v>
      </c>
      <c r="O698" s="10">
        <f t="shared" ca="1" si="143"/>
        <v>0</v>
      </c>
      <c r="P698" s="29">
        <f t="shared" ca="1" si="144"/>
        <v>0</v>
      </c>
      <c r="Q698" s="12">
        <f t="shared" ca="1" si="145"/>
        <v>-374000</v>
      </c>
      <c r="R698" s="10">
        <f t="shared" ca="1" si="146"/>
        <v>0</v>
      </c>
      <c r="S698" s="10">
        <f t="shared" ca="1" si="152"/>
        <v>-0.90305533722427545</v>
      </c>
      <c r="T698" s="14">
        <f t="shared" ca="1" si="153"/>
        <v>-0.19546108364461731</v>
      </c>
      <c r="U698" s="12">
        <f t="shared" ca="1" si="147"/>
        <v>7900</v>
      </c>
      <c r="V698" s="14">
        <f t="shared" ca="1" si="148"/>
        <v>-4834.1772151898731</v>
      </c>
      <c r="W698" s="12">
        <f t="shared" ca="1" si="154"/>
        <v>-1774.6835443037974</v>
      </c>
      <c r="X698" s="7">
        <f ca="1">AVERAGE(E698:OFFSET(F698,-$X$5+1,0))</f>
        <v>9154.4</v>
      </c>
      <c r="Y698" s="7">
        <f ca="1">AVERAGE(E698:OFFSET(F698,-$Y$5+1,0))</f>
        <v>9227.5499999999993</v>
      </c>
      <c r="Z698" s="7">
        <f t="shared" ca="1" si="140"/>
        <v>0</v>
      </c>
    </row>
    <row r="699" spans="1:26">
      <c r="A699" s="3" t="s">
        <v>57</v>
      </c>
      <c r="B699" s="4">
        <v>42681</v>
      </c>
      <c r="C699" s="3">
        <v>9131</v>
      </c>
      <c r="D699" s="3">
        <v>9200</v>
      </c>
      <c r="E699" s="3">
        <v>9115</v>
      </c>
      <c r="F699" s="3">
        <v>9196</v>
      </c>
      <c r="G699" s="3">
        <v>105071</v>
      </c>
      <c r="H699" s="3">
        <v>1.0449999999999999</v>
      </c>
      <c r="I699" s="2">
        <f t="shared" si="149"/>
        <v>0</v>
      </c>
      <c r="J699" s="10">
        <f t="shared" si="151"/>
        <v>67</v>
      </c>
      <c r="K699" s="10">
        <f t="shared" si="150"/>
        <v>65</v>
      </c>
      <c r="L699" s="10">
        <f t="shared" ca="1" si="139"/>
        <v>0</v>
      </c>
      <c r="M699" s="10">
        <f t="shared" ca="1" si="141"/>
        <v>0</v>
      </c>
      <c r="N699" s="30">
        <f t="shared" ca="1" si="142"/>
        <v>0</v>
      </c>
      <c r="O699" s="10">
        <f t="shared" ca="1" si="143"/>
        <v>0</v>
      </c>
      <c r="P699" s="29">
        <f t="shared" ca="1" si="144"/>
        <v>0</v>
      </c>
      <c r="Q699" s="12">
        <f t="shared" ca="1" si="145"/>
        <v>-374000</v>
      </c>
      <c r="R699" s="10">
        <f t="shared" ca="1" si="146"/>
        <v>0</v>
      </c>
      <c r="S699" s="10">
        <f t="shared" ca="1" si="152"/>
        <v>-0.80355201765974882</v>
      </c>
      <c r="T699" s="14">
        <f t="shared" ca="1" si="153"/>
        <v>-0.18592172489911579</v>
      </c>
      <c r="U699" s="12">
        <f t="shared" ca="1" si="147"/>
        <v>7900</v>
      </c>
      <c r="V699" s="14">
        <f t="shared" ca="1" si="148"/>
        <v>-4834.1772151898731</v>
      </c>
      <c r="W699" s="12">
        <f t="shared" ca="1" si="154"/>
        <v>-1774.6835443037974</v>
      </c>
      <c r="X699" s="7">
        <f ca="1">AVERAGE(E699:OFFSET(F699,-$X$5+1,0))</f>
        <v>9139.7999999999993</v>
      </c>
      <c r="Y699" s="7">
        <f ca="1">AVERAGE(E699:OFFSET(F699,-$Y$5+1,0))</f>
        <v>9214.2000000000007</v>
      </c>
      <c r="Z699" s="7">
        <f t="shared" ca="1" si="140"/>
        <v>0</v>
      </c>
    </row>
    <row r="700" spans="1:26">
      <c r="A700" s="3" t="s">
        <v>57</v>
      </c>
      <c r="B700" s="4">
        <v>42682</v>
      </c>
      <c r="C700" s="3">
        <v>9216</v>
      </c>
      <c r="D700" s="3">
        <v>9230</v>
      </c>
      <c r="E700" s="3">
        <v>9162</v>
      </c>
      <c r="F700" s="3">
        <v>9225</v>
      </c>
      <c r="G700" s="3">
        <v>115585</v>
      </c>
      <c r="H700" s="3">
        <v>1.0449999999999999</v>
      </c>
      <c r="I700" s="2">
        <f t="shared" si="149"/>
        <v>0</v>
      </c>
      <c r="J700" s="10">
        <f t="shared" si="151"/>
        <v>20</v>
      </c>
      <c r="K700" s="10">
        <f t="shared" si="150"/>
        <v>9</v>
      </c>
      <c r="L700" s="10">
        <f t="shared" ca="1" si="139"/>
        <v>0</v>
      </c>
      <c r="M700" s="10">
        <f t="shared" ca="1" si="141"/>
        <v>0</v>
      </c>
      <c r="N700" s="30">
        <f t="shared" ca="1" si="142"/>
        <v>0</v>
      </c>
      <c r="O700" s="10">
        <f t="shared" ca="1" si="143"/>
        <v>0</v>
      </c>
      <c r="P700" s="29">
        <f t="shared" ca="1" si="144"/>
        <v>0</v>
      </c>
      <c r="Q700" s="12">
        <f t="shared" ca="1" si="145"/>
        <v>-374000</v>
      </c>
      <c r="R700" s="10">
        <f t="shared" ca="1" si="146"/>
        <v>0</v>
      </c>
      <c r="S700" s="10">
        <f t="shared" ca="1" si="152"/>
        <v>-0.97914611100891347</v>
      </c>
      <c r="T700" s="14">
        <f t="shared" ca="1" si="153"/>
        <v>-0.20624916338410787</v>
      </c>
      <c r="U700" s="12">
        <f t="shared" ca="1" si="147"/>
        <v>7900</v>
      </c>
      <c r="V700" s="14">
        <f t="shared" ca="1" si="148"/>
        <v>-4834.1772151898731</v>
      </c>
      <c r="W700" s="12">
        <f t="shared" ca="1" si="154"/>
        <v>-1774.6835443037974</v>
      </c>
      <c r="X700" s="7">
        <f ca="1">AVERAGE(E700:OFFSET(F700,-$X$5+1,0))</f>
        <v>9127.9</v>
      </c>
      <c r="Y700" s="7">
        <f ca="1">AVERAGE(E700:OFFSET(F700,-$Y$5+1,0))</f>
        <v>9199.4500000000007</v>
      </c>
      <c r="Z700" s="7">
        <f t="shared" ca="1" si="140"/>
        <v>0</v>
      </c>
    </row>
    <row r="701" spans="1:26">
      <c r="A701" s="3" t="s">
        <v>57</v>
      </c>
      <c r="B701" s="4">
        <v>42683</v>
      </c>
      <c r="C701" s="3">
        <v>9223</v>
      </c>
      <c r="D701" s="3">
        <v>9307</v>
      </c>
      <c r="E701" s="3">
        <v>8891</v>
      </c>
      <c r="F701" s="3">
        <v>8929</v>
      </c>
      <c r="G701" s="3">
        <v>385514</v>
      </c>
      <c r="H701" s="3">
        <v>1.0449999999999999</v>
      </c>
      <c r="I701" s="2">
        <f t="shared" si="149"/>
        <v>0</v>
      </c>
      <c r="J701" s="10">
        <f t="shared" si="151"/>
        <v>-2</v>
      </c>
      <c r="K701" s="10">
        <f t="shared" si="150"/>
        <v>-294</v>
      </c>
      <c r="L701" s="10">
        <f t="shared" ref="L701:L764" ca="1" si="155">Z701</f>
        <v>0</v>
      </c>
      <c r="M701" s="10">
        <f t="shared" ca="1" si="141"/>
        <v>0</v>
      </c>
      <c r="N701" s="30">
        <f t="shared" ca="1" si="142"/>
        <v>0</v>
      </c>
      <c r="O701" s="10">
        <f t="shared" ca="1" si="143"/>
        <v>0</v>
      </c>
      <c r="P701" s="29">
        <f t="shared" ca="1" si="144"/>
        <v>0</v>
      </c>
      <c r="Q701" s="12">
        <f t="shared" ca="1" si="145"/>
        <v>-374000</v>
      </c>
      <c r="R701" s="10">
        <f t="shared" ca="1" si="146"/>
        <v>0</v>
      </c>
      <c r="S701" s="10">
        <f t="shared" ca="1" si="152"/>
        <v>-1.0895195411141028</v>
      </c>
      <c r="T701" s="14">
        <f t="shared" ca="1" si="153"/>
        <v>-0.21703250502820548</v>
      </c>
      <c r="U701" s="12">
        <f t="shared" ca="1" si="147"/>
        <v>7900</v>
      </c>
      <c r="V701" s="14">
        <f t="shared" ca="1" si="148"/>
        <v>-4834.1772151898731</v>
      </c>
      <c r="W701" s="12">
        <f t="shared" ca="1" si="154"/>
        <v>-1774.6835443037974</v>
      </c>
      <c r="X701" s="7">
        <f ca="1">AVERAGE(E701:OFFSET(F701,-$X$5+1,0))</f>
        <v>9079.5</v>
      </c>
      <c r="Y701" s="7">
        <f ca="1">AVERAGE(E701:OFFSET(F701,-$Y$5+1,0))</f>
        <v>9157.5</v>
      </c>
      <c r="Z701" s="7">
        <f t="shared" ref="Z701:Z764" ca="1" si="156">IF(AND(X700&lt;=Y700,X701&gt;Y701),1,IF(AND(X700&gt;Y700,X701&lt;=Y701),-1,0))</f>
        <v>0</v>
      </c>
    </row>
    <row r="702" spans="1:26">
      <c r="A702" s="3" t="s">
        <v>57</v>
      </c>
      <c r="B702" s="4">
        <v>42684</v>
      </c>
      <c r="C702" s="3">
        <v>9140</v>
      </c>
      <c r="D702" s="3">
        <v>9192</v>
      </c>
      <c r="E702" s="3">
        <v>9134</v>
      </c>
      <c r="F702" s="3">
        <v>9177</v>
      </c>
      <c r="G702" s="3">
        <v>134067</v>
      </c>
      <c r="H702" s="3">
        <v>1.0449999999999999</v>
      </c>
      <c r="I702" s="2">
        <f t="shared" si="149"/>
        <v>0</v>
      </c>
      <c r="J702" s="10">
        <f t="shared" si="151"/>
        <v>211</v>
      </c>
      <c r="K702" s="10">
        <f t="shared" si="150"/>
        <v>37</v>
      </c>
      <c r="L702" s="10">
        <f t="shared" ca="1" si="155"/>
        <v>0</v>
      </c>
      <c r="M702" s="10">
        <f t="shared" ref="M702:M765" ca="1" si="157">IF(I702=1,0,IF(M701+L701&gt;=$M$5,$M$5,IF(M701+L701&lt;=$M$7,$M$7,M701+L701)))</f>
        <v>0</v>
      </c>
      <c r="N702" s="30">
        <f t="shared" ref="N702:N765" ca="1" si="158">IF(M702=0,0,IF(M702&gt;M701,(C702+N701*M701)*$S$5,0))</f>
        <v>0</v>
      </c>
      <c r="O702" s="10">
        <f t="shared" ref="O702:O765" ca="1" si="159">IF(M702=0,0,IF(M702=M701,O701,((M702-M701)*C702+N701*M701)*$S$5/M702))</f>
        <v>0</v>
      </c>
      <c r="P702" s="29">
        <f t="shared" ref="P702:P765" ca="1" si="160">IF(M701=M702,(M701*J702+M702*K702)*$S$5,(M701*J702+M702*K702)*$S$5-$S$6)</f>
        <v>0</v>
      </c>
      <c r="Q702" s="12">
        <f t="shared" ref="Q702:Q765" ca="1" si="161">P702+Q701</f>
        <v>-374000</v>
      </c>
      <c r="R702" s="10">
        <f t="shared" ref="R702:R765" ca="1" si="162">IF(P702=0,0,IF(O702=0,100*P702/O701,100*P702/O702))</f>
        <v>0</v>
      </c>
      <c r="S702" s="10">
        <f t="shared" ca="1" si="152"/>
        <v>-0.83867083632958173</v>
      </c>
      <c r="T702" s="14">
        <f t="shared" ca="1" si="153"/>
        <v>-0.19298529464326095</v>
      </c>
      <c r="U702" s="12">
        <f t="shared" ref="U702:U765" ca="1" si="163">IF(Q702&gt;U701,Q702,U701)</f>
        <v>7900</v>
      </c>
      <c r="V702" s="14">
        <f t="shared" ref="V702:V765" ca="1" si="164">IF(U702=0,0,100*(Q702-U702)/U702)</f>
        <v>-4834.1772151898731</v>
      </c>
      <c r="W702" s="12">
        <f t="shared" ca="1" si="154"/>
        <v>-1774.6835443037974</v>
      </c>
      <c r="X702" s="7">
        <f ca="1">AVERAGE(E702:OFFSET(F702,-$X$5+1,0))</f>
        <v>9094</v>
      </c>
      <c r="Y702" s="7">
        <f ca="1">AVERAGE(E702:OFFSET(F702,-$Y$5+1,0))</f>
        <v>9145.7000000000007</v>
      </c>
      <c r="Z702" s="7">
        <f t="shared" ca="1" si="156"/>
        <v>0</v>
      </c>
    </row>
    <row r="703" spans="1:26">
      <c r="A703" s="3" t="s">
        <v>57</v>
      </c>
      <c r="B703" s="4">
        <v>42685</v>
      </c>
      <c r="C703" s="3">
        <v>9048</v>
      </c>
      <c r="D703" s="3">
        <v>9057</v>
      </c>
      <c r="E703" s="3">
        <v>8949</v>
      </c>
      <c r="F703" s="3">
        <v>8967</v>
      </c>
      <c r="G703" s="3">
        <v>179369</v>
      </c>
      <c r="H703" s="3">
        <v>1.0449999999999999</v>
      </c>
      <c r="I703" s="2">
        <f t="shared" si="149"/>
        <v>0</v>
      </c>
      <c r="J703" s="10">
        <f t="shared" si="151"/>
        <v>-129</v>
      </c>
      <c r="K703" s="10">
        <f t="shared" si="150"/>
        <v>-81</v>
      </c>
      <c r="L703" s="10">
        <f t="shared" ca="1" si="155"/>
        <v>0</v>
      </c>
      <c r="M703" s="10">
        <f t="shared" ca="1" si="157"/>
        <v>0</v>
      </c>
      <c r="N703" s="30">
        <f t="shared" ca="1" si="158"/>
        <v>0</v>
      </c>
      <c r="O703" s="10">
        <f t="shared" ca="1" si="159"/>
        <v>0</v>
      </c>
      <c r="P703" s="29">
        <f t="shared" ca="1" si="160"/>
        <v>0</v>
      </c>
      <c r="Q703" s="12">
        <f t="shared" ca="1" si="161"/>
        <v>-374000</v>
      </c>
      <c r="R703" s="10">
        <f t="shared" ca="1" si="162"/>
        <v>0</v>
      </c>
      <c r="S703" s="10">
        <f t="shared" ca="1" si="152"/>
        <v>-0.83449002458317312</v>
      </c>
      <c r="T703" s="14">
        <f t="shared" ca="1" si="153"/>
        <v>-0.19262154025932132</v>
      </c>
      <c r="U703" s="12">
        <f t="shared" ca="1" si="163"/>
        <v>7900</v>
      </c>
      <c r="V703" s="14">
        <f t="shared" ca="1" si="164"/>
        <v>-4834.1772151898731</v>
      </c>
      <c r="W703" s="12">
        <f t="shared" ca="1" si="154"/>
        <v>-1774.6835443037974</v>
      </c>
      <c r="X703" s="7">
        <f ca="1">AVERAGE(E703:OFFSET(F703,-$X$5+1,0))</f>
        <v>9074.5</v>
      </c>
      <c r="Y703" s="7">
        <f ca="1">AVERAGE(E703:OFFSET(F703,-$Y$5+1,0))</f>
        <v>9114.4500000000007</v>
      </c>
      <c r="Z703" s="7">
        <f t="shared" ca="1" si="156"/>
        <v>0</v>
      </c>
    </row>
    <row r="704" spans="1:26">
      <c r="A704" s="3" t="s">
        <v>57</v>
      </c>
      <c r="B704" s="4">
        <v>42688</v>
      </c>
      <c r="C704" s="3">
        <v>8957</v>
      </c>
      <c r="D704" s="3">
        <v>8988</v>
      </c>
      <c r="E704" s="3">
        <v>8877</v>
      </c>
      <c r="F704" s="3">
        <v>8945</v>
      </c>
      <c r="G704" s="3">
        <v>184246</v>
      </c>
      <c r="H704" s="3">
        <v>1.0449999999999999</v>
      </c>
      <c r="I704" s="2">
        <f t="shared" si="149"/>
        <v>0</v>
      </c>
      <c r="J704" s="10">
        <f t="shared" si="151"/>
        <v>-10</v>
      </c>
      <c r="K704" s="10">
        <f t="shared" si="150"/>
        <v>-12</v>
      </c>
      <c r="L704" s="10">
        <f t="shared" ca="1" si="155"/>
        <v>0</v>
      </c>
      <c r="M704" s="10">
        <f t="shared" ca="1" si="157"/>
        <v>0</v>
      </c>
      <c r="N704" s="30">
        <f t="shared" ca="1" si="158"/>
        <v>0</v>
      </c>
      <c r="O704" s="10">
        <f t="shared" ca="1" si="159"/>
        <v>0</v>
      </c>
      <c r="P704" s="29">
        <f t="shared" ca="1" si="160"/>
        <v>0</v>
      </c>
      <c r="Q704" s="12">
        <f t="shared" ca="1" si="161"/>
        <v>-374000</v>
      </c>
      <c r="R704" s="10">
        <f t="shared" ca="1" si="162"/>
        <v>0</v>
      </c>
      <c r="S704" s="10">
        <f t="shared" ca="1" si="152"/>
        <v>-0.83449002458317312</v>
      </c>
      <c r="T704" s="14">
        <f t="shared" ca="1" si="153"/>
        <v>-0.19254324843331419</v>
      </c>
      <c r="U704" s="12">
        <f t="shared" ca="1" si="163"/>
        <v>7900</v>
      </c>
      <c r="V704" s="14">
        <f t="shared" ca="1" si="164"/>
        <v>-4834.1772151898731</v>
      </c>
      <c r="W704" s="12">
        <f t="shared" ca="1" si="154"/>
        <v>-1774.6835443037974</v>
      </c>
      <c r="X704" s="7">
        <f ca="1">AVERAGE(E704:OFFSET(F704,-$X$5+1,0))</f>
        <v>9025.6</v>
      </c>
      <c r="Y704" s="7">
        <f ca="1">AVERAGE(E704:OFFSET(F704,-$Y$5+1,0))</f>
        <v>9082.7000000000007</v>
      </c>
      <c r="Z704" s="7">
        <f t="shared" ca="1" si="156"/>
        <v>0</v>
      </c>
    </row>
    <row r="705" spans="1:26">
      <c r="A705" s="3" t="s">
        <v>57</v>
      </c>
      <c r="B705" s="4">
        <v>42689</v>
      </c>
      <c r="C705" s="3">
        <v>8900</v>
      </c>
      <c r="D705" s="3">
        <v>8975</v>
      </c>
      <c r="E705" s="3">
        <v>8896</v>
      </c>
      <c r="F705" s="3">
        <v>8938</v>
      </c>
      <c r="G705" s="3">
        <v>142410</v>
      </c>
      <c r="H705" s="3">
        <v>1.0449999999999999</v>
      </c>
      <c r="I705" s="2">
        <f t="shared" si="149"/>
        <v>0</v>
      </c>
      <c r="J705" s="10">
        <f t="shared" si="151"/>
        <v>-45</v>
      </c>
      <c r="K705" s="10">
        <f t="shared" si="150"/>
        <v>38</v>
      </c>
      <c r="L705" s="10">
        <f t="shared" ca="1" si="155"/>
        <v>0</v>
      </c>
      <c r="M705" s="10">
        <f t="shared" ca="1" si="157"/>
        <v>0</v>
      </c>
      <c r="N705" s="30">
        <f t="shared" ca="1" si="158"/>
        <v>0</v>
      </c>
      <c r="O705" s="10">
        <f t="shared" ca="1" si="159"/>
        <v>0</v>
      </c>
      <c r="P705" s="29">
        <f t="shared" ca="1" si="160"/>
        <v>0</v>
      </c>
      <c r="Q705" s="12">
        <f t="shared" ca="1" si="161"/>
        <v>-374000</v>
      </c>
      <c r="R705" s="10">
        <f t="shared" ca="1" si="162"/>
        <v>0</v>
      </c>
      <c r="S705" s="10">
        <f t="shared" ca="1" si="152"/>
        <v>-0.83449002458317312</v>
      </c>
      <c r="T705" s="14">
        <f t="shared" ca="1" si="153"/>
        <v>-0.19246040350571814</v>
      </c>
      <c r="U705" s="12">
        <f t="shared" ca="1" si="163"/>
        <v>7900</v>
      </c>
      <c r="V705" s="14">
        <f t="shared" ca="1" si="164"/>
        <v>-4834.1772151898731</v>
      </c>
      <c r="W705" s="12">
        <f t="shared" ca="1" si="154"/>
        <v>-1774.6835443037974</v>
      </c>
      <c r="X705" s="7">
        <f ca="1">AVERAGE(E705:OFFSET(F705,-$X$5+1,0))</f>
        <v>8970.2999999999993</v>
      </c>
      <c r="Y705" s="7">
        <f ca="1">AVERAGE(E705:OFFSET(F705,-$Y$5+1,0))</f>
        <v>9049.1</v>
      </c>
      <c r="Z705" s="7">
        <f t="shared" ca="1" si="156"/>
        <v>0</v>
      </c>
    </row>
    <row r="706" spans="1:26">
      <c r="A706" s="3" t="s">
        <v>57</v>
      </c>
      <c r="B706" s="4">
        <v>42690</v>
      </c>
      <c r="C706" s="3">
        <v>8990</v>
      </c>
      <c r="D706" s="3">
        <v>9034</v>
      </c>
      <c r="E706" s="3">
        <v>8979</v>
      </c>
      <c r="F706" s="3">
        <v>8983</v>
      </c>
      <c r="G706" s="3">
        <v>83943</v>
      </c>
      <c r="H706" s="3">
        <v>1.0449999999999999</v>
      </c>
      <c r="I706" s="2">
        <f t="shared" si="149"/>
        <v>1</v>
      </c>
      <c r="J706" s="10">
        <f t="shared" si="151"/>
        <v>52</v>
      </c>
      <c r="K706" s="10">
        <f t="shared" si="150"/>
        <v>-7</v>
      </c>
      <c r="L706" s="10">
        <f t="shared" ca="1" si="155"/>
        <v>0</v>
      </c>
      <c r="M706" s="10">
        <f t="shared" si="157"/>
        <v>0</v>
      </c>
      <c r="N706" s="30">
        <f t="shared" si="158"/>
        <v>0</v>
      </c>
      <c r="O706" s="10">
        <f t="shared" si="159"/>
        <v>0</v>
      </c>
      <c r="P706" s="29">
        <f t="shared" ca="1" si="160"/>
        <v>0</v>
      </c>
      <c r="Q706" s="12">
        <f t="shared" ca="1" si="161"/>
        <v>-374000</v>
      </c>
      <c r="R706" s="10">
        <f t="shared" ca="1" si="162"/>
        <v>0</v>
      </c>
      <c r="S706" s="10">
        <f t="shared" ca="1" si="152"/>
        <v>-0.83449002458317312</v>
      </c>
      <c r="T706" s="14">
        <f t="shared" ca="1" si="153"/>
        <v>-0.19237755857812214</v>
      </c>
      <c r="U706" s="12">
        <f t="shared" ca="1" si="163"/>
        <v>7900</v>
      </c>
      <c r="V706" s="14">
        <f t="shared" ca="1" si="164"/>
        <v>-4834.1772151898731</v>
      </c>
      <c r="W706" s="12">
        <f t="shared" ca="1" si="154"/>
        <v>-1774.6835443037974</v>
      </c>
      <c r="X706" s="7">
        <f ca="1">AVERAGE(E706:OFFSET(F706,-$X$5+1,0))</f>
        <v>8984.5</v>
      </c>
      <c r="Y706" s="7">
        <f ca="1">AVERAGE(E706:OFFSET(F706,-$Y$5+1,0))</f>
        <v>9032</v>
      </c>
      <c r="Z706" s="7">
        <f t="shared" ca="1" si="156"/>
        <v>0</v>
      </c>
    </row>
    <row r="707" spans="1:26">
      <c r="A707" s="3" t="s">
        <v>58</v>
      </c>
      <c r="B707" s="4">
        <v>42691</v>
      </c>
      <c r="C707" s="3">
        <v>8942</v>
      </c>
      <c r="D707" s="3">
        <v>8965</v>
      </c>
      <c r="E707" s="3">
        <v>8906</v>
      </c>
      <c r="F707" s="3">
        <v>8962</v>
      </c>
      <c r="G707" s="3">
        <v>126400</v>
      </c>
      <c r="H707" s="3">
        <v>1.0449999999999999</v>
      </c>
      <c r="I707" s="2">
        <f t="shared" si="149"/>
        <v>0</v>
      </c>
      <c r="J707" s="10">
        <f t="shared" si="151"/>
        <v>-41</v>
      </c>
      <c r="K707" s="10">
        <f t="shared" si="150"/>
        <v>20</v>
      </c>
      <c r="L707" s="10">
        <f t="shared" ca="1" si="155"/>
        <v>0</v>
      </c>
      <c r="M707" s="10">
        <f t="shared" ca="1" si="157"/>
        <v>0</v>
      </c>
      <c r="N707" s="30">
        <f t="shared" ca="1" si="158"/>
        <v>0</v>
      </c>
      <c r="O707" s="10">
        <f t="shared" ca="1" si="159"/>
        <v>0</v>
      </c>
      <c r="P707" s="29">
        <f t="shared" ca="1" si="160"/>
        <v>0</v>
      </c>
      <c r="Q707" s="12">
        <f t="shared" ca="1" si="161"/>
        <v>-374000</v>
      </c>
      <c r="R707" s="10">
        <f t="shared" ca="1" si="162"/>
        <v>0</v>
      </c>
      <c r="S707" s="10">
        <f t="shared" ca="1" si="152"/>
        <v>-0.85222845566464078</v>
      </c>
      <c r="T707" s="14">
        <f t="shared" ca="1" si="153"/>
        <v>-0.19401982469585213</v>
      </c>
      <c r="U707" s="12">
        <f t="shared" ca="1" si="163"/>
        <v>7900</v>
      </c>
      <c r="V707" s="14">
        <f t="shared" ca="1" si="164"/>
        <v>-4834.1772151898731</v>
      </c>
      <c r="W707" s="12">
        <f t="shared" ca="1" si="154"/>
        <v>-1774.6835443037974</v>
      </c>
      <c r="X707" s="7">
        <f ca="1">AVERAGE(E707:OFFSET(F707,-$X$5+1,0))</f>
        <v>8940.2000000000007</v>
      </c>
      <c r="Y707" s="7">
        <f ca="1">AVERAGE(E707:OFFSET(F707,-$Y$5+1,0))</f>
        <v>9017.1</v>
      </c>
      <c r="Z707" s="7">
        <f t="shared" ca="1" si="156"/>
        <v>0</v>
      </c>
    </row>
    <row r="708" spans="1:26">
      <c r="A708" s="3" t="s">
        <v>58</v>
      </c>
      <c r="B708" s="4">
        <v>42692</v>
      </c>
      <c r="C708" s="3">
        <v>8979</v>
      </c>
      <c r="D708" s="3">
        <v>9006</v>
      </c>
      <c r="E708" s="3">
        <v>8926</v>
      </c>
      <c r="F708" s="3">
        <v>8987</v>
      </c>
      <c r="G708" s="3">
        <v>131675</v>
      </c>
      <c r="H708" s="3">
        <v>1.0449999999999999</v>
      </c>
      <c r="I708" s="2">
        <f t="shared" ref="I708:I771" si="165">IF(A708=A709,0,1)</f>
        <v>0</v>
      </c>
      <c r="J708" s="10">
        <f t="shared" si="151"/>
        <v>17</v>
      </c>
      <c r="K708" s="10">
        <f t="shared" ref="K708:K771" si="166">F708-C708</f>
        <v>8</v>
      </c>
      <c r="L708" s="10">
        <f t="shared" ca="1" si="155"/>
        <v>0</v>
      </c>
      <c r="M708" s="10">
        <f t="shared" ca="1" si="157"/>
        <v>0</v>
      </c>
      <c r="N708" s="30">
        <f t="shared" ca="1" si="158"/>
        <v>0</v>
      </c>
      <c r="O708" s="10">
        <f t="shared" ca="1" si="159"/>
        <v>0</v>
      </c>
      <c r="P708" s="29">
        <f t="shared" ca="1" si="160"/>
        <v>0</v>
      </c>
      <c r="Q708" s="12">
        <f t="shared" ca="1" si="161"/>
        <v>-374000</v>
      </c>
      <c r="R708" s="10">
        <f t="shared" ca="1" si="162"/>
        <v>0</v>
      </c>
      <c r="S708" s="10">
        <f t="shared" ca="1" si="152"/>
        <v>-0.82495714508337226</v>
      </c>
      <c r="T708" s="14">
        <f t="shared" ca="1" si="153"/>
        <v>-0.19128477006108452</v>
      </c>
      <c r="U708" s="12">
        <f t="shared" ca="1" si="163"/>
        <v>7900</v>
      </c>
      <c r="V708" s="14">
        <f t="shared" ca="1" si="164"/>
        <v>-4834.1772151898731</v>
      </c>
      <c r="W708" s="12">
        <f t="shared" ca="1" si="154"/>
        <v>-1774.6835443037974</v>
      </c>
      <c r="X708" s="7">
        <f ca="1">AVERAGE(E708:OFFSET(F708,-$X$5+1,0))</f>
        <v>8939.9</v>
      </c>
      <c r="Y708" s="7">
        <f ca="1">AVERAGE(E708:OFFSET(F708,-$Y$5+1,0))</f>
        <v>9007.2000000000007</v>
      </c>
      <c r="Z708" s="7">
        <f t="shared" ca="1" si="156"/>
        <v>0</v>
      </c>
    </row>
    <row r="709" spans="1:26">
      <c r="A709" s="3" t="s">
        <v>58</v>
      </c>
      <c r="B709" s="4">
        <v>42695</v>
      </c>
      <c r="C709" s="3">
        <v>8980</v>
      </c>
      <c r="D709" s="3">
        <v>9026</v>
      </c>
      <c r="E709" s="3">
        <v>8971</v>
      </c>
      <c r="F709" s="3">
        <v>9017</v>
      </c>
      <c r="G709" s="3">
        <v>85149</v>
      </c>
      <c r="H709" s="3">
        <v>1.0449999999999999</v>
      </c>
      <c r="I709" s="2">
        <f t="shared" si="165"/>
        <v>0</v>
      </c>
      <c r="J709" s="10">
        <f t="shared" ref="J709:J772" si="167">C709-F708</f>
        <v>-7</v>
      </c>
      <c r="K709" s="10">
        <f t="shared" si="166"/>
        <v>37</v>
      </c>
      <c r="L709" s="10">
        <f t="shared" ca="1" si="155"/>
        <v>0</v>
      </c>
      <c r="M709" s="10">
        <f t="shared" ca="1" si="157"/>
        <v>0</v>
      </c>
      <c r="N709" s="30">
        <f t="shared" ca="1" si="158"/>
        <v>0</v>
      </c>
      <c r="O709" s="10">
        <f t="shared" ca="1" si="159"/>
        <v>0</v>
      </c>
      <c r="P709" s="29">
        <f t="shared" ca="1" si="160"/>
        <v>0</v>
      </c>
      <c r="Q709" s="12">
        <f t="shared" ca="1" si="161"/>
        <v>-374000</v>
      </c>
      <c r="R709" s="10">
        <f t="shared" ca="1" si="162"/>
        <v>0</v>
      </c>
      <c r="S709" s="10">
        <f t="shared" ca="1" si="152"/>
        <v>-1.0470235312451301</v>
      </c>
      <c r="T709" s="14">
        <f t="shared" ca="1" si="153"/>
        <v>-0.21279848989188585</v>
      </c>
      <c r="U709" s="12">
        <f t="shared" ca="1" si="163"/>
        <v>7900</v>
      </c>
      <c r="V709" s="14">
        <f t="shared" ca="1" si="164"/>
        <v>-4834.1772151898731</v>
      </c>
      <c r="W709" s="12">
        <f t="shared" ca="1" si="154"/>
        <v>-1774.6835443037974</v>
      </c>
      <c r="X709" s="7">
        <f ca="1">AVERAGE(E709:OFFSET(F709,-$X$5+1,0))</f>
        <v>8956.5</v>
      </c>
      <c r="Y709" s="7">
        <f ca="1">AVERAGE(E709:OFFSET(F709,-$Y$5+1,0))</f>
        <v>8991.0499999999993</v>
      </c>
      <c r="Z709" s="7">
        <f t="shared" ca="1" si="156"/>
        <v>0</v>
      </c>
    </row>
    <row r="710" spans="1:26">
      <c r="A710" s="3" t="s">
        <v>58</v>
      </c>
      <c r="B710" s="4">
        <v>42696</v>
      </c>
      <c r="C710" s="3">
        <v>9050</v>
      </c>
      <c r="D710" s="3">
        <v>9164</v>
      </c>
      <c r="E710" s="3">
        <v>9041</v>
      </c>
      <c r="F710" s="3">
        <v>9140</v>
      </c>
      <c r="G710" s="3">
        <v>132590</v>
      </c>
      <c r="H710" s="3">
        <v>1.0449999999999999</v>
      </c>
      <c r="I710" s="2">
        <f t="shared" si="165"/>
        <v>0</v>
      </c>
      <c r="J710" s="10">
        <f t="shared" si="167"/>
        <v>33</v>
      </c>
      <c r="K710" s="10">
        <f t="shared" si="166"/>
        <v>90</v>
      </c>
      <c r="L710" s="10">
        <f t="shared" ca="1" si="155"/>
        <v>1</v>
      </c>
      <c r="M710" s="10">
        <f t="shared" ca="1" si="157"/>
        <v>0</v>
      </c>
      <c r="N710" s="30">
        <f t="shared" ca="1" si="158"/>
        <v>0</v>
      </c>
      <c r="O710" s="10">
        <f t="shared" ca="1" si="159"/>
        <v>0</v>
      </c>
      <c r="P710" s="29">
        <f t="shared" ca="1" si="160"/>
        <v>0</v>
      </c>
      <c r="Q710" s="12">
        <f t="shared" ca="1" si="161"/>
        <v>-374000</v>
      </c>
      <c r="R710" s="10">
        <f t="shared" ca="1" si="162"/>
        <v>0</v>
      </c>
      <c r="S710" s="10">
        <f t="shared" ca="1" si="152"/>
        <v>-0.83469689886239673</v>
      </c>
      <c r="T710" s="14">
        <f t="shared" ca="1" si="153"/>
        <v>-0.19206629795845376</v>
      </c>
      <c r="U710" s="12">
        <f t="shared" ca="1" si="163"/>
        <v>7900</v>
      </c>
      <c r="V710" s="14">
        <f t="shared" ca="1" si="164"/>
        <v>-4834.1772151898731</v>
      </c>
      <c r="W710" s="12">
        <f t="shared" ca="1" si="154"/>
        <v>-1774.6835443037974</v>
      </c>
      <c r="X710" s="7">
        <f ca="1">AVERAGE(E710:OFFSET(F710,-$X$5+1,0))</f>
        <v>8991.2000000000007</v>
      </c>
      <c r="Y710" s="7">
        <f ca="1">AVERAGE(E710:OFFSET(F710,-$Y$5+1,0))</f>
        <v>8980.75</v>
      </c>
      <c r="Z710" s="7">
        <f t="shared" ca="1" si="156"/>
        <v>1</v>
      </c>
    </row>
    <row r="711" spans="1:26">
      <c r="A711" s="3" t="s">
        <v>58</v>
      </c>
      <c r="B711" s="4">
        <v>42697</v>
      </c>
      <c r="C711" s="3">
        <v>9150</v>
      </c>
      <c r="D711" s="3">
        <v>9192</v>
      </c>
      <c r="E711" s="3">
        <v>9142</v>
      </c>
      <c r="F711" s="3">
        <v>9175</v>
      </c>
      <c r="G711" s="3">
        <v>97048</v>
      </c>
      <c r="H711" s="3">
        <v>1.0449999999999999</v>
      </c>
      <c r="I711" s="2">
        <f t="shared" si="165"/>
        <v>0</v>
      </c>
      <c r="J711" s="10">
        <f t="shared" si="167"/>
        <v>10</v>
      </c>
      <c r="K711" s="10">
        <f t="shared" si="166"/>
        <v>25</v>
      </c>
      <c r="L711" s="10">
        <f t="shared" ca="1" si="155"/>
        <v>0</v>
      </c>
      <c r="M711" s="10">
        <f t="shared" ca="1" si="157"/>
        <v>1</v>
      </c>
      <c r="N711" s="30">
        <f t="shared" ca="1" si="158"/>
        <v>1830000</v>
      </c>
      <c r="O711" s="10">
        <f t="shared" ca="1" si="159"/>
        <v>1830000</v>
      </c>
      <c r="P711" s="29">
        <f t="shared" ca="1" si="160"/>
        <v>4500</v>
      </c>
      <c r="Q711" s="12">
        <f t="shared" ca="1" si="161"/>
        <v>-369500</v>
      </c>
      <c r="R711" s="10">
        <f t="shared" ca="1" si="162"/>
        <v>0.24590163934426229</v>
      </c>
      <c r="S711" s="10">
        <f t="shared" ca="1" si="152"/>
        <v>-0.51747511820917236</v>
      </c>
      <c r="T711" s="14">
        <f t="shared" ca="1" si="153"/>
        <v>-0.161080427139214</v>
      </c>
      <c r="U711" s="12">
        <f t="shared" ca="1" si="163"/>
        <v>7900</v>
      </c>
      <c r="V711" s="14">
        <f t="shared" ca="1" si="164"/>
        <v>-4777.2151898734173</v>
      </c>
      <c r="W711" s="12">
        <f t="shared" ca="1" si="154"/>
        <v>-1774.6835443037974</v>
      </c>
      <c r="X711" s="7">
        <f ca="1">AVERAGE(E711:OFFSET(F711,-$X$5+1,0))</f>
        <v>9026.7000000000007</v>
      </c>
      <c r="Y711" s="7">
        <f ca="1">AVERAGE(E711:OFFSET(F711,-$Y$5+1,0))</f>
        <v>9005.6</v>
      </c>
      <c r="Z711" s="7">
        <f t="shared" ca="1" si="156"/>
        <v>0</v>
      </c>
    </row>
    <row r="712" spans="1:26">
      <c r="A712" s="3" t="s">
        <v>58</v>
      </c>
      <c r="B712" s="4">
        <v>42698</v>
      </c>
      <c r="C712" s="3">
        <v>9156</v>
      </c>
      <c r="D712" s="3">
        <v>9165</v>
      </c>
      <c r="E712" s="3">
        <v>9117</v>
      </c>
      <c r="F712" s="3">
        <v>9142</v>
      </c>
      <c r="G712" s="3">
        <v>100734</v>
      </c>
      <c r="H712" s="3">
        <v>1.0449999999999999</v>
      </c>
      <c r="I712" s="2">
        <f t="shared" si="165"/>
        <v>0</v>
      </c>
      <c r="J712" s="10">
        <f t="shared" si="167"/>
        <v>-19</v>
      </c>
      <c r="K712" s="10">
        <f t="shared" si="166"/>
        <v>-14</v>
      </c>
      <c r="L712" s="10">
        <f t="shared" ca="1" si="155"/>
        <v>0</v>
      </c>
      <c r="M712" s="10">
        <f t="shared" ca="1" si="157"/>
        <v>1</v>
      </c>
      <c r="N712" s="30">
        <f t="shared" ca="1" si="158"/>
        <v>0</v>
      </c>
      <c r="O712" s="10">
        <f t="shared" ca="1" si="159"/>
        <v>1830000</v>
      </c>
      <c r="P712" s="29">
        <f t="shared" ca="1" si="160"/>
        <v>-6600</v>
      </c>
      <c r="Q712" s="12">
        <f t="shared" ca="1" si="161"/>
        <v>-376100</v>
      </c>
      <c r="R712" s="10">
        <f t="shared" ca="1" si="162"/>
        <v>-0.36065573770491804</v>
      </c>
      <c r="S712" s="10">
        <f t="shared" ca="1" si="152"/>
        <v>-0.66709651820255922</v>
      </c>
      <c r="T712" s="14">
        <f t="shared" ca="1" si="153"/>
        <v>-0.17546583392303297</v>
      </c>
      <c r="U712" s="12">
        <f t="shared" ca="1" si="163"/>
        <v>7900</v>
      </c>
      <c r="V712" s="14">
        <f t="shared" ca="1" si="164"/>
        <v>-4860.7594936708865</v>
      </c>
      <c r="W712" s="12">
        <f t="shared" ca="1" si="154"/>
        <v>-1774.6835443037974</v>
      </c>
      <c r="X712" s="7">
        <f ca="1">AVERAGE(E712:OFFSET(F712,-$X$5+1,0))</f>
        <v>9065.7999999999993</v>
      </c>
      <c r="Y712" s="7">
        <f ca="1">AVERAGE(E712:OFFSET(F712,-$Y$5+1,0))</f>
        <v>9003</v>
      </c>
      <c r="Z712" s="7">
        <f t="shared" ca="1" si="156"/>
        <v>0</v>
      </c>
    </row>
    <row r="713" spans="1:26">
      <c r="A713" s="3" t="s">
        <v>58</v>
      </c>
      <c r="B713" s="4">
        <v>42699</v>
      </c>
      <c r="C713" s="3">
        <v>9142</v>
      </c>
      <c r="D713" s="3">
        <v>9192</v>
      </c>
      <c r="E713" s="3">
        <v>9133</v>
      </c>
      <c r="F713" s="3">
        <v>9162</v>
      </c>
      <c r="G713" s="3">
        <v>98602</v>
      </c>
      <c r="H713" s="3">
        <v>1.0449999999999999</v>
      </c>
      <c r="I713" s="2">
        <f t="shared" si="165"/>
        <v>0</v>
      </c>
      <c r="J713" s="10">
        <f t="shared" si="167"/>
        <v>0</v>
      </c>
      <c r="K713" s="10">
        <f t="shared" si="166"/>
        <v>20</v>
      </c>
      <c r="L713" s="10">
        <f t="shared" ca="1" si="155"/>
        <v>0</v>
      </c>
      <c r="M713" s="10">
        <f t="shared" ca="1" si="157"/>
        <v>1</v>
      </c>
      <c r="N713" s="30">
        <f t="shared" ca="1" si="158"/>
        <v>0</v>
      </c>
      <c r="O713" s="10">
        <f t="shared" ca="1" si="159"/>
        <v>1830000</v>
      </c>
      <c r="P713" s="29">
        <f t="shared" ca="1" si="160"/>
        <v>4000</v>
      </c>
      <c r="Q713" s="12">
        <f t="shared" ca="1" si="161"/>
        <v>-372100</v>
      </c>
      <c r="R713" s="10">
        <f t="shared" ca="1" si="162"/>
        <v>0.21857923497267759</v>
      </c>
      <c r="S713" s="10">
        <f t="shared" ca="1" si="152"/>
        <v>-0.6340310154415898</v>
      </c>
      <c r="T713" s="14">
        <f t="shared" ca="1" si="153"/>
        <v>-0.17212435907304954</v>
      </c>
      <c r="U713" s="12">
        <f t="shared" ca="1" si="163"/>
        <v>7900</v>
      </c>
      <c r="V713" s="14">
        <f t="shared" ca="1" si="164"/>
        <v>-4810.1265822784808</v>
      </c>
      <c r="W713" s="12">
        <f t="shared" ca="1" si="154"/>
        <v>-1774.6835443037974</v>
      </c>
      <c r="X713" s="7">
        <f ca="1">AVERAGE(E713:OFFSET(F713,-$X$5+1,0))</f>
        <v>9104</v>
      </c>
      <c r="Y713" s="7">
        <f ca="1">AVERAGE(E713:OFFSET(F713,-$Y$5+1,0))</f>
        <v>9021.9500000000007</v>
      </c>
      <c r="Z713" s="7">
        <f t="shared" ca="1" si="156"/>
        <v>0</v>
      </c>
    </row>
    <row r="714" spans="1:26">
      <c r="A714" s="3" t="s">
        <v>58</v>
      </c>
      <c r="B714" s="4">
        <v>42702</v>
      </c>
      <c r="C714" s="3">
        <v>9157</v>
      </c>
      <c r="D714" s="3">
        <v>9248</v>
      </c>
      <c r="E714" s="3">
        <v>9150</v>
      </c>
      <c r="F714" s="3">
        <v>9223</v>
      </c>
      <c r="G714" s="3">
        <v>116679</v>
      </c>
      <c r="H714" s="3">
        <v>1.0449999999999999</v>
      </c>
      <c r="I714" s="2">
        <f t="shared" si="165"/>
        <v>0</v>
      </c>
      <c r="J714" s="10">
        <f t="shared" si="167"/>
        <v>-5</v>
      </c>
      <c r="K714" s="10">
        <f t="shared" si="166"/>
        <v>66</v>
      </c>
      <c r="L714" s="10">
        <f t="shared" ca="1" si="155"/>
        <v>0</v>
      </c>
      <c r="M714" s="10">
        <f t="shared" ca="1" si="157"/>
        <v>1</v>
      </c>
      <c r="N714" s="30">
        <f t="shared" ca="1" si="158"/>
        <v>0</v>
      </c>
      <c r="O714" s="10">
        <f t="shared" ca="1" si="159"/>
        <v>1830000</v>
      </c>
      <c r="P714" s="29">
        <f t="shared" ca="1" si="160"/>
        <v>12200</v>
      </c>
      <c r="Q714" s="12">
        <f t="shared" ca="1" si="161"/>
        <v>-359900</v>
      </c>
      <c r="R714" s="10">
        <f t="shared" ca="1" si="162"/>
        <v>0.66666666666666663</v>
      </c>
      <c r="S714" s="10">
        <f t="shared" ca="1" si="152"/>
        <v>-0.53318123202063283</v>
      </c>
      <c r="T714" s="14">
        <f t="shared" ca="1" si="153"/>
        <v>-0.16191163083308518</v>
      </c>
      <c r="U714" s="12">
        <f t="shared" ca="1" si="163"/>
        <v>7900</v>
      </c>
      <c r="V714" s="14">
        <f t="shared" ca="1" si="164"/>
        <v>-4655.6962025316452</v>
      </c>
      <c r="W714" s="12">
        <f t="shared" ca="1" si="154"/>
        <v>-1774.6835443037974</v>
      </c>
      <c r="X714" s="7">
        <f ca="1">AVERAGE(E714:OFFSET(F714,-$X$5+1,0))</f>
        <v>9142.5</v>
      </c>
      <c r="Y714" s="7">
        <f ca="1">AVERAGE(E714:OFFSET(F714,-$Y$5+1,0))</f>
        <v>9049.5</v>
      </c>
      <c r="Z714" s="7">
        <f t="shared" ca="1" si="156"/>
        <v>0</v>
      </c>
    </row>
    <row r="715" spans="1:26">
      <c r="A715" s="3" t="s">
        <v>58</v>
      </c>
      <c r="B715" s="4">
        <v>42703</v>
      </c>
      <c r="C715" s="3">
        <v>9222</v>
      </c>
      <c r="D715" s="3">
        <v>9238</v>
      </c>
      <c r="E715" s="3">
        <v>9196</v>
      </c>
      <c r="F715" s="3">
        <v>9203</v>
      </c>
      <c r="G715" s="3">
        <v>102746</v>
      </c>
      <c r="H715" s="3">
        <v>1.0449999999999999</v>
      </c>
      <c r="I715" s="2">
        <f t="shared" si="165"/>
        <v>0</v>
      </c>
      <c r="J715" s="10">
        <f t="shared" si="167"/>
        <v>-1</v>
      </c>
      <c r="K715" s="10">
        <f t="shared" si="166"/>
        <v>-19</v>
      </c>
      <c r="L715" s="10">
        <f t="shared" ca="1" si="155"/>
        <v>0</v>
      </c>
      <c r="M715" s="10">
        <f t="shared" ca="1" si="157"/>
        <v>1</v>
      </c>
      <c r="N715" s="30">
        <f t="shared" ca="1" si="158"/>
        <v>0</v>
      </c>
      <c r="O715" s="10">
        <f t="shared" ca="1" si="159"/>
        <v>1830000</v>
      </c>
      <c r="P715" s="29">
        <f t="shared" ca="1" si="160"/>
        <v>-4000</v>
      </c>
      <c r="Q715" s="12">
        <f t="shared" ca="1" si="161"/>
        <v>-363900</v>
      </c>
      <c r="R715" s="10">
        <f t="shared" ca="1" si="162"/>
        <v>-0.21857923497267759</v>
      </c>
      <c r="S715" s="10">
        <f t="shared" ca="1" si="152"/>
        <v>-0.56624673478160237</v>
      </c>
      <c r="T715" s="14">
        <f t="shared" ca="1" si="153"/>
        <v>-0.16501137238803557</v>
      </c>
      <c r="U715" s="12">
        <f t="shared" ca="1" si="163"/>
        <v>7900</v>
      </c>
      <c r="V715" s="14">
        <f t="shared" ca="1" si="164"/>
        <v>-4706.3291139240509</v>
      </c>
      <c r="W715" s="12">
        <f t="shared" ca="1" si="154"/>
        <v>-1774.6835443037974</v>
      </c>
      <c r="X715" s="7">
        <f ca="1">AVERAGE(E715:OFFSET(F715,-$X$5+1,0))</f>
        <v>9164.2999999999993</v>
      </c>
      <c r="Y715" s="7">
        <f ca="1">AVERAGE(E715:OFFSET(F715,-$Y$5+1,0))</f>
        <v>9077.75</v>
      </c>
      <c r="Z715" s="7">
        <f t="shared" ca="1" si="156"/>
        <v>0</v>
      </c>
    </row>
    <row r="716" spans="1:26">
      <c r="A716" s="3" t="s">
        <v>58</v>
      </c>
      <c r="B716" s="4">
        <v>42704</v>
      </c>
      <c r="C716" s="3">
        <v>9211</v>
      </c>
      <c r="D716" s="3">
        <v>9245</v>
      </c>
      <c r="E716" s="3">
        <v>9177</v>
      </c>
      <c r="F716" s="3">
        <v>9226</v>
      </c>
      <c r="G716" s="3">
        <v>121118</v>
      </c>
      <c r="H716" s="3">
        <v>1.0449999999999999</v>
      </c>
      <c r="I716" s="2">
        <f t="shared" si="165"/>
        <v>0</v>
      </c>
      <c r="J716" s="10">
        <f t="shared" si="167"/>
        <v>8</v>
      </c>
      <c r="K716" s="10">
        <f t="shared" si="166"/>
        <v>15</v>
      </c>
      <c r="L716" s="10">
        <f t="shared" ca="1" si="155"/>
        <v>0</v>
      </c>
      <c r="M716" s="10">
        <f t="shared" ca="1" si="157"/>
        <v>1</v>
      </c>
      <c r="N716" s="30">
        <f t="shared" ca="1" si="158"/>
        <v>0</v>
      </c>
      <c r="O716" s="10">
        <f t="shared" ca="1" si="159"/>
        <v>1830000</v>
      </c>
      <c r="P716" s="29">
        <f t="shared" ca="1" si="160"/>
        <v>4600</v>
      </c>
      <c r="Q716" s="12">
        <f t="shared" ca="1" si="161"/>
        <v>-359300</v>
      </c>
      <c r="R716" s="10">
        <f t="shared" ca="1" si="162"/>
        <v>0.25136612021857924</v>
      </c>
      <c r="S716" s="10">
        <f t="shared" ca="1" si="152"/>
        <v>-0.52822140660648742</v>
      </c>
      <c r="T716" s="14">
        <f t="shared" ca="1" si="153"/>
        <v>-0.16118921445240686</v>
      </c>
      <c r="U716" s="12">
        <f t="shared" ca="1" si="163"/>
        <v>7900</v>
      </c>
      <c r="V716" s="14">
        <f t="shared" ca="1" si="164"/>
        <v>-4648.1012658227846</v>
      </c>
      <c r="W716" s="12">
        <f t="shared" ca="1" si="154"/>
        <v>-1774.6835443037974</v>
      </c>
      <c r="X716" s="7">
        <f ca="1">AVERAGE(E716:OFFSET(F716,-$X$5+1,0))</f>
        <v>9172.9</v>
      </c>
      <c r="Y716" s="7">
        <f ca="1">AVERAGE(E716:OFFSET(F716,-$Y$5+1,0))</f>
        <v>9099.7999999999993</v>
      </c>
      <c r="Z716" s="7">
        <f t="shared" ca="1" si="156"/>
        <v>0</v>
      </c>
    </row>
    <row r="717" spans="1:26">
      <c r="A717" s="3" t="s">
        <v>58</v>
      </c>
      <c r="B717" s="4">
        <v>42705</v>
      </c>
      <c r="C717" s="3">
        <v>9229</v>
      </c>
      <c r="D717" s="3">
        <v>9279</v>
      </c>
      <c r="E717" s="3">
        <v>9218</v>
      </c>
      <c r="F717" s="3">
        <v>9261</v>
      </c>
      <c r="G717" s="3">
        <v>107733</v>
      </c>
      <c r="H717" s="3">
        <v>1.0449999999999999</v>
      </c>
      <c r="I717" s="2">
        <f t="shared" si="165"/>
        <v>0</v>
      </c>
      <c r="J717" s="10">
        <f t="shared" si="167"/>
        <v>3</v>
      </c>
      <c r="K717" s="10">
        <f t="shared" si="166"/>
        <v>32</v>
      </c>
      <c r="L717" s="10">
        <f t="shared" ca="1" si="155"/>
        <v>0</v>
      </c>
      <c r="M717" s="10">
        <f t="shared" ca="1" si="157"/>
        <v>1</v>
      </c>
      <c r="N717" s="30">
        <f t="shared" ca="1" si="158"/>
        <v>0</v>
      </c>
      <c r="O717" s="10">
        <f t="shared" ca="1" si="159"/>
        <v>1830000</v>
      </c>
      <c r="P717" s="29">
        <f t="shared" ca="1" si="160"/>
        <v>7000</v>
      </c>
      <c r="Q717" s="12">
        <f t="shared" ca="1" si="161"/>
        <v>-352300</v>
      </c>
      <c r="R717" s="10">
        <f t="shared" ca="1" si="162"/>
        <v>0.38251366120218577</v>
      </c>
      <c r="S717" s="10">
        <f t="shared" ca="1" si="152"/>
        <v>-0.34199200737780511</v>
      </c>
      <c r="T717" s="14">
        <f t="shared" ca="1" si="153"/>
        <v>-0.14295812290895366</v>
      </c>
      <c r="U717" s="12">
        <f t="shared" ca="1" si="163"/>
        <v>7900</v>
      </c>
      <c r="V717" s="14">
        <f t="shared" ca="1" si="164"/>
        <v>-4559.493670886076</v>
      </c>
      <c r="W717" s="12">
        <f t="shared" ca="1" si="154"/>
        <v>-1774.6835443037974</v>
      </c>
      <c r="X717" s="7">
        <f ca="1">AVERAGE(E717:OFFSET(F717,-$X$5+1,0))</f>
        <v>9194.9</v>
      </c>
      <c r="Y717" s="7">
        <f ca="1">AVERAGE(E717:OFFSET(F717,-$Y$5+1,0))</f>
        <v>9130.35</v>
      </c>
      <c r="Z717" s="7">
        <f t="shared" ca="1" si="156"/>
        <v>0</v>
      </c>
    </row>
    <row r="718" spans="1:26">
      <c r="A718" s="3" t="s">
        <v>58</v>
      </c>
      <c r="B718" s="4">
        <v>42706</v>
      </c>
      <c r="C718" s="3">
        <v>9199</v>
      </c>
      <c r="D718" s="3">
        <v>9200</v>
      </c>
      <c r="E718" s="3">
        <v>9148</v>
      </c>
      <c r="F718" s="3">
        <v>9165</v>
      </c>
      <c r="G718" s="3">
        <v>118876</v>
      </c>
      <c r="H718" s="3">
        <v>1.0449999999999999</v>
      </c>
      <c r="I718" s="2">
        <f t="shared" si="165"/>
        <v>0</v>
      </c>
      <c r="J718" s="10">
        <f t="shared" si="167"/>
        <v>-62</v>
      </c>
      <c r="K718" s="10">
        <f t="shared" si="166"/>
        <v>-34</v>
      </c>
      <c r="L718" s="10">
        <f t="shared" ca="1" si="155"/>
        <v>0</v>
      </c>
      <c r="M718" s="10">
        <f t="shared" ca="1" si="157"/>
        <v>1</v>
      </c>
      <c r="N718" s="30">
        <f t="shared" ca="1" si="158"/>
        <v>0</v>
      </c>
      <c r="O718" s="10">
        <f t="shared" ca="1" si="159"/>
        <v>1830000</v>
      </c>
      <c r="P718" s="29">
        <f t="shared" ca="1" si="160"/>
        <v>-19200</v>
      </c>
      <c r="Q718" s="12">
        <f t="shared" ca="1" si="161"/>
        <v>-371500</v>
      </c>
      <c r="R718" s="10">
        <f t="shared" ca="1" si="162"/>
        <v>-1.0491803278688525</v>
      </c>
      <c r="S718" s="10">
        <f t="shared" ca="1" si="152"/>
        <v>-0.3093298493698125</v>
      </c>
      <c r="T718" s="14">
        <f t="shared" ca="1" si="153"/>
        <v>-0.13911203329716185</v>
      </c>
      <c r="U718" s="12">
        <f t="shared" ca="1" si="163"/>
        <v>7900</v>
      </c>
      <c r="V718" s="14">
        <f t="shared" ca="1" si="164"/>
        <v>-4802.5316455696202</v>
      </c>
      <c r="W718" s="12">
        <f t="shared" ca="1" si="154"/>
        <v>-1774.6835443037974</v>
      </c>
      <c r="X718" s="7">
        <f ca="1">AVERAGE(E718:OFFSET(F718,-$X$5+1,0))</f>
        <v>9196.7000000000007</v>
      </c>
      <c r="Y718" s="7">
        <f ca="1">AVERAGE(E718:OFFSET(F718,-$Y$5+1,0))</f>
        <v>9150.35</v>
      </c>
      <c r="Z718" s="7">
        <f t="shared" ca="1" si="156"/>
        <v>0</v>
      </c>
    </row>
    <row r="719" spans="1:26">
      <c r="A719" s="3" t="s">
        <v>58</v>
      </c>
      <c r="B719" s="4">
        <v>42709</v>
      </c>
      <c r="C719" s="3">
        <v>9159</v>
      </c>
      <c r="D719" s="3">
        <v>9183</v>
      </c>
      <c r="E719" s="3">
        <v>9117</v>
      </c>
      <c r="F719" s="3">
        <v>9157</v>
      </c>
      <c r="G719" s="3">
        <v>107414</v>
      </c>
      <c r="H719" s="3">
        <v>1.0449999999999999</v>
      </c>
      <c r="I719" s="2">
        <f t="shared" si="165"/>
        <v>0</v>
      </c>
      <c r="J719" s="10">
        <f t="shared" si="167"/>
        <v>-6</v>
      </c>
      <c r="K719" s="10">
        <f t="shared" si="166"/>
        <v>-2</v>
      </c>
      <c r="L719" s="10">
        <f t="shared" ca="1" si="155"/>
        <v>0</v>
      </c>
      <c r="M719" s="10">
        <f t="shared" ca="1" si="157"/>
        <v>1</v>
      </c>
      <c r="N719" s="30">
        <f t="shared" ca="1" si="158"/>
        <v>0</v>
      </c>
      <c r="O719" s="10">
        <f t="shared" ca="1" si="159"/>
        <v>1830000</v>
      </c>
      <c r="P719" s="29">
        <f t="shared" ca="1" si="160"/>
        <v>-1600</v>
      </c>
      <c r="Q719" s="12">
        <f t="shared" ca="1" si="161"/>
        <v>-373100</v>
      </c>
      <c r="R719" s="10">
        <f t="shared" ca="1" si="162"/>
        <v>-8.7431693989071038E-2</v>
      </c>
      <c r="S719" s="10">
        <f t="shared" ca="1" si="152"/>
        <v>-0.24496618505994466</v>
      </c>
      <c r="T719" s="14">
        <f t="shared" ca="1" si="153"/>
        <v>-0.13282284582521825</v>
      </c>
      <c r="U719" s="12">
        <f t="shared" ca="1" si="163"/>
        <v>7900</v>
      </c>
      <c r="V719" s="14">
        <f t="shared" ca="1" si="164"/>
        <v>-4822.7848101265827</v>
      </c>
      <c r="W719" s="12">
        <f t="shared" ca="1" si="154"/>
        <v>-1774.6835443037974</v>
      </c>
      <c r="X719" s="7">
        <f ca="1">AVERAGE(E719:OFFSET(F719,-$X$5+1,0))</f>
        <v>9186.7999999999993</v>
      </c>
      <c r="Y719" s="7">
        <f ca="1">AVERAGE(E719:OFFSET(F719,-$Y$5+1,0))</f>
        <v>9164.65</v>
      </c>
      <c r="Z719" s="7">
        <f t="shared" ca="1" si="156"/>
        <v>0</v>
      </c>
    </row>
    <row r="720" spans="1:26">
      <c r="A720" s="3" t="s">
        <v>58</v>
      </c>
      <c r="B720" s="4">
        <v>42710</v>
      </c>
      <c r="C720" s="3">
        <v>9232</v>
      </c>
      <c r="D720" s="3">
        <v>9285</v>
      </c>
      <c r="E720" s="3">
        <v>9230</v>
      </c>
      <c r="F720" s="3">
        <v>9262</v>
      </c>
      <c r="G720" s="3">
        <v>100307</v>
      </c>
      <c r="H720" s="3">
        <v>1.0449999999999999</v>
      </c>
      <c r="I720" s="2">
        <f t="shared" si="165"/>
        <v>0</v>
      </c>
      <c r="J720" s="10">
        <f t="shared" si="167"/>
        <v>75</v>
      </c>
      <c r="K720" s="10">
        <f t="shared" si="166"/>
        <v>30</v>
      </c>
      <c r="L720" s="10">
        <f t="shared" ca="1" si="155"/>
        <v>0</v>
      </c>
      <c r="M720" s="10">
        <f t="shared" ca="1" si="157"/>
        <v>1</v>
      </c>
      <c r="N720" s="30">
        <f t="shared" ca="1" si="158"/>
        <v>0</v>
      </c>
      <c r="O720" s="10">
        <f t="shared" ca="1" si="159"/>
        <v>1830000</v>
      </c>
      <c r="P720" s="29">
        <f t="shared" ca="1" si="160"/>
        <v>21000</v>
      </c>
      <c r="Q720" s="12">
        <f t="shared" ca="1" si="161"/>
        <v>-352100</v>
      </c>
      <c r="R720" s="10">
        <f t="shared" ca="1" si="162"/>
        <v>1.1475409836065573</v>
      </c>
      <c r="S720" s="10">
        <f t="shared" ca="1" si="152"/>
        <v>-4.3229326775284356E-2</v>
      </c>
      <c r="T720" s="14">
        <f t="shared" ca="1" si="153"/>
        <v>-0.11264148037829602</v>
      </c>
      <c r="U720" s="12">
        <f t="shared" ca="1" si="163"/>
        <v>7900</v>
      </c>
      <c r="V720" s="14">
        <f t="shared" ca="1" si="164"/>
        <v>-4556.9620253164558</v>
      </c>
      <c r="W720" s="12">
        <f t="shared" ca="1" si="154"/>
        <v>-1774.6835443037974</v>
      </c>
      <c r="X720" s="7">
        <f ca="1">AVERAGE(E720:OFFSET(F720,-$X$5+1,0))</f>
        <v>9196.1</v>
      </c>
      <c r="Y720" s="7">
        <f ca="1">AVERAGE(E720:OFFSET(F720,-$Y$5+1,0))</f>
        <v>9180.2000000000007</v>
      </c>
      <c r="Z720" s="7">
        <f t="shared" ca="1" si="156"/>
        <v>0</v>
      </c>
    </row>
    <row r="721" spans="1:26">
      <c r="A721" s="3" t="s">
        <v>58</v>
      </c>
      <c r="B721" s="4">
        <v>42711</v>
      </c>
      <c r="C721" s="3">
        <v>9300</v>
      </c>
      <c r="D721" s="3">
        <v>9305</v>
      </c>
      <c r="E721" s="3">
        <v>9248</v>
      </c>
      <c r="F721" s="3">
        <v>9263</v>
      </c>
      <c r="G721" s="3">
        <v>92062</v>
      </c>
      <c r="H721" s="3">
        <v>1.0449999999999999</v>
      </c>
      <c r="I721" s="2">
        <f t="shared" si="165"/>
        <v>0</v>
      </c>
      <c r="J721" s="10">
        <f t="shared" si="167"/>
        <v>38</v>
      </c>
      <c r="K721" s="10">
        <f t="shared" si="166"/>
        <v>-37</v>
      </c>
      <c r="L721" s="10">
        <f t="shared" ca="1" si="155"/>
        <v>0</v>
      </c>
      <c r="M721" s="10">
        <f t="shared" ca="1" si="157"/>
        <v>1</v>
      </c>
      <c r="N721" s="30">
        <f t="shared" ca="1" si="158"/>
        <v>0</v>
      </c>
      <c r="O721" s="10">
        <f t="shared" ca="1" si="159"/>
        <v>1830000</v>
      </c>
      <c r="P721" s="29">
        <f t="shared" ca="1" si="160"/>
        <v>200</v>
      </c>
      <c r="Q721" s="12">
        <f t="shared" ca="1" si="161"/>
        <v>-351900</v>
      </c>
      <c r="R721" s="10">
        <f t="shared" ca="1" si="162"/>
        <v>1.092896174863388E-2</v>
      </c>
      <c r="S721" s="10">
        <f t="shared" ca="1" si="152"/>
        <v>-4.1308023363049493E-2</v>
      </c>
      <c r="T721" s="14">
        <f t="shared" ca="1" si="153"/>
        <v>-0.11252128511108213</v>
      </c>
      <c r="U721" s="12">
        <f t="shared" ca="1" si="163"/>
        <v>7900</v>
      </c>
      <c r="V721" s="14">
        <f t="shared" ca="1" si="164"/>
        <v>-4554.4303797468356</v>
      </c>
      <c r="W721" s="12">
        <f t="shared" ca="1" si="154"/>
        <v>-1774.6835443037974</v>
      </c>
      <c r="X721" s="7">
        <f ca="1">AVERAGE(E721:OFFSET(F721,-$X$5+1,0))</f>
        <v>9206.9</v>
      </c>
      <c r="Y721" s="7">
        <f ca="1">AVERAGE(E721:OFFSET(F721,-$Y$5+1,0))</f>
        <v>9189.9</v>
      </c>
      <c r="Z721" s="7">
        <f t="shared" ca="1" si="156"/>
        <v>0</v>
      </c>
    </row>
    <row r="722" spans="1:26">
      <c r="A722" s="3" t="s">
        <v>58</v>
      </c>
      <c r="B722" s="4">
        <v>42712</v>
      </c>
      <c r="C722" s="3">
        <v>9360</v>
      </c>
      <c r="D722" s="3">
        <v>9370</v>
      </c>
      <c r="E722" s="3">
        <v>9315</v>
      </c>
      <c r="F722" s="3">
        <v>9367</v>
      </c>
      <c r="G722" s="3">
        <v>107870</v>
      </c>
      <c r="H722" s="3">
        <v>1.0449999999999999</v>
      </c>
      <c r="I722" s="2">
        <f t="shared" si="165"/>
        <v>0</v>
      </c>
      <c r="J722" s="10">
        <f t="shared" si="167"/>
        <v>97</v>
      </c>
      <c r="K722" s="10">
        <f t="shared" si="166"/>
        <v>7</v>
      </c>
      <c r="L722" s="10">
        <f t="shared" ca="1" si="155"/>
        <v>0</v>
      </c>
      <c r="M722" s="10">
        <f t="shared" ca="1" si="157"/>
        <v>1</v>
      </c>
      <c r="N722" s="30">
        <f t="shared" ca="1" si="158"/>
        <v>0</v>
      </c>
      <c r="O722" s="10">
        <f t="shared" ca="1" si="159"/>
        <v>1830000</v>
      </c>
      <c r="P722" s="29">
        <f t="shared" ca="1" si="160"/>
        <v>20800</v>
      </c>
      <c r="Q722" s="12">
        <f t="shared" ca="1" si="161"/>
        <v>-331100</v>
      </c>
      <c r="R722" s="10">
        <f t="shared" ca="1" si="162"/>
        <v>1.1366120218579234</v>
      </c>
      <c r="S722" s="10">
        <f t="shared" ca="1" si="152"/>
        <v>0.15850753150937597</v>
      </c>
      <c r="T722" s="14">
        <f t="shared" ca="1" si="153"/>
        <v>-9.3721446739239392E-2</v>
      </c>
      <c r="U722" s="12">
        <f t="shared" ca="1" si="163"/>
        <v>7900</v>
      </c>
      <c r="V722" s="14">
        <f t="shared" ca="1" si="164"/>
        <v>-4291.1392405063289</v>
      </c>
      <c r="W722" s="12">
        <f t="shared" ca="1" si="154"/>
        <v>-1774.6835443037974</v>
      </c>
      <c r="X722" s="7">
        <f ca="1">AVERAGE(E722:OFFSET(F722,-$X$5+1,0))</f>
        <v>9227.2000000000007</v>
      </c>
      <c r="Y722" s="7">
        <f ca="1">AVERAGE(E722:OFFSET(F722,-$Y$5+1,0))</f>
        <v>9211.0499999999993</v>
      </c>
      <c r="Z722" s="7">
        <f t="shared" ca="1" si="156"/>
        <v>0</v>
      </c>
    </row>
    <row r="723" spans="1:26">
      <c r="A723" s="3" t="s">
        <v>58</v>
      </c>
      <c r="B723" s="4">
        <v>42713</v>
      </c>
      <c r="C723" s="3">
        <v>9377</v>
      </c>
      <c r="D723" s="3">
        <v>9399</v>
      </c>
      <c r="E723" s="3">
        <v>9365</v>
      </c>
      <c r="F723" s="3">
        <v>9390</v>
      </c>
      <c r="G723" s="3">
        <v>73814</v>
      </c>
      <c r="H723" s="3">
        <v>1.0449999999999999</v>
      </c>
      <c r="I723" s="2">
        <f t="shared" si="165"/>
        <v>0</v>
      </c>
      <c r="J723" s="10">
        <f t="shared" si="167"/>
        <v>10</v>
      </c>
      <c r="K723" s="10">
        <f t="shared" si="166"/>
        <v>13</v>
      </c>
      <c r="L723" s="10">
        <f t="shared" ca="1" si="155"/>
        <v>0</v>
      </c>
      <c r="M723" s="10">
        <f t="shared" ca="1" si="157"/>
        <v>1</v>
      </c>
      <c r="N723" s="30">
        <f t="shared" ca="1" si="158"/>
        <v>0</v>
      </c>
      <c r="O723" s="10">
        <f t="shared" ca="1" si="159"/>
        <v>1830000</v>
      </c>
      <c r="P723" s="29">
        <f t="shared" ca="1" si="160"/>
        <v>4600</v>
      </c>
      <c r="Q723" s="12">
        <f t="shared" ca="1" si="161"/>
        <v>-326500</v>
      </c>
      <c r="R723" s="10">
        <f t="shared" ca="1" si="162"/>
        <v>0.25136612021857924</v>
      </c>
      <c r="S723" s="10">
        <f t="shared" ca="1" si="152"/>
        <v>0.20269750999077774</v>
      </c>
      <c r="T723" s="14">
        <f t="shared" ca="1" si="153"/>
        <v>-9.0680003340546794E-2</v>
      </c>
      <c r="U723" s="12">
        <f t="shared" ca="1" si="163"/>
        <v>7900</v>
      </c>
      <c r="V723" s="14">
        <f t="shared" ca="1" si="164"/>
        <v>-4232.9113924050635</v>
      </c>
      <c r="W723" s="12">
        <f t="shared" ca="1" si="154"/>
        <v>-1774.6835443037974</v>
      </c>
      <c r="X723" s="7">
        <f ca="1">AVERAGE(E723:OFFSET(F723,-$X$5+1,0))</f>
        <v>9271.4</v>
      </c>
      <c r="Y723" s="7">
        <f ca="1">AVERAGE(E723:OFFSET(F723,-$Y$5+1,0))</f>
        <v>9234.0499999999993</v>
      </c>
      <c r="Z723" s="7">
        <f t="shared" ca="1" si="156"/>
        <v>0</v>
      </c>
    </row>
    <row r="724" spans="1:26">
      <c r="A724" s="3" t="s">
        <v>58</v>
      </c>
      <c r="B724" s="4">
        <v>42716</v>
      </c>
      <c r="C724" s="3">
        <v>9420</v>
      </c>
      <c r="D724" s="3">
        <v>9440</v>
      </c>
      <c r="E724" s="3">
        <v>9350</v>
      </c>
      <c r="F724" s="3">
        <v>9355</v>
      </c>
      <c r="G724" s="3">
        <v>123782</v>
      </c>
      <c r="H724" s="3">
        <v>1.0449999999999999</v>
      </c>
      <c r="I724" s="2">
        <f t="shared" si="165"/>
        <v>0</v>
      </c>
      <c r="J724" s="10">
        <f t="shared" si="167"/>
        <v>30</v>
      </c>
      <c r="K724" s="10">
        <f t="shared" si="166"/>
        <v>-65</v>
      </c>
      <c r="L724" s="10">
        <f t="shared" ca="1" si="155"/>
        <v>0</v>
      </c>
      <c r="M724" s="10">
        <f t="shared" ca="1" si="157"/>
        <v>1</v>
      </c>
      <c r="N724" s="30">
        <f t="shared" ca="1" si="158"/>
        <v>0</v>
      </c>
      <c r="O724" s="10">
        <f t="shared" ca="1" si="159"/>
        <v>1830000</v>
      </c>
      <c r="P724" s="29">
        <f t="shared" ca="1" si="160"/>
        <v>-7000</v>
      </c>
      <c r="Q724" s="12">
        <f t="shared" ca="1" si="161"/>
        <v>-333500</v>
      </c>
      <c r="R724" s="10">
        <f t="shared" ca="1" si="162"/>
        <v>-0.38251366120218577</v>
      </c>
      <c r="S724" s="10">
        <f t="shared" ca="1" si="152"/>
        <v>0.13545189056255763</v>
      </c>
      <c r="T724" s="14">
        <f t="shared" ca="1" si="153"/>
        <v>-9.7130510083878255E-2</v>
      </c>
      <c r="U724" s="12">
        <f t="shared" ca="1" si="163"/>
        <v>7900</v>
      </c>
      <c r="V724" s="14">
        <f t="shared" ca="1" si="164"/>
        <v>-4321.5189873417721</v>
      </c>
      <c r="W724" s="12">
        <f t="shared" ca="1" si="154"/>
        <v>-1774.6835443037974</v>
      </c>
      <c r="X724" s="7">
        <f ca="1">AVERAGE(E724:OFFSET(F724,-$X$5+1,0))</f>
        <v>9314.5</v>
      </c>
      <c r="Y724" s="7">
        <f ca="1">AVERAGE(E724:OFFSET(F724,-$Y$5+1,0))</f>
        <v>9250.65</v>
      </c>
      <c r="Z724" s="7">
        <f t="shared" ca="1" si="156"/>
        <v>0</v>
      </c>
    </row>
    <row r="725" spans="1:26">
      <c r="A725" s="3" t="s">
        <v>58</v>
      </c>
      <c r="B725" s="4">
        <v>42717</v>
      </c>
      <c r="C725" s="3">
        <v>9340</v>
      </c>
      <c r="D725" s="3">
        <v>9381</v>
      </c>
      <c r="E725" s="3">
        <v>9338</v>
      </c>
      <c r="F725" s="3">
        <v>9378</v>
      </c>
      <c r="G725" s="3">
        <v>69542</v>
      </c>
      <c r="H725" s="3">
        <v>1.0449999999999999</v>
      </c>
      <c r="I725" s="2">
        <f t="shared" si="165"/>
        <v>0</v>
      </c>
      <c r="J725" s="10">
        <f t="shared" si="167"/>
        <v>-15</v>
      </c>
      <c r="K725" s="10">
        <f t="shared" si="166"/>
        <v>38</v>
      </c>
      <c r="L725" s="10">
        <f t="shared" ca="1" si="155"/>
        <v>0</v>
      </c>
      <c r="M725" s="10">
        <f t="shared" ca="1" si="157"/>
        <v>1</v>
      </c>
      <c r="N725" s="30">
        <f t="shared" ca="1" si="158"/>
        <v>0</v>
      </c>
      <c r="O725" s="10">
        <f t="shared" ca="1" si="159"/>
        <v>1830000</v>
      </c>
      <c r="P725" s="29">
        <f t="shared" ca="1" si="160"/>
        <v>4600</v>
      </c>
      <c r="Q725" s="12">
        <f t="shared" ca="1" si="161"/>
        <v>-328900</v>
      </c>
      <c r="R725" s="10">
        <f t="shared" ca="1" si="162"/>
        <v>0.25136612021857924</v>
      </c>
      <c r="S725" s="10">
        <f t="shared" ca="1" si="152"/>
        <v>0.17964186904395943</v>
      </c>
      <c r="T725" s="14">
        <f t="shared" ca="1" si="153"/>
        <v>-9.2715263374968937E-2</v>
      </c>
      <c r="U725" s="12">
        <f t="shared" ca="1" si="163"/>
        <v>7900</v>
      </c>
      <c r="V725" s="14">
        <f t="shared" ca="1" si="164"/>
        <v>-4263.2911392405067</v>
      </c>
      <c r="W725" s="12">
        <f t="shared" ca="1" si="154"/>
        <v>-1774.6835443037974</v>
      </c>
      <c r="X725" s="7">
        <f ca="1">AVERAGE(E725:OFFSET(F725,-$X$5+1,0))</f>
        <v>9336.9</v>
      </c>
      <c r="Y725" s="7">
        <f ca="1">AVERAGE(E725:OFFSET(F725,-$Y$5+1,0))</f>
        <v>9266.5</v>
      </c>
      <c r="Z725" s="7">
        <f t="shared" ca="1" si="156"/>
        <v>0</v>
      </c>
    </row>
    <row r="726" spans="1:26">
      <c r="A726" s="3" t="s">
        <v>58</v>
      </c>
      <c r="B726" s="4">
        <v>42718</v>
      </c>
      <c r="C726" s="3">
        <v>9409</v>
      </c>
      <c r="D726" s="3">
        <v>9413</v>
      </c>
      <c r="E726" s="3">
        <v>9353</v>
      </c>
      <c r="F726" s="3">
        <v>9370</v>
      </c>
      <c r="G726" s="3">
        <v>85638</v>
      </c>
      <c r="H726" s="3">
        <v>1.0449999999999999</v>
      </c>
      <c r="I726" s="2">
        <f t="shared" si="165"/>
        <v>0</v>
      </c>
      <c r="J726" s="10">
        <f t="shared" si="167"/>
        <v>31</v>
      </c>
      <c r="K726" s="10">
        <f t="shared" si="166"/>
        <v>-39</v>
      </c>
      <c r="L726" s="10">
        <f t="shared" ca="1" si="155"/>
        <v>0</v>
      </c>
      <c r="M726" s="10">
        <f t="shared" ca="1" si="157"/>
        <v>1</v>
      </c>
      <c r="N726" s="30">
        <f t="shared" ca="1" si="158"/>
        <v>0</v>
      </c>
      <c r="O726" s="10">
        <f t="shared" ca="1" si="159"/>
        <v>1830000</v>
      </c>
      <c r="P726" s="29">
        <f t="shared" ca="1" si="160"/>
        <v>-1600</v>
      </c>
      <c r="Q726" s="12">
        <f t="shared" ca="1" si="161"/>
        <v>-330500</v>
      </c>
      <c r="R726" s="10">
        <f t="shared" ca="1" si="162"/>
        <v>-8.7431693989071038E-2</v>
      </c>
      <c r="S726" s="10">
        <f t="shared" ca="1" si="152"/>
        <v>0.16427144174608055</v>
      </c>
      <c r="T726" s="14">
        <f t="shared" ca="1" si="153"/>
        <v>-9.4133208824265305E-2</v>
      </c>
      <c r="U726" s="12">
        <f t="shared" ca="1" si="163"/>
        <v>7900</v>
      </c>
      <c r="V726" s="14">
        <f t="shared" ca="1" si="164"/>
        <v>-4283.5443037974683</v>
      </c>
      <c r="W726" s="12">
        <f t="shared" ca="1" si="154"/>
        <v>-1774.6835443037974</v>
      </c>
      <c r="X726" s="7">
        <f ca="1">AVERAGE(E726:OFFSET(F726,-$X$5+1,0))</f>
        <v>9358.1</v>
      </c>
      <c r="Y726" s="7">
        <f ca="1">AVERAGE(E726:OFFSET(F726,-$Y$5+1,0))</f>
        <v>9282.5</v>
      </c>
      <c r="Z726" s="7">
        <f t="shared" ca="1" si="156"/>
        <v>0</v>
      </c>
    </row>
    <row r="727" spans="1:26">
      <c r="A727" s="3" t="s">
        <v>58</v>
      </c>
      <c r="B727" s="4">
        <v>42719</v>
      </c>
      <c r="C727" s="3">
        <v>9330</v>
      </c>
      <c r="D727" s="3">
        <v>9374</v>
      </c>
      <c r="E727" s="3">
        <v>9305</v>
      </c>
      <c r="F727" s="3">
        <v>9368</v>
      </c>
      <c r="G727" s="3">
        <v>126853</v>
      </c>
      <c r="H727" s="3">
        <v>1.0449999999999999</v>
      </c>
      <c r="I727" s="2">
        <f t="shared" si="165"/>
        <v>0</v>
      </c>
      <c r="J727" s="10">
        <f t="shared" si="167"/>
        <v>-40</v>
      </c>
      <c r="K727" s="10">
        <f t="shared" si="166"/>
        <v>38</v>
      </c>
      <c r="L727" s="10">
        <f t="shared" ca="1" si="155"/>
        <v>0</v>
      </c>
      <c r="M727" s="10">
        <f t="shared" ca="1" si="157"/>
        <v>1</v>
      </c>
      <c r="N727" s="30">
        <f t="shared" ca="1" si="158"/>
        <v>0</v>
      </c>
      <c r="O727" s="10">
        <f t="shared" ca="1" si="159"/>
        <v>1830000</v>
      </c>
      <c r="P727" s="29">
        <f t="shared" ca="1" si="160"/>
        <v>-400</v>
      </c>
      <c r="Q727" s="12">
        <f t="shared" ca="1" si="161"/>
        <v>-330900</v>
      </c>
      <c r="R727" s="10">
        <f t="shared" ca="1" si="162"/>
        <v>-2.185792349726776E-2</v>
      </c>
      <c r="S727" s="10">
        <f t="shared" ca="1" si="152"/>
        <v>0.15071590052750566</v>
      </c>
      <c r="T727" s="14">
        <f t="shared" ca="1" si="153"/>
        <v>-9.5375879465784158E-2</v>
      </c>
      <c r="U727" s="12">
        <f t="shared" ca="1" si="163"/>
        <v>7900</v>
      </c>
      <c r="V727" s="14">
        <f t="shared" ca="1" si="164"/>
        <v>-4288.6075949367087</v>
      </c>
      <c r="W727" s="12">
        <f t="shared" ca="1" si="154"/>
        <v>-1774.6835443037974</v>
      </c>
      <c r="X727" s="7">
        <f ca="1">AVERAGE(E727:OFFSET(F727,-$X$5+1,0))</f>
        <v>9357.2000000000007</v>
      </c>
      <c r="Y727" s="7">
        <f ca="1">AVERAGE(E727:OFFSET(F727,-$Y$5+1,0))</f>
        <v>9292.2000000000007</v>
      </c>
      <c r="Z727" s="7">
        <f t="shared" ca="1" si="156"/>
        <v>0</v>
      </c>
    </row>
    <row r="728" spans="1:26">
      <c r="A728" s="3" t="s">
        <v>58</v>
      </c>
      <c r="B728" s="4">
        <v>42720</v>
      </c>
      <c r="C728" s="3">
        <v>9367</v>
      </c>
      <c r="D728" s="3">
        <v>9370</v>
      </c>
      <c r="E728" s="3">
        <v>9309</v>
      </c>
      <c r="F728" s="3">
        <v>9312</v>
      </c>
      <c r="G728" s="3">
        <v>104771</v>
      </c>
      <c r="H728" s="3">
        <v>1.0449999999999999</v>
      </c>
      <c r="I728" s="2">
        <f t="shared" si="165"/>
        <v>0</v>
      </c>
      <c r="J728" s="10">
        <f t="shared" si="167"/>
        <v>-1</v>
      </c>
      <c r="K728" s="10">
        <f t="shared" si="166"/>
        <v>-55</v>
      </c>
      <c r="L728" s="10">
        <f t="shared" ca="1" si="155"/>
        <v>0</v>
      </c>
      <c r="M728" s="10">
        <f t="shared" ca="1" si="157"/>
        <v>1</v>
      </c>
      <c r="N728" s="30">
        <f t="shared" ca="1" si="158"/>
        <v>0</v>
      </c>
      <c r="O728" s="10">
        <f t="shared" ca="1" si="159"/>
        <v>1830000</v>
      </c>
      <c r="P728" s="29">
        <f t="shared" ca="1" si="160"/>
        <v>-11200</v>
      </c>
      <c r="Q728" s="12">
        <f t="shared" ca="1" si="161"/>
        <v>-342100</v>
      </c>
      <c r="R728" s="10">
        <f t="shared" ca="1" si="162"/>
        <v>-0.61202185792349728</v>
      </c>
      <c r="S728" s="10">
        <f t="shared" ca="1" si="152"/>
        <v>-6.8507227512502565E-3</v>
      </c>
      <c r="T728" s="14">
        <f t="shared" ca="1" si="153"/>
        <v>-0.11053624793137941</v>
      </c>
      <c r="U728" s="12">
        <f t="shared" ca="1" si="163"/>
        <v>7900</v>
      </c>
      <c r="V728" s="14">
        <f t="shared" ca="1" si="164"/>
        <v>-4430.3797468354433</v>
      </c>
      <c r="W728" s="12">
        <f t="shared" ca="1" si="154"/>
        <v>-1774.6835443037974</v>
      </c>
      <c r="X728" s="7">
        <f ca="1">AVERAGE(E728:OFFSET(F728,-$X$5+1,0))</f>
        <v>9343.7999999999993</v>
      </c>
      <c r="Y728" s="7">
        <f ca="1">AVERAGE(E728:OFFSET(F728,-$Y$5+1,0))</f>
        <v>9307.6</v>
      </c>
      <c r="Z728" s="7">
        <f t="shared" ca="1" si="156"/>
        <v>0</v>
      </c>
    </row>
    <row r="729" spans="1:26">
      <c r="A729" s="3" t="s">
        <v>58</v>
      </c>
      <c r="B729" s="4">
        <v>42723</v>
      </c>
      <c r="C729" s="3">
        <v>9290</v>
      </c>
      <c r="D729" s="3">
        <v>9317</v>
      </c>
      <c r="E729" s="3">
        <v>9242</v>
      </c>
      <c r="F729" s="3">
        <v>9246</v>
      </c>
      <c r="G729" s="3">
        <v>127172</v>
      </c>
      <c r="H729" s="3">
        <v>1.0449999999999999</v>
      </c>
      <c r="I729" s="2">
        <f t="shared" si="165"/>
        <v>0</v>
      </c>
      <c r="J729" s="10">
        <f t="shared" si="167"/>
        <v>-22</v>
      </c>
      <c r="K729" s="10">
        <f t="shared" si="166"/>
        <v>-44</v>
      </c>
      <c r="L729" s="10">
        <f t="shared" ca="1" si="155"/>
        <v>0</v>
      </c>
      <c r="M729" s="10">
        <f t="shared" ca="1" si="157"/>
        <v>1</v>
      </c>
      <c r="N729" s="30">
        <f t="shared" ca="1" si="158"/>
        <v>0</v>
      </c>
      <c r="O729" s="10">
        <f t="shared" ca="1" si="159"/>
        <v>1830000</v>
      </c>
      <c r="P729" s="29">
        <f t="shared" ca="1" si="160"/>
        <v>-13200</v>
      </c>
      <c r="Q729" s="12">
        <f t="shared" ca="1" si="161"/>
        <v>-355300</v>
      </c>
      <c r="R729" s="10">
        <f t="shared" ca="1" si="162"/>
        <v>-0.72131147540983609</v>
      </c>
      <c r="S729" s="10">
        <f t="shared" ca="1" si="152"/>
        <v>-0.21922312804000821</v>
      </c>
      <c r="T729" s="14">
        <f t="shared" ca="1" si="153"/>
        <v>-0.13118489947206621</v>
      </c>
      <c r="U729" s="12">
        <f t="shared" ca="1" si="163"/>
        <v>7900</v>
      </c>
      <c r="V729" s="14">
        <f t="shared" ca="1" si="164"/>
        <v>-4597.4683544303798</v>
      </c>
      <c r="W729" s="12">
        <f t="shared" ca="1" si="154"/>
        <v>-1774.6835443037974</v>
      </c>
      <c r="X729" s="7">
        <f ca="1">AVERAGE(E729:OFFSET(F729,-$X$5+1,0))</f>
        <v>9322.1</v>
      </c>
      <c r="Y729" s="7">
        <f ca="1">AVERAGE(E729:OFFSET(F729,-$Y$5+1,0))</f>
        <v>9318.2999999999993</v>
      </c>
      <c r="Z729" s="7">
        <f t="shared" ca="1" si="156"/>
        <v>0</v>
      </c>
    </row>
    <row r="730" spans="1:26">
      <c r="A730" s="3" t="s">
        <v>58</v>
      </c>
      <c r="B730" s="4">
        <v>42724</v>
      </c>
      <c r="C730" s="3">
        <v>9261</v>
      </c>
      <c r="D730" s="3">
        <v>9266</v>
      </c>
      <c r="E730" s="3">
        <v>9209</v>
      </c>
      <c r="F730" s="3">
        <v>9260</v>
      </c>
      <c r="G730" s="3">
        <v>116914</v>
      </c>
      <c r="H730" s="3">
        <v>1.0449999999999999</v>
      </c>
      <c r="I730" s="2">
        <f t="shared" si="165"/>
        <v>0</v>
      </c>
      <c r="J730" s="10">
        <f t="shared" si="167"/>
        <v>15</v>
      </c>
      <c r="K730" s="10">
        <f t="shared" si="166"/>
        <v>-1</v>
      </c>
      <c r="L730" s="10">
        <f t="shared" ca="1" si="155"/>
        <v>-1</v>
      </c>
      <c r="M730" s="10">
        <f t="shared" ca="1" si="157"/>
        <v>1</v>
      </c>
      <c r="N730" s="30">
        <f t="shared" ca="1" si="158"/>
        <v>0</v>
      </c>
      <c r="O730" s="10">
        <f t="shared" ca="1" si="159"/>
        <v>1830000</v>
      </c>
      <c r="P730" s="29">
        <f t="shared" ca="1" si="160"/>
        <v>2800</v>
      </c>
      <c r="Q730" s="12">
        <f t="shared" ca="1" si="161"/>
        <v>-352500</v>
      </c>
      <c r="R730" s="10">
        <f t="shared" ca="1" si="162"/>
        <v>0.15300546448087432</v>
      </c>
      <c r="S730" s="10">
        <f t="shared" ca="1" si="152"/>
        <v>-0.32198396930876205</v>
      </c>
      <c r="T730" s="14">
        <f t="shared" ca="1" si="153"/>
        <v>-0.14209129126405848</v>
      </c>
      <c r="U730" s="12">
        <f t="shared" ca="1" si="163"/>
        <v>7900</v>
      </c>
      <c r="V730" s="14">
        <f t="shared" ca="1" si="164"/>
        <v>-4562.0253164556962</v>
      </c>
      <c r="W730" s="12">
        <f t="shared" ca="1" si="154"/>
        <v>-1774.6835443037974</v>
      </c>
      <c r="X730" s="7">
        <f ca="1">AVERAGE(E730:OFFSET(F730,-$X$5+1,0))</f>
        <v>9297.4</v>
      </c>
      <c r="Y730" s="7">
        <f ca="1">AVERAGE(E730:OFFSET(F730,-$Y$5+1,0))</f>
        <v>9317.15</v>
      </c>
      <c r="Z730" s="7">
        <f t="shared" ca="1" si="156"/>
        <v>-1</v>
      </c>
    </row>
    <row r="731" spans="1:26">
      <c r="A731" s="3" t="s">
        <v>58</v>
      </c>
      <c r="B731" s="4">
        <v>42725</v>
      </c>
      <c r="C731" s="3">
        <v>9261</v>
      </c>
      <c r="D731" s="3">
        <v>9269</v>
      </c>
      <c r="E731" s="3">
        <v>9225</v>
      </c>
      <c r="F731" s="3">
        <v>9232</v>
      </c>
      <c r="G731" s="3">
        <v>61153</v>
      </c>
      <c r="H731" s="3">
        <v>1.0449999999999999</v>
      </c>
      <c r="I731" s="2">
        <f t="shared" si="165"/>
        <v>1</v>
      </c>
      <c r="J731" s="10">
        <f t="shared" si="167"/>
        <v>1</v>
      </c>
      <c r="K731" s="10">
        <f t="shared" si="166"/>
        <v>-29</v>
      </c>
      <c r="L731" s="10">
        <f t="shared" ca="1" si="155"/>
        <v>0</v>
      </c>
      <c r="M731" s="10">
        <f t="shared" si="157"/>
        <v>0</v>
      </c>
      <c r="N731" s="30">
        <f t="shared" si="158"/>
        <v>0</v>
      </c>
      <c r="O731" s="10">
        <f t="shared" si="159"/>
        <v>0</v>
      </c>
      <c r="P731" s="29">
        <f t="shared" ca="1" si="160"/>
        <v>-300</v>
      </c>
      <c r="Q731" s="12">
        <f t="shared" ca="1" si="161"/>
        <v>-352800</v>
      </c>
      <c r="R731" s="10">
        <f t="shared" ca="1" si="162"/>
        <v>-1.6393442622950821E-2</v>
      </c>
      <c r="S731" s="10">
        <f t="shared" ca="1" si="152"/>
        <v>-0.27973784567605214</v>
      </c>
      <c r="T731" s="14">
        <f t="shared" ca="1" si="153"/>
        <v>-0.13824041167145182</v>
      </c>
      <c r="U731" s="12">
        <f t="shared" ca="1" si="163"/>
        <v>7900</v>
      </c>
      <c r="V731" s="14">
        <f t="shared" ca="1" si="164"/>
        <v>-4565.8227848101269</v>
      </c>
      <c r="W731" s="12">
        <f t="shared" ca="1" si="154"/>
        <v>-1774.6835443037974</v>
      </c>
      <c r="X731" s="7">
        <f ca="1">AVERAGE(E731:OFFSET(F731,-$X$5+1,0))</f>
        <v>9270.7999999999993</v>
      </c>
      <c r="Y731" s="7">
        <f ca="1">AVERAGE(E731:OFFSET(F731,-$Y$5+1,0))</f>
        <v>9314.4500000000007</v>
      </c>
      <c r="Z731" s="7">
        <f t="shared" ca="1" si="156"/>
        <v>0</v>
      </c>
    </row>
    <row r="732" spans="1:26">
      <c r="A732" s="3" t="s">
        <v>59</v>
      </c>
      <c r="B732" s="4">
        <v>42726</v>
      </c>
      <c r="C732" s="3">
        <v>9211</v>
      </c>
      <c r="D732" s="3">
        <v>9222</v>
      </c>
      <c r="E732" s="3">
        <v>9123</v>
      </c>
      <c r="F732" s="3">
        <v>9130</v>
      </c>
      <c r="G732" s="3">
        <v>116265</v>
      </c>
      <c r="H732" s="3">
        <v>1.0449999999999999</v>
      </c>
      <c r="I732" s="2">
        <f t="shared" si="165"/>
        <v>0</v>
      </c>
      <c r="J732" s="10">
        <f t="shared" si="167"/>
        <v>-21</v>
      </c>
      <c r="K732" s="10">
        <f t="shared" si="166"/>
        <v>-81</v>
      </c>
      <c r="L732" s="10">
        <f t="shared" ca="1" si="155"/>
        <v>0</v>
      </c>
      <c r="M732" s="10">
        <f t="shared" ca="1" si="157"/>
        <v>0</v>
      </c>
      <c r="N732" s="30">
        <f t="shared" ca="1" si="158"/>
        <v>0</v>
      </c>
      <c r="O732" s="10">
        <f t="shared" ca="1" si="159"/>
        <v>0</v>
      </c>
      <c r="P732" s="29">
        <f t="shared" ca="1" si="160"/>
        <v>0</v>
      </c>
      <c r="Q732" s="12">
        <f t="shared" ca="1" si="161"/>
        <v>-352800</v>
      </c>
      <c r="R732" s="10">
        <f t="shared" ca="1" si="162"/>
        <v>0</v>
      </c>
      <c r="S732" s="10">
        <f t="shared" ca="1" si="152"/>
        <v>-0.12217122239729625</v>
      </c>
      <c r="T732" s="14">
        <f t="shared" ca="1" si="153"/>
        <v>-0.12431606852681264</v>
      </c>
      <c r="U732" s="12">
        <f t="shared" ca="1" si="163"/>
        <v>7900</v>
      </c>
      <c r="V732" s="14">
        <f t="shared" ca="1" si="164"/>
        <v>-4565.8227848101269</v>
      </c>
      <c r="W732" s="12">
        <f t="shared" ca="1" si="154"/>
        <v>-1774.6835443037974</v>
      </c>
      <c r="X732" s="7">
        <f ca="1">AVERAGE(E732:OFFSET(F732,-$X$5+1,0))</f>
        <v>9228.7999999999993</v>
      </c>
      <c r="Y732" s="7">
        <f ca="1">AVERAGE(E732:OFFSET(F732,-$Y$5+1,0))</f>
        <v>9293</v>
      </c>
      <c r="Z732" s="7">
        <f t="shared" ca="1" si="156"/>
        <v>0</v>
      </c>
    </row>
    <row r="733" spans="1:26">
      <c r="A733" s="3" t="s">
        <v>59</v>
      </c>
      <c r="B733" s="4">
        <v>42727</v>
      </c>
      <c r="C733" s="3">
        <v>9115</v>
      </c>
      <c r="D733" s="3">
        <v>9147</v>
      </c>
      <c r="E733" s="3">
        <v>9088</v>
      </c>
      <c r="F733" s="3">
        <v>9090</v>
      </c>
      <c r="G733" s="3">
        <v>108536</v>
      </c>
      <c r="H733" s="3">
        <v>1.0449999999999999</v>
      </c>
      <c r="I733" s="2">
        <f t="shared" si="165"/>
        <v>0</v>
      </c>
      <c r="J733" s="10">
        <f t="shared" si="167"/>
        <v>-15</v>
      </c>
      <c r="K733" s="10">
        <f t="shared" si="166"/>
        <v>-25</v>
      </c>
      <c r="L733" s="10">
        <f t="shared" ca="1" si="155"/>
        <v>0</v>
      </c>
      <c r="M733" s="10">
        <f t="shared" ca="1" si="157"/>
        <v>0</v>
      </c>
      <c r="N733" s="30">
        <f t="shared" ca="1" si="158"/>
        <v>0</v>
      </c>
      <c r="O733" s="10">
        <f t="shared" ca="1" si="159"/>
        <v>0</v>
      </c>
      <c r="P733" s="29">
        <f t="shared" ca="1" si="160"/>
        <v>0</v>
      </c>
      <c r="Q733" s="12">
        <f t="shared" ca="1" si="161"/>
        <v>-352800</v>
      </c>
      <c r="R733" s="10">
        <f t="shared" ca="1" si="162"/>
        <v>0</v>
      </c>
      <c r="S733" s="10">
        <f t="shared" ca="1" si="152"/>
        <v>-6.0514717636043935E-2</v>
      </c>
      <c r="T733" s="14">
        <f t="shared" ca="1" si="153"/>
        <v>-0.11806772735224692</v>
      </c>
      <c r="U733" s="12">
        <f t="shared" ca="1" si="163"/>
        <v>7900</v>
      </c>
      <c r="V733" s="14">
        <f t="shared" ca="1" si="164"/>
        <v>-4565.8227848101269</v>
      </c>
      <c r="W733" s="12">
        <f t="shared" ca="1" si="154"/>
        <v>-1774.6835443037974</v>
      </c>
      <c r="X733" s="7">
        <f ca="1">AVERAGE(E733:OFFSET(F733,-$X$5+1,0))</f>
        <v>9184.5</v>
      </c>
      <c r="Y733" s="7">
        <f ca="1">AVERAGE(E733:OFFSET(F733,-$Y$5+1,0))</f>
        <v>9264.15</v>
      </c>
      <c r="Z733" s="7">
        <f t="shared" ca="1" si="156"/>
        <v>0</v>
      </c>
    </row>
    <row r="734" spans="1:26">
      <c r="A734" s="3" t="s">
        <v>59</v>
      </c>
      <c r="B734" s="4">
        <v>42730</v>
      </c>
      <c r="C734" s="3">
        <v>9107</v>
      </c>
      <c r="D734" s="3">
        <v>9131</v>
      </c>
      <c r="E734" s="3">
        <v>9089</v>
      </c>
      <c r="F734" s="3">
        <v>9123</v>
      </c>
      <c r="G734" s="3">
        <v>69849</v>
      </c>
      <c r="H734" s="3">
        <v>1.0449999999999999</v>
      </c>
      <c r="I734" s="2">
        <f t="shared" si="165"/>
        <v>0</v>
      </c>
      <c r="J734" s="10">
        <f t="shared" si="167"/>
        <v>17</v>
      </c>
      <c r="K734" s="10">
        <f t="shared" si="166"/>
        <v>16</v>
      </c>
      <c r="L734" s="10">
        <f t="shared" ca="1" si="155"/>
        <v>0</v>
      </c>
      <c r="M734" s="10">
        <f t="shared" ca="1" si="157"/>
        <v>0</v>
      </c>
      <c r="N734" s="30">
        <f t="shared" ca="1" si="158"/>
        <v>0</v>
      </c>
      <c r="O734" s="10">
        <f t="shared" ca="1" si="159"/>
        <v>0</v>
      </c>
      <c r="P734" s="29">
        <f t="shared" ca="1" si="160"/>
        <v>0</v>
      </c>
      <c r="Q734" s="12">
        <f t="shared" ca="1" si="161"/>
        <v>-352800</v>
      </c>
      <c r="R734" s="10">
        <f t="shared" ca="1" si="162"/>
        <v>0</v>
      </c>
      <c r="S734" s="10">
        <f t="shared" ca="1" si="152"/>
        <v>-8.7917608641044961E-2</v>
      </c>
      <c r="T734" s="14">
        <f t="shared" ca="1" si="153"/>
        <v>-0.12072178132872313</v>
      </c>
      <c r="U734" s="12">
        <f t="shared" ca="1" si="163"/>
        <v>7900</v>
      </c>
      <c r="V734" s="14">
        <f t="shared" ca="1" si="164"/>
        <v>-4565.8227848101269</v>
      </c>
      <c r="W734" s="12">
        <f t="shared" ca="1" si="154"/>
        <v>-1774.6835443037974</v>
      </c>
      <c r="X734" s="7">
        <f ca="1">AVERAGE(E734:OFFSET(F734,-$X$5+1,0))</f>
        <v>9156.9</v>
      </c>
      <c r="Y734" s="7">
        <f ca="1">AVERAGE(E734:OFFSET(F734,-$Y$5+1,0))</f>
        <v>9239.5</v>
      </c>
      <c r="Z734" s="7">
        <f t="shared" ca="1" si="156"/>
        <v>0</v>
      </c>
    </row>
    <row r="735" spans="1:26">
      <c r="A735" s="3" t="s">
        <v>59</v>
      </c>
      <c r="B735" s="4">
        <v>42731</v>
      </c>
      <c r="C735" s="3">
        <v>9123</v>
      </c>
      <c r="D735" s="3">
        <v>9130</v>
      </c>
      <c r="E735" s="3">
        <v>9106</v>
      </c>
      <c r="F735" s="3">
        <v>9113</v>
      </c>
      <c r="G735" s="3">
        <v>47698</v>
      </c>
      <c r="H735" s="3">
        <v>1.0449999999999999</v>
      </c>
      <c r="I735" s="2">
        <f t="shared" si="165"/>
        <v>0</v>
      </c>
      <c r="J735" s="10">
        <f t="shared" si="167"/>
        <v>0</v>
      </c>
      <c r="K735" s="10">
        <f t="shared" si="166"/>
        <v>-10</v>
      </c>
      <c r="L735" s="10">
        <f t="shared" ca="1" si="155"/>
        <v>0</v>
      </c>
      <c r="M735" s="10">
        <f t="shared" ca="1" si="157"/>
        <v>0</v>
      </c>
      <c r="N735" s="30">
        <f t="shared" ca="1" si="158"/>
        <v>0</v>
      </c>
      <c r="O735" s="10">
        <f t="shared" ca="1" si="159"/>
        <v>0</v>
      </c>
      <c r="P735" s="29">
        <f t="shared" ca="1" si="160"/>
        <v>0</v>
      </c>
      <c r="Q735" s="12">
        <f t="shared" ca="1" si="161"/>
        <v>-352800</v>
      </c>
      <c r="R735" s="10">
        <f t="shared" ca="1" si="162"/>
        <v>0</v>
      </c>
      <c r="S735" s="10">
        <f t="shared" ca="1" si="152"/>
        <v>0.36194651869105526</v>
      </c>
      <c r="T735" s="14">
        <f t="shared" ca="1" si="153"/>
        <v>-7.5668006600186674E-2</v>
      </c>
      <c r="U735" s="12">
        <f t="shared" ca="1" si="163"/>
        <v>7900</v>
      </c>
      <c r="V735" s="14">
        <f t="shared" ca="1" si="164"/>
        <v>-4565.8227848101269</v>
      </c>
      <c r="W735" s="12">
        <f t="shared" ca="1" si="154"/>
        <v>-1774.6835443037974</v>
      </c>
      <c r="X735" s="7">
        <f ca="1">AVERAGE(E735:OFFSET(F735,-$X$5+1,0))</f>
        <v>9131.9</v>
      </c>
      <c r="Y735" s="7">
        <f ca="1">AVERAGE(E735:OFFSET(F735,-$Y$5+1,0))</f>
        <v>9214.65</v>
      </c>
      <c r="Z735" s="7">
        <f t="shared" ca="1" si="156"/>
        <v>0</v>
      </c>
    </row>
    <row r="736" spans="1:26">
      <c r="A736" s="3" t="s">
        <v>59</v>
      </c>
      <c r="B736" s="4">
        <v>42732</v>
      </c>
      <c r="C736" s="3">
        <v>9110</v>
      </c>
      <c r="D736" s="3">
        <v>9213</v>
      </c>
      <c r="E736" s="3">
        <v>9105</v>
      </c>
      <c r="F736" s="3">
        <v>9211</v>
      </c>
      <c r="G736" s="3">
        <v>97287</v>
      </c>
      <c r="H736" s="3">
        <v>1.0449999999999999</v>
      </c>
      <c r="I736" s="2">
        <f t="shared" si="165"/>
        <v>0</v>
      </c>
      <c r="J736" s="10">
        <f t="shared" si="167"/>
        <v>-3</v>
      </c>
      <c r="K736" s="10">
        <f t="shared" si="166"/>
        <v>101</v>
      </c>
      <c r="L736" s="10">
        <f t="shared" ca="1" si="155"/>
        <v>0</v>
      </c>
      <c r="M736" s="10">
        <f t="shared" ca="1" si="157"/>
        <v>0</v>
      </c>
      <c r="N736" s="30">
        <f t="shared" ca="1" si="158"/>
        <v>0</v>
      </c>
      <c r="O736" s="10">
        <f t="shared" ca="1" si="159"/>
        <v>0</v>
      </c>
      <c r="P736" s="29">
        <f t="shared" ca="1" si="160"/>
        <v>0</v>
      </c>
      <c r="Q736" s="12">
        <f t="shared" ca="1" si="161"/>
        <v>-352800</v>
      </c>
      <c r="R736" s="10">
        <f t="shared" ca="1" si="162"/>
        <v>0</v>
      </c>
      <c r="S736" s="10">
        <f t="shared" ca="1" si="152"/>
        <v>0.31284967230709504</v>
      </c>
      <c r="T736" s="14">
        <f t="shared" ca="1" si="153"/>
        <v>-8.0490598245072528E-2</v>
      </c>
      <c r="U736" s="12">
        <f t="shared" ca="1" si="163"/>
        <v>7900</v>
      </c>
      <c r="V736" s="14">
        <f t="shared" ca="1" si="164"/>
        <v>-4565.8227848101269</v>
      </c>
      <c r="W736" s="12">
        <f t="shared" ca="1" si="154"/>
        <v>-1774.6835443037974</v>
      </c>
      <c r="X736" s="7">
        <f ca="1">AVERAGE(E736:OFFSET(F736,-$X$5+1,0))</f>
        <v>9117.7999999999993</v>
      </c>
      <c r="Y736" s="7">
        <f ca="1">AVERAGE(E736:OFFSET(F736,-$Y$5+1,0))</f>
        <v>9194.2999999999993</v>
      </c>
      <c r="Z736" s="7">
        <f t="shared" ca="1" si="156"/>
        <v>0</v>
      </c>
    </row>
    <row r="737" spans="1:26">
      <c r="A737" s="3" t="s">
        <v>59</v>
      </c>
      <c r="B737" s="4">
        <v>42733</v>
      </c>
      <c r="C737" s="3">
        <v>9188</v>
      </c>
      <c r="D737" s="3">
        <v>9211</v>
      </c>
      <c r="E737" s="3">
        <v>9168</v>
      </c>
      <c r="F737" s="3">
        <v>9184</v>
      </c>
      <c r="G737" s="3">
        <v>92408</v>
      </c>
      <c r="H737" s="3">
        <v>1.0449999999999999</v>
      </c>
      <c r="I737" s="2">
        <f t="shared" si="165"/>
        <v>0</v>
      </c>
      <c r="J737" s="10">
        <f t="shared" si="167"/>
        <v>-23</v>
      </c>
      <c r="K737" s="10">
        <f t="shared" si="166"/>
        <v>-4</v>
      </c>
      <c r="L737" s="10">
        <f t="shared" ca="1" si="155"/>
        <v>0</v>
      </c>
      <c r="M737" s="10">
        <f t="shared" ca="1" si="157"/>
        <v>0</v>
      </c>
      <c r="N737" s="30">
        <f t="shared" ca="1" si="158"/>
        <v>0</v>
      </c>
      <c r="O737" s="10">
        <f t="shared" ca="1" si="159"/>
        <v>0</v>
      </c>
      <c r="P737" s="29">
        <f t="shared" ca="1" si="160"/>
        <v>0</v>
      </c>
      <c r="Q737" s="12">
        <f t="shared" ca="1" si="161"/>
        <v>-352800</v>
      </c>
      <c r="R737" s="10">
        <f t="shared" ca="1" si="162"/>
        <v>0</v>
      </c>
      <c r="S737" s="10">
        <f t="shared" ca="1" si="152"/>
        <v>0.31284967230709504</v>
      </c>
      <c r="T737" s="14">
        <f t="shared" ca="1" si="153"/>
        <v>-8.0588765512309715E-2</v>
      </c>
      <c r="U737" s="12">
        <f t="shared" ca="1" si="163"/>
        <v>7900</v>
      </c>
      <c r="V737" s="14">
        <f t="shared" ca="1" si="164"/>
        <v>-4565.8227848101269</v>
      </c>
      <c r="W737" s="12">
        <f t="shared" ca="1" si="154"/>
        <v>-1774.6835443037974</v>
      </c>
      <c r="X737" s="7">
        <f ca="1">AVERAGE(E737:OFFSET(F737,-$X$5+1,0))</f>
        <v>9127.7000000000007</v>
      </c>
      <c r="Y737" s="7">
        <f ca="1">AVERAGE(E737:OFFSET(F737,-$Y$5+1,0))</f>
        <v>9178.25</v>
      </c>
      <c r="Z737" s="7">
        <f t="shared" ca="1" si="156"/>
        <v>0</v>
      </c>
    </row>
    <row r="738" spans="1:26">
      <c r="A738" s="3" t="s">
        <v>59</v>
      </c>
      <c r="B738" s="4">
        <v>42734</v>
      </c>
      <c r="C738" s="3">
        <v>9215</v>
      </c>
      <c r="D738" s="3">
        <v>9282</v>
      </c>
      <c r="E738" s="3">
        <v>9215</v>
      </c>
      <c r="F738" s="3">
        <v>9262</v>
      </c>
      <c r="G738" s="3">
        <v>116957</v>
      </c>
      <c r="H738" s="3">
        <v>1.0449999999999999</v>
      </c>
      <c r="I738" s="2">
        <f t="shared" si="165"/>
        <v>0</v>
      </c>
      <c r="J738" s="10">
        <f t="shared" si="167"/>
        <v>31</v>
      </c>
      <c r="K738" s="10">
        <f t="shared" si="166"/>
        <v>47</v>
      </c>
      <c r="L738" s="10">
        <f t="shared" ca="1" si="155"/>
        <v>0</v>
      </c>
      <c r="M738" s="10">
        <f t="shared" ca="1" si="157"/>
        <v>0</v>
      </c>
      <c r="N738" s="30">
        <f t="shared" ca="1" si="158"/>
        <v>0</v>
      </c>
      <c r="O738" s="10">
        <f t="shared" ca="1" si="159"/>
        <v>0</v>
      </c>
      <c r="P738" s="29">
        <f t="shared" ca="1" si="160"/>
        <v>0</v>
      </c>
      <c r="Q738" s="12">
        <f t="shared" ca="1" si="161"/>
        <v>-352800</v>
      </c>
      <c r="R738" s="10">
        <f t="shared" ca="1" si="162"/>
        <v>0</v>
      </c>
      <c r="S738" s="10">
        <f t="shared" ca="1" si="152"/>
        <v>0.31284967230709504</v>
      </c>
      <c r="T738" s="14">
        <f t="shared" ca="1" si="153"/>
        <v>-8.0511962494998354E-2</v>
      </c>
      <c r="U738" s="12">
        <f t="shared" ca="1" si="163"/>
        <v>7900</v>
      </c>
      <c r="V738" s="14">
        <f t="shared" ca="1" si="164"/>
        <v>-4565.8227848101269</v>
      </c>
      <c r="W738" s="12">
        <f t="shared" ca="1" si="154"/>
        <v>-1774.6835443037974</v>
      </c>
      <c r="X738" s="7">
        <f ca="1">AVERAGE(E738:OFFSET(F738,-$X$5+1,0))</f>
        <v>9157.6</v>
      </c>
      <c r="Y738" s="7">
        <f ca="1">AVERAGE(E738:OFFSET(F738,-$Y$5+1,0))</f>
        <v>9171.0499999999993</v>
      </c>
      <c r="Z738" s="7">
        <f t="shared" ca="1" si="156"/>
        <v>0</v>
      </c>
    </row>
    <row r="739" spans="1:26">
      <c r="A739" s="3" t="s">
        <v>59</v>
      </c>
      <c r="B739" s="4">
        <v>42738</v>
      </c>
      <c r="C739" s="3">
        <v>9266</v>
      </c>
      <c r="D739" s="3">
        <v>9282</v>
      </c>
      <c r="E739" s="3">
        <v>9231</v>
      </c>
      <c r="F739" s="3">
        <v>9281</v>
      </c>
      <c r="G739" s="3">
        <v>89282</v>
      </c>
      <c r="H739" s="3">
        <v>1.0449999999999999</v>
      </c>
      <c r="I739" s="2">
        <f t="shared" si="165"/>
        <v>0</v>
      </c>
      <c r="J739" s="10">
        <f t="shared" si="167"/>
        <v>4</v>
      </c>
      <c r="K739" s="10">
        <f t="shared" si="166"/>
        <v>15</v>
      </c>
      <c r="L739" s="10">
        <f t="shared" ca="1" si="155"/>
        <v>1</v>
      </c>
      <c r="M739" s="10">
        <f t="shared" ca="1" si="157"/>
        <v>0</v>
      </c>
      <c r="N739" s="30">
        <f t="shared" ca="1" si="158"/>
        <v>0</v>
      </c>
      <c r="O739" s="10">
        <f t="shared" ca="1" si="159"/>
        <v>0</v>
      </c>
      <c r="P739" s="29">
        <f t="shared" ca="1" si="160"/>
        <v>0</v>
      </c>
      <c r="Q739" s="12">
        <f t="shared" ca="1" si="161"/>
        <v>-352800</v>
      </c>
      <c r="R739" s="10">
        <f t="shared" ca="1" si="162"/>
        <v>0</v>
      </c>
      <c r="S739" s="10">
        <f t="shared" ca="1" si="152"/>
        <v>0.31284967230709504</v>
      </c>
      <c r="T739" s="14">
        <f t="shared" ca="1" si="153"/>
        <v>-8.1101864589702657E-2</v>
      </c>
      <c r="U739" s="12">
        <f t="shared" ca="1" si="163"/>
        <v>7900</v>
      </c>
      <c r="V739" s="14">
        <f t="shared" ca="1" si="164"/>
        <v>-4565.8227848101269</v>
      </c>
      <c r="W739" s="12">
        <f t="shared" ca="1" si="154"/>
        <v>-1774.6835443037974</v>
      </c>
      <c r="X739" s="7">
        <f ca="1">AVERAGE(E739:OFFSET(F739,-$X$5+1,0))</f>
        <v>9187.6</v>
      </c>
      <c r="Y739" s="7">
        <f ca="1">AVERAGE(E739:OFFSET(F739,-$Y$5+1,0))</f>
        <v>9172.25</v>
      </c>
      <c r="Z739" s="7">
        <f t="shared" ca="1" si="156"/>
        <v>1</v>
      </c>
    </row>
    <row r="740" spans="1:26">
      <c r="A740" s="3" t="s">
        <v>59</v>
      </c>
      <c r="B740" s="4">
        <v>42739</v>
      </c>
      <c r="C740" s="3">
        <v>9281</v>
      </c>
      <c r="D740" s="3">
        <v>9295</v>
      </c>
      <c r="E740" s="3">
        <v>9261</v>
      </c>
      <c r="F740" s="3">
        <v>9273</v>
      </c>
      <c r="G740" s="3">
        <v>87462</v>
      </c>
      <c r="H740" s="3">
        <v>1.0449999999999999</v>
      </c>
      <c r="I740" s="2">
        <f t="shared" si="165"/>
        <v>0</v>
      </c>
      <c r="J740" s="10">
        <f t="shared" si="167"/>
        <v>0</v>
      </c>
      <c r="K740" s="10">
        <f t="shared" si="166"/>
        <v>-8</v>
      </c>
      <c r="L740" s="10">
        <f t="shared" ca="1" si="155"/>
        <v>0</v>
      </c>
      <c r="M740" s="10">
        <f t="shared" ca="1" si="157"/>
        <v>1</v>
      </c>
      <c r="N740" s="30">
        <f t="shared" ca="1" si="158"/>
        <v>1856200</v>
      </c>
      <c r="O740" s="10">
        <f t="shared" ca="1" si="159"/>
        <v>1856200</v>
      </c>
      <c r="P740" s="29">
        <f t="shared" ca="1" si="160"/>
        <v>-2100</v>
      </c>
      <c r="Q740" s="12">
        <f t="shared" ca="1" si="161"/>
        <v>-354900</v>
      </c>
      <c r="R740" s="10">
        <f t="shared" ca="1" si="162"/>
        <v>-0.11313436052149553</v>
      </c>
      <c r="S740" s="10">
        <f t="shared" ca="1" si="152"/>
        <v>0.23835544166415434</v>
      </c>
      <c r="T740" s="14">
        <f t="shared" ca="1" si="153"/>
        <v>-8.9201129449951719E-2</v>
      </c>
      <c r="U740" s="12">
        <f t="shared" ca="1" si="163"/>
        <v>7900</v>
      </c>
      <c r="V740" s="14">
        <f t="shared" ca="1" si="164"/>
        <v>-4592.4050632911394</v>
      </c>
      <c r="W740" s="12">
        <f t="shared" ca="1" si="154"/>
        <v>-1774.6835443037974</v>
      </c>
      <c r="X740" s="7">
        <f ca="1">AVERAGE(E740:OFFSET(F740,-$X$5+1,0))</f>
        <v>9219.1</v>
      </c>
      <c r="Y740" s="7">
        <f ca="1">AVERAGE(E740:OFFSET(F740,-$Y$5+1,0))</f>
        <v>9175.5</v>
      </c>
      <c r="Z740" s="7">
        <f t="shared" ca="1" si="156"/>
        <v>0</v>
      </c>
    </row>
    <row r="741" spans="1:26">
      <c r="A741" s="3" t="s">
        <v>59</v>
      </c>
      <c r="B741" s="4">
        <v>42740</v>
      </c>
      <c r="C741" s="3">
        <v>9270</v>
      </c>
      <c r="D741" s="3">
        <v>9354</v>
      </c>
      <c r="E741" s="3">
        <v>9266</v>
      </c>
      <c r="F741" s="3">
        <v>9340</v>
      </c>
      <c r="G741" s="3">
        <v>119149</v>
      </c>
      <c r="H741" s="3">
        <v>1.0449999999999999</v>
      </c>
      <c r="I741" s="2">
        <f t="shared" si="165"/>
        <v>0</v>
      </c>
      <c r="J741" s="10">
        <f t="shared" si="167"/>
        <v>-3</v>
      </c>
      <c r="K741" s="10">
        <f t="shared" si="166"/>
        <v>70</v>
      </c>
      <c r="L741" s="10">
        <f t="shared" ca="1" si="155"/>
        <v>0</v>
      </c>
      <c r="M741" s="10">
        <f t="shared" ca="1" si="157"/>
        <v>1</v>
      </c>
      <c r="N741" s="30">
        <f t="shared" ca="1" si="158"/>
        <v>0</v>
      </c>
      <c r="O741" s="10">
        <f t="shared" ca="1" si="159"/>
        <v>1856200</v>
      </c>
      <c r="P741" s="29">
        <f t="shared" ca="1" si="160"/>
        <v>13400</v>
      </c>
      <c r="Q741" s="12">
        <f t="shared" ca="1" si="161"/>
        <v>-341500</v>
      </c>
      <c r="R741" s="10">
        <f t="shared" ca="1" si="162"/>
        <v>0.7219049671371619</v>
      </c>
      <c r="S741" s="10">
        <f t="shared" ca="1" si="152"/>
        <v>0.36459903527283688</v>
      </c>
      <c r="T741" s="14">
        <f t="shared" ca="1" si="153"/>
        <v>-7.6496729109759826E-2</v>
      </c>
      <c r="U741" s="12">
        <f t="shared" ca="1" si="163"/>
        <v>7900</v>
      </c>
      <c r="V741" s="14">
        <f t="shared" ca="1" si="164"/>
        <v>-4422.7848101265827</v>
      </c>
      <c r="W741" s="12">
        <f t="shared" ca="1" si="154"/>
        <v>-1774.6835443037974</v>
      </c>
      <c r="X741" s="7">
        <f ca="1">AVERAGE(E741:OFFSET(F741,-$X$5+1,0))</f>
        <v>9248.1</v>
      </c>
      <c r="Y741" s="7">
        <f ca="1">AVERAGE(E741:OFFSET(F741,-$Y$5+1,0))</f>
        <v>9182.9500000000007</v>
      </c>
      <c r="Z741" s="7">
        <f t="shared" ca="1" si="156"/>
        <v>0</v>
      </c>
    </row>
    <row r="742" spans="1:26">
      <c r="A742" s="3" t="s">
        <v>59</v>
      </c>
      <c r="B742" s="4">
        <v>42741</v>
      </c>
      <c r="C742" s="3">
        <v>9353</v>
      </c>
      <c r="D742" s="3">
        <v>9375</v>
      </c>
      <c r="E742" s="3">
        <v>9338</v>
      </c>
      <c r="F742" s="3">
        <v>9367</v>
      </c>
      <c r="G742" s="3">
        <v>67027</v>
      </c>
      <c r="H742" s="3">
        <v>1.0449999999999999</v>
      </c>
      <c r="I742" s="2">
        <f t="shared" si="165"/>
        <v>0</v>
      </c>
      <c r="J742" s="10">
        <f t="shared" si="167"/>
        <v>13</v>
      </c>
      <c r="K742" s="10">
        <f t="shared" si="166"/>
        <v>14</v>
      </c>
      <c r="L742" s="10">
        <f t="shared" ca="1" si="155"/>
        <v>0</v>
      </c>
      <c r="M742" s="10">
        <f t="shared" ca="1" si="157"/>
        <v>1</v>
      </c>
      <c r="N742" s="30">
        <f t="shared" ca="1" si="158"/>
        <v>0</v>
      </c>
      <c r="O742" s="10">
        <f t="shared" ca="1" si="159"/>
        <v>1856200</v>
      </c>
      <c r="P742" s="29">
        <f t="shared" ca="1" si="160"/>
        <v>5400</v>
      </c>
      <c r="Q742" s="12">
        <f t="shared" ca="1" si="161"/>
        <v>-336100</v>
      </c>
      <c r="R742" s="10">
        <f t="shared" ca="1" si="162"/>
        <v>0.29091692705527422</v>
      </c>
      <c r="S742" s="10">
        <f t="shared" ca="1" si="152"/>
        <v>0.41547331926439551</v>
      </c>
      <c r="T742" s="14">
        <f t="shared" ca="1" si="153"/>
        <v>-7.1342030934074069E-2</v>
      </c>
      <c r="U742" s="12">
        <f t="shared" ca="1" si="163"/>
        <v>7900</v>
      </c>
      <c r="V742" s="14">
        <f t="shared" ca="1" si="164"/>
        <v>-4354.4303797468356</v>
      </c>
      <c r="W742" s="12">
        <f t="shared" ca="1" si="154"/>
        <v>-1774.6835443037974</v>
      </c>
      <c r="X742" s="7">
        <f ca="1">AVERAGE(E742:OFFSET(F742,-$X$5+1,0))</f>
        <v>9283.4</v>
      </c>
      <c r="Y742" s="7">
        <f ca="1">AVERAGE(E742:OFFSET(F742,-$Y$5+1,0))</f>
        <v>9205.5499999999993</v>
      </c>
      <c r="Z742" s="7">
        <f t="shared" ca="1" si="156"/>
        <v>0</v>
      </c>
    </row>
    <row r="743" spans="1:26">
      <c r="A743" s="3" t="s">
        <v>59</v>
      </c>
      <c r="B743" s="4">
        <v>42744</v>
      </c>
      <c r="C743" s="3">
        <v>9379</v>
      </c>
      <c r="D743" s="3">
        <v>9409</v>
      </c>
      <c r="E743" s="3">
        <v>9325</v>
      </c>
      <c r="F743" s="3">
        <v>9344</v>
      </c>
      <c r="G743" s="3">
        <v>113565</v>
      </c>
      <c r="H743" s="3">
        <v>1.0449999999999999</v>
      </c>
      <c r="I743" s="2">
        <f t="shared" si="165"/>
        <v>0</v>
      </c>
      <c r="J743" s="10">
        <f t="shared" si="167"/>
        <v>12</v>
      </c>
      <c r="K743" s="10">
        <f t="shared" si="166"/>
        <v>-35</v>
      </c>
      <c r="L743" s="10">
        <f t="shared" ca="1" si="155"/>
        <v>0</v>
      </c>
      <c r="M743" s="10">
        <f t="shared" ca="1" si="157"/>
        <v>1</v>
      </c>
      <c r="N743" s="30">
        <f t="shared" ca="1" si="158"/>
        <v>0</v>
      </c>
      <c r="O743" s="10">
        <f t="shared" ca="1" si="159"/>
        <v>1856200</v>
      </c>
      <c r="P743" s="29">
        <f t="shared" ca="1" si="160"/>
        <v>-4600</v>
      </c>
      <c r="Q743" s="12">
        <f t="shared" ca="1" si="161"/>
        <v>-340700</v>
      </c>
      <c r="R743" s="10">
        <f t="shared" ca="1" si="162"/>
        <v>-0.24781812304708545</v>
      </c>
      <c r="S743" s="10">
        <f t="shared" ca="1" si="152"/>
        <v>0.37213596623454931</v>
      </c>
      <c r="T743" s="14">
        <f t="shared" ca="1" si="153"/>
        <v>-7.5667091292983338E-2</v>
      </c>
      <c r="U743" s="12">
        <f t="shared" ca="1" si="163"/>
        <v>7900</v>
      </c>
      <c r="V743" s="14">
        <f t="shared" ca="1" si="164"/>
        <v>-4412.658227848101</v>
      </c>
      <c r="W743" s="12">
        <f t="shared" ca="1" si="154"/>
        <v>-1774.6835443037974</v>
      </c>
      <c r="X743" s="7">
        <f ca="1">AVERAGE(E743:OFFSET(F743,-$X$5+1,0))</f>
        <v>9302.6</v>
      </c>
      <c r="Y743" s="7">
        <f ca="1">AVERAGE(E743:OFFSET(F743,-$Y$5+1,0))</f>
        <v>9230.1</v>
      </c>
      <c r="Z743" s="7">
        <f t="shared" ca="1" si="156"/>
        <v>0</v>
      </c>
    </row>
    <row r="744" spans="1:26">
      <c r="A744" s="3" t="s">
        <v>59</v>
      </c>
      <c r="B744" s="4">
        <v>42745</v>
      </c>
      <c r="C744" s="3">
        <v>9332</v>
      </c>
      <c r="D744" s="3">
        <v>9350</v>
      </c>
      <c r="E744" s="3">
        <v>9320</v>
      </c>
      <c r="F744" s="3">
        <v>9342</v>
      </c>
      <c r="G744" s="3">
        <v>76021</v>
      </c>
      <c r="H744" s="3">
        <v>1.0449999999999999</v>
      </c>
      <c r="I744" s="2">
        <f t="shared" si="165"/>
        <v>0</v>
      </c>
      <c r="J744" s="10">
        <f t="shared" si="167"/>
        <v>-12</v>
      </c>
      <c r="K744" s="10">
        <f t="shared" si="166"/>
        <v>10</v>
      </c>
      <c r="L744" s="10">
        <f t="shared" ca="1" si="155"/>
        <v>0</v>
      </c>
      <c r="M744" s="10">
        <f t="shared" ca="1" si="157"/>
        <v>1</v>
      </c>
      <c r="N744" s="30">
        <f t="shared" ca="1" si="158"/>
        <v>0</v>
      </c>
      <c r="O744" s="10">
        <f t="shared" ca="1" si="159"/>
        <v>1856200</v>
      </c>
      <c r="P744" s="29">
        <f t="shared" ca="1" si="160"/>
        <v>-400</v>
      </c>
      <c r="Q744" s="12">
        <f t="shared" ca="1" si="161"/>
        <v>-341100</v>
      </c>
      <c r="R744" s="10">
        <f t="shared" ca="1" si="162"/>
        <v>-2.1549402004094387E-2</v>
      </c>
      <c r="S744" s="10">
        <f t="shared" ca="1" si="152"/>
        <v>0.36836750075369312</v>
      </c>
      <c r="T744" s="14">
        <f t="shared" ca="1" si="153"/>
        <v>-7.5965277443676829E-2</v>
      </c>
      <c r="U744" s="12">
        <f t="shared" ca="1" si="163"/>
        <v>7900</v>
      </c>
      <c r="V744" s="14">
        <f t="shared" ca="1" si="164"/>
        <v>-4417.7215189873414</v>
      </c>
      <c r="W744" s="12">
        <f t="shared" ca="1" si="154"/>
        <v>-1774.6835443037974</v>
      </c>
      <c r="X744" s="7">
        <f ca="1">AVERAGE(E744:OFFSET(F744,-$X$5+1,0))</f>
        <v>9317.6</v>
      </c>
      <c r="Y744" s="7">
        <f ca="1">AVERAGE(E744:OFFSET(F744,-$Y$5+1,0))</f>
        <v>9252.6</v>
      </c>
      <c r="Z744" s="7">
        <f t="shared" ca="1" si="156"/>
        <v>0</v>
      </c>
    </row>
    <row r="745" spans="1:26">
      <c r="A745" s="3" t="s">
        <v>59</v>
      </c>
      <c r="B745" s="4">
        <v>42746</v>
      </c>
      <c r="C745" s="3">
        <v>9395</v>
      </c>
      <c r="D745" s="3">
        <v>9396</v>
      </c>
      <c r="E745" s="3">
        <v>9333</v>
      </c>
      <c r="F745" s="3">
        <v>9338</v>
      </c>
      <c r="G745" s="3">
        <v>91651</v>
      </c>
      <c r="H745" s="3">
        <v>1.0449999999999999</v>
      </c>
      <c r="I745" s="2">
        <f t="shared" si="165"/>
        <v>0</v>
      </c>
      <c r="J745" s="10">
        <f t="shared" si="167"/>
        <v>53</v>
      </c>
      <c r="K745" s="10">
        <f t="shared" si="166"/>
        <v>-57</v>
      </c>
      <c r="L745" s="10">
        <f t="shared" ca="1" si="155"/>
        <v>0</v>
      </c>
      <c r="M745" s="10">
        <f t="shared" ca="1" si="157"/>
        <v>1</v>
      </c>
      <c r="N745" s="30">
        <f t="shared" ca="1" si="158"/>
        <v>0</v>
      </c>
      <c r="O745" s="10">
        <f t="shared" ca="1" si="159"/>
        <v>1856200</v>
      </c>
      <c r="P745" s="29">
        <f t="shared" ca="1" si="160"/>
        <v>-800</v>
      </c>
      <c r="Q745" s="12">
        <f t="shared" ca="1" si="161"/>
        <v>-341900</v>
      </c>
      <c r="R745" s="10">
        <f t="shared" ca="1" si="162"/>
        <v>-4.3098804008188774E-2</v>
      </c>
      <c r="S745" s="10">
        <f t="shared" ca="1" si="152"/>
        <v>0.36083056979198069</v>
      </c>
      <c r="T745" s="14">
        <f t="shared" ca="1" si="153"/>
        <v>-7.6648427057431093E-2</v>
      </c>
      <c r="U745" s="12">
        <f t="shared" ca="1" si="163"/>
        <v>7900</v>
      </c>
      <c r="V745" s="14">
        <f t="shared" ca="1" si="164"/>
        <v>-4427.8481012658231</v>
      </c>
      <c r="W745" s="12">
        <f t="shared" ca="1" si="154"/>
        <v>-1774.6835443037974</v>
      </c>
      <c r="X745" s="7">
        <f ca="1">AVERAGE(E745:OFFSET(F745,-$X$5+1,0))</f>
        <v>9331.2999999999993</v>
      </c>
      <c r="Y745" s="7">
        <f ca="1">AVERAGE(E745:OFFSET(F745,-$Y$5+1,0))</f>
        <v>9275.2000000000007</v>
      </c>
      <c r="Z745" s="7">
        <f t="shared" ca="1" si="156"/>
        <v>0</v>
      </c>
    </row>
    <row r="746" spans="1:26">
      <c r="A746" s="3" t="s">
        <v>59</v>
      </c>
      <c r="B746" s="4">
        <v>42747</v>
      </c>
      <c r="C746" s="3">
        <v>9353</v>
      </c>
      <c r="D746" s="3">
        <v>9433</v>
      </c>
      <c r="E746" s="3">
        <v>9350</v>
      </c>
      <c r="F746" s="3">
        <v>9410</v>
      </c>
      <c r="G746" s="3">
        <v>117651</v>
      </c>
      <c r="H746" s="3">
        <v>1.0449999999999999</v>
      </c>
      <c r="I746" s="2">
        <f t="shared" si="165"/>
        <v>0</v>
      </c>
      <c r="J746" s="10">
        <f t="shared" si="167"/>
        <v>15</v>
      </c>
      <c r="K746" s="10">
        <f t="shared" si="166"/>
        <v>57</v>
      </c>
      <c r="L746" s="10">
        <f t="shared" ca="1" si="155"/>
        <v>0</v>
      </c>
      <c r="M746" s="10">
        <f t="shared" ca="1" si="157"/>
        <v>1</v>
      </c>
      <c r="N746" s="30">
        <f t="shared" ca="1" si="158"/>
        <v>0</v>
      </c>
      <c r="O746" s="10">
        <f t="shared" ca="1" si="159"/>
        <v>1856200</v>
      </c>
      <c r="P746" s="29">
        <f t="shared" ca="1" si="160"/>
        <v>14400</v>
      </c>
      <c r="Q746" s="12">
        <f t="shared" ca="1" si="161"/>
        <v>-327500</v>
      </c>
      <c r="R746" s="10">
        <f t="shared" ca="1" si="162"/>
        <v>0.77577847214739792</v>
      </c>
      <c r="S746" s="10">
        <f t="shared" ca="1" si="152"/>
        <v>0.49649532710280375</v>
      </c>
      <c r="T746" s="14">
        <f t="shared" ca="1" si="153"/>
        <v>-6.2510949647752209E-2</v>
      </c>
      <c r="U746" s="12">
        <f t="shared" ca="1" si="163"/>
        <v>7900</v>
      </c>
      <c r="V746" s="14">
        <f t="shared" ca="1" si="164"/>
        <v>-4245.5696202531644</v>
      </c>
      <c r="W746" s="12">
        <f t="shared" ca="1" si="154"/>
        <v>-1774.6835443037974</v>
      </c>
      <c r="X746" s="7">
        <f ca="1">AVERAGE(E746:OFFSET(F746,-$X$5+1,0))</f>
        <v>9346.7000000000007</v>
      </c>
      <c r="Y746" s="7">
        <f ca="1">AVERAGE(E746:OFFSET(F746,-$Y$5+1,0))</f>
        <v>9297.4</v>
      </c>
      <c r="Z746" s="7">
        <f t="shared" ca="1" si="156"/>
        <v>0</v>
      </c>
    </row>
    <row r="747" spans="1:26">
      <c r="A747" s="3" t="s">
        <v>59</v>
      </c>
      <c r="B747" s="4">
        <v>42748</v>
      </c>
      <c r="C747" s="3">
        <v>9388</v>
      </c>
      <c r="D747" s="3">
        <v>9397</v>
      </c>
      <c r="E747" s="3">
        <v>9361</v>
      </c>
      <c r="F747" s="3">
        <v>9374</v>
      </c>
      <c r="G747" s="3">
        <v>88034</v>
      </c>
      <c r="H747" s="3">
        <v>1.0449999999999999</v>
      </c>
      <c r="I747" s="2">
        <f t="shared" si="165"/>
        <v>0</v>
      </c>
      <c r="J747" s="10">
        <f t="shared" si="167"/>
        <v>-22</v>
      </c>
      <c r="K747" s="10">
        <f t="shared" si="166"/>
        <v>-14</v>
      </c>
      <c r="L747" s="10">
        <f t="shared" ca="1" si="155"/>
        <v>0</v>
      </c>
      <c r="M747" s="10">
        <f t="shared" ca="1" si="157"/>
        <v>1</v>
      </c>
      <c r="N747" s="30">
        <f t="shared" ca="1" si="158"/>
        <v>0</v>
      </c>
      <c r="O747" s="10">
        <f t="shared" ca="1" si="159"/>
        <v>1856200</v>
      </c>
      <c r="P747" s="29">
        <f t="shared" ca="1" si="160"/>
        <v>-7200</v>
      </c>
      <c r="Q747" s="12">
        <f t="shared" ca="1" si="161"/>
        <v>-334700</v>
      </c>
      <c r="R747" s="10">
        <f t="shared" ca="1" si="162"/>
        <v>-0.38788923607369896</v>
      </c>
      <c r="S747" s="10">
        <f t="shared" ca="1" si="152"/>
        <v>0.42866294844739222</v>
      </c>
      <c r="T747" s="14">
        <f t="shared" ca="1" si="153"/>
        <v>-6.9807669474513681E-2</v>
      </c>
      <c r="U747" s="12">
        <f t="shared" ca="1" si="163"/>
        <v>7900</v>
      </c>
      <c r="V747" s="14">
        <f t="shared" ca="1" si="164"/>
        <v>-4336.7088607594933</v>
      </c>
      <c r="W747" s="12">
        <f t="shared" ca="1" si="154"/>
        <v>-1774.6835443037974</v>
      </c>
      <c r="X747" s="7">
        <f ca="1">AVERAGE(E747:OFFSET(F747,-$X$5+1,0))</f>
        <v>9349.7000000000007</v>
      </c>
      <c r="Y747" s="7">
        <f ca="1">AVERAGE(E747:OFFSET(F747,-$Y$5+1,0))</f>
        <v>9316.5499999999993</v>
      </c>
      <c r="Z747" s="7">
        <f t="shared" ca="1" si="156"/>
        <v>0</v>
      </c>
    </row>
    <row r="748" spans="1:26">
      <c r="A748" s="3" t="s">
        <v>59</v>
      </c>
      <c r="B748" s="4">
        <v>42751</v>
      </c>
      <c r="C748" s="3">
        <v>9360</v>
      </c>
      <c r="D748" s="3">
        <v>9362</v>
      </c>
      <c r="E748" s="3">
        <v>9274</v>
      </c>
      <c r="F748" s="3">
        <v>9286</v>
      </c>
      <c r="G748" s="3">
        <v>135414</v>
      </c>
      <c r="H748" s="3">
        <v>1.0449999999999999</v>
      </c>
      <c r="I748" s="2">
        <f t="shared" si="165"/>
        <v>0</v>
      </c>
      <c r="J748" s="10">
        <f t="shared" si="167"/>
        <v>-14</v>
      </c>
      <c r="K748" s="10">
        <f t="shared" si="166"/>
        <v>-74</v>
      </c>
      <c r="L748" s="10">
        <f t="shared" ca="1" si="155"/>
        <v>0</v>
      </c>
      <c r="M748" s="10">
        <f t="shared" ca="1" si="157"/>
        <v>1</v>
      </c>
      <c r="N748" s="30">
        <f t="shared" ca="1" si="158"/>
        <v>0</v>
      </c>
      <c r="O748" s="10">
        <f t="shared" ca="1" si="159"/>
        <v>1856200</v>
      </c>
      <c r="P748" s="29">
        <f t="shared" ca="1" si="160"/>
        <v>-17600</v>
      </c>
      <c r="Q748" s="12">
        <f t="shared" ca="1" si="161"/>
        <v>-352300</v>
      </c>
      <c r="R748" s="10">
        <f t="shared" ca="1" si="162"/>
        <v>-0.94817368818015302</v>
      </c>
      <c r="S748" s="10">
        <f t="shared" ref="S748:S811" ca="1" si="168">100*SUM(P509:P748)/SUM(N509:N748)</f>
        <v>0.26285046728971961</v>
      </c>
      <c r="T748" s="14">
        <f t="shared" ca="1" si="153"/>
        <v>-8.7108075619373795E-2</v>
      </c>
      <c r="U748" s="12">
        <f t="shared" ca="1" si="163"/>
        <v>7900</v>
      </c>
      <c r="V748" s="14">
        <f t="shared" ca="1" si="164"/>
        <v>-4559.493670886076</v>
      </c>
      <c r="W748" s="12">
        <f t="shared" ca="1" si="154"/>
        <v>-1774.6835443037974</v>
      </c>
      <c r="X748" s="7">
        <f ca="1">AVERAGE(E748:OFFSET(F748,-$X$5+1,0))</f>
        <v>9338.7999999999993</v>
      </c>
      <c r="Y748" s="7">
        <f ca="1">AVERAGE(E748:OFFSET(F748,-$Y$5+1,0))</f>
        <v>9320.7000000000007</v>
      </c>
      <c r="Z748" s="7">
        <f t="shared" ca="1" si="156"/>
        <v>0</v>
      </c>
    </row>
    <row r="749" spans="1:26">
      <c r="A749" s="3" t="s">
        <v>59</v>
      </c>
      <c r="B749" s="4">
        <v>42752</v>
      </c>
      <c r="C749" s="3">
        <v>9282</v>
      </c>
      <c r="D749" s="3">
        <v>9344</v>
      </c>
      <c r="E749" s="3">
        <v>9280</v>
      </c>
      <c r="F749" s="3">
        <v>9341</v>
      </c>
      <c r="G749" s="3">
        <v>94530</v>
      </c>
      <c r="H749" s="3">
        <v>1.0449999999999999</v>
      </c>
      <c r="I749" s="2">
        <f t="shared" si="165"/>
        <v>0</v>
      </c>
      <c r="J749" s="10">
        <f t="shared" si="167"/>
        <v>-4</v>
      </c>
      <c r="K749" s="10">
        <f t="shared" si="166"/>
        <v>59</v>
      </c>
      <c r="L749" s="10">
        <f t="shared" ca="1" si="155"/>
        <v>0</v>
      </c>
      <c r="M749" s="10">
        <f t="shared" ca="1" si="157"/>
        <v>1</v>
      </c>
      <c r="N749" s="30">
        <f t="shared" ca="1" si="158"/>
        <v>0</v>
      </c>
      <c r="O749" s="10">
        <f t="shared" ca="1" si="159"/>
        <v>1856200</v>
      </c>
      <c r="P749" s="29">
        <f t="shared" ca="1" si="160"/>
        <v>11000</v>
      </c>
      <c r="Q749" s="12">
        <f t="shared" ca="1" si="161"/>
        <v>-341300</v>
      </c>
      <c r="R749" s="10">
        <f t="shared" ca="1" si="162"/>
        <v>0.59260855511259558</v>
      </c>
      <c r="S749" s="10">
        <f t="shared" ca="1" si="168"/>
        <v>0.36648326801326497</v>
      </c>
      <c r="T749" s="14">
        <f t="shared" ref="T749:T812" ca="1" si="169">(S749-AVERAGE(H480:H749))/(_xlfn.STDEV.S(R480:R749)*SQRT(240))</f>
        <v>-7.6299380725220509E-2</v>
      </c>
      <c r="U749" s="12">
        <f t="shared" ca="1" si="163"/>
        <v>7900</v>
      </c>
      <c r="V749" s="14">
        <f t="shared" ca="1" si="164"/>
        <v>-4420.2531645569625</v>
      </c>
      <c r="W749" s="12">
        <f t="shared" ref="W749:W812" ca="1" si="170">MAX(V510:V749)</f>
        <v>-1774.6835443037974</v>
      </c>
      <c r="X749" s="7">
        <f ca="1">AVERAGE(E749:OFFSET(F749,-$X$5+1,0))</f>
        <v>9334.7000000000007</v>
      </c>
      <c r="Y749" s="7">
        <f ca="1">AVERAGE(E749:OFFSET(F749,-$Y$5+1,0))</f>
        <v>9326.15</v>
      </c>
      <c r="Z749" s="7">
        <f t="shared" ca="1" si="156"/>
        <v>0</v>
      </c>
    </row>
    <row r="750" spans="1:26">
      <c r="A750" s="3" t="s">
        <v>59</v>
      </c>
      <c r="B750" s="4">
        <v>42753</v>
      </c>
      <c r="C750" s="3">
        <v>9336</v>
      </c>
      <c r="D750" s="3">
        <v>9349</v>
      </c>
      <c r="E750" s="3">
        <v>9314</v>
      </c>
      <c r="F750" s="3">
        <v>9340</v>
      </c>
      <c r="G750" s="3">
        <v>55499</v>
      </c>
      <c r="H750" s="3">
        <v>1.0449999999999999</v>
      </c>
      <c r="I750" s="2">
        <f t="shared" si="165"/>
        <v>1</v>
      </c>
      <c r="J750" s="10">
        <f t="shared" si="167"/>
        <v>-5</v>
      </c>
      <c r="K750" s="10">
        <f t="shared" si="166"/>
        <v>4</v>
      </c>
      <c r="L750" s="10">
        <f t="shared" ca="1" si="155"/>
        <v>0</v>
      </c>
      <c r="M750" s="10">
        <f t="shared" si="157"/>
        <v>0</v>
      </c>
      <c r="N750" s="30">
        <f t="shared" si="158"/>
        <v>0</v>
      </c>
      <c r="O750" s="10">
        <f t="shared" si="159"/>
        <v>0</v>
      </c>
      <c r="P750" s="29">
        <f t="shared" ca="1" si="160"/>
        <v>-1500</v>
      </c>
      <c r="Q750" s="12">
        <f t="shared" ca="1" si="161"/>
        <v>-342800</v>
      </c>
      <c r="R750" s="10">
        <f t="shared" ca="1" si="162"/>
        <v>-8.081025751535395E-2</v>
      </c>
      <c r="S750" s="10">
        <f t="shared" ca="1" si="168"/>
        <v>0.35235152246005425</v>
      </c>
      <c r="T750" s="14">
        <f t="shared" ca="1" si="169"/>
        <v>-7.7665032705155693E-2</v>
      </c>
      <c r="U750" s="12">
        <f t="shared" ca="1" si="163"/>
        <v>7900</v>
      </c>
      <c r="V750" s="14">
        <f t="shared" ca="1" si="164"/>
        <v>-4439.2405063291135</v>
      </c>
      <c r="W750" s="12">
        <f t="shared" ca="1" si="170"/>
        <v>-1774.6835443037974</v>
      </c>
      <c r="X750" s="7">
        <f ca="1">AVERAGE(E750:OFFSET(F750,-$X$5+1,0))</f>
        <v>9333</v>
      </c>
      <c r="Y750" s="7">
        <f ca="1">AVERAGE(E750:OFFSET(F750,-$Y$5+1,0))</f>
        <v>9332.15</v>
      </c>
      <c r="Z750" s="7">
        <f t="shared" ca="1" si="156"/>
        <v>0</v>
      </c>
    </row>
    <row r="751" spans="1:26">
      <c r="A751" s="3" t="s">
        <v>60</v>
      </c>
      <c r="B751" s="4">
        <v>42754</v>
      </c>
      <c r="C751" s="3">
        <v>9337</v>
      </c>
      <c r="D751" s="3">
        <v>9342</v>
      </c>
      <c r="E751" s="3">
        <v>9254</v>
      </c>
      <c r="F751" s="3">
        <v>9306</v>
      </c>
      <c r="G751" s="3">
        <v>123137</v>
      </c>
      <c r="H751" s="3">
        <v>1.0449999999999999</v>
      </c>
      <c r="I751" s="2">
        <f t="shared" si="165"/>
        <v>0</v>
      </c>
      <c r="J751" s="10">
        <f t="shared" si="167"/>
        <v>-3</v>
      </c>
      <c r="K751" s="10">
        <f t="shared" si="166"/>
        <v>-31</v>
      </c>
      <c r="L751" s="10">
        <f t="shared" ca="1" si="155"/>
        <v>-1</v>
      </c>
      <c r="M751" s="10">
        <f t="shared" ca="1" si="157"/>
        <v>0</v>
      </c>
      <c r="N751" s="30">
        <f t="shared" ca="1" si="158"/>
        <v>0</v>
      </c>
      <c r="O751" s="10">
        <f t="shared" ca="1" si="159"/>
        <v>0</v>
      </c>
      <c r="P751" s="29">
        <f t="shared" ca="1" si="160"/>
        <v>0</v>
      </c>
      <c r="Q751" s="12">
        <f t="shared" ca="1" si="161"/>
        <v>-342800</v>
      </c>
      <c r="R751" s="10">
        <f t="shared" ca="1" si="162"/>
        <v>0</v>
      </c>
      <c r="S751" s="10">
        <f t="shared" ca="1" si="168"/>
        <v>0.42947359123829715</v>
      </c>
      <c r="T751" s="14">
        <f t="shared" ca="1" si="169"/>
        <v>-6.9631238324134773E-2</v>
      </c>
      <c r="U751" s="12">
        <f t="shared" ca="1" si="163"/>
        <v>7900</v>
      </c>
      <c r="V751" s="14">
        <f t="shared" ca="1" si="164"/>
        <v>-4439.2405063291135</v>
      </c>
      <c r="W751" s="12">
        <f t="shared" ca="1" si="170"/>
        <v>-1774.6835443037974</v>
      </c>
      <c r="X751" s="7">
        <f ca="1">AVERAGE(E751:OFFSET(F751,-$X$5+1,0))</f>
        <v>9313</v>
      </c>
      <c r="Y751" s="7">
        <f ca="1">AVERAGE(E751:OFFSET(F751,-$Y$5+1,0))</f>
        <v>9329.85</v>
      </c>
      <c r="Z751" s="7">
        <f t="shared" ca="1" si="156"/>
        <v>-1</v>
      </c>
    </row>
    <row r="752" spans="1:26">
      <c r="A752" s="3" t="s">
        <v>60</v>
      </c>
      <c r="B752" s="4">
        <v>42755</v>
      </c>
      <c r="C752" s="3">
        <v>9283</v>
      </c>
      <c r="D752" s="3">
        <v>9338</v>
      </c>
      <c r="E752" s="3">
        <v>9278</v>
      </c>
      <c r="F752" s="3">
        <v>9330</v>
      </c>
      <c r="G752" s="3">
        <v>77047</v>
      </c>
      <c r="H752" s="3">
        <v>1.0449999999999999</v>
      </c>
      <c r="I752" s="2">
        <f t="shared" si="165"/>
        <v>0</v>
      </c>
      <c r="J752" s="10">
        <f t="shared" si="167"/>
        <v>-23</v>
      </c>
      <c r="K752" s="10">
        <f t="shared" si="166"/>
        <v>47</v>
      </c>
      <c r="L752" s="10">
        <f t="shared" ca="1" si="155"/>
        <v>0</v>
      </c>
      <c r="M752" s="10">
        <f t="shared" ca="1" si="157"/>
        <v>-1</v>
      </c>
      <c r="N752" s="30">
        <f t="shared" ca="1" si="158"/>
        <v>0</v>
      </c>
      <c r="O752" s="10">
        <f t="shared" ca="1" si="159"/>
        <v>1856600</v>
      </c>
      <c r="P752" s="29">
        <f t="shared" ca="1" si="160"/>
        <v>-9900</v>
      </c>
      <c r="Q752" s="12">
        <f t="shared" ca="1" si="161"/>
        <v>-352700</v>
      </c>
      <c r="R752" s="10">
        <f t="shared" ca="1" si="162"/>
        <v>-0.53323279112355915</v>
      </c>
      <c r="S752" s="10">
        <f t="shared" ca="1" si="168"/>
        <v>0.18768768768768768</v>
      </c>
      <c r="T752" s="14">
        <f t="shared" ca="1" si="169"/>
        <v>-9.4326771158806347E-2</v>
      </c>
      <c r="U752" s="12">
        <f t="shared" ca="1" si="163"/>
        <v>7900</v>
      </c>
      <c r="V752" s="14">
        <f t="shared" ca="1" si="164"/>
        <v>-4564.5569620253164</v>
      </c>
      <c r="W752" s="12">
        <f t="shared" ca="1" si="170"/>
        <v>-1774.6835443037974</v>
      </c>
      <c r="X752" s="7">
        <f ca="1">AVERAGE(E752:OFFSET(F752,-$X$5+1,0))</f>
        <v>9300.2999999999993</v>
      </c>
      <c r="Y752" s="7">
        <f ca="1">AVERAGE(E752:OFFSET(F752,-$Y$5+1,0))</f>
        <v>9325</v>
      </c>
      <c r="Z752" s="7">
        <f t="shared" ca="1" si="156"/>
        <v>0</v>
      </c>
    </row>
    <row r="753" spans="1:26">
      <c r="A753" s="3" t="s">
        <v>60</v>
      </c>
      <c r="B753" s="4">
        <v>42758</v>
      </c>
      <c r="C753" s="3">
        <v>9319</v>
      </c>
      <c r="D753" s="3">
        <v>9423</v>
      </c>
      <c r="E753" s="3">
        <v>9318</v>
      </c>
      <c r="F753" s="3">
        <v>9407</v>
      </c>
      <c r="G753" s="3">
        <v>99777</v>
      </c>
      <c r="H753" s="3">
        <v>1.0449999999999999</v>
      </c>
      <c r="I753" s="2">
        <f t="shared" si="165"/>
        <v>0</v>
      </c>
      <c r="J753" s="10">
        <f t="shared" si="167"/>
        <v>-11</v>
      </c>
      <c r="K753" s="10">
        <f t="shared" si="166"/>
        <v>88</v>
      </c>
      <c r="L753" s="10">
        <f t="shared" ca="1" si="155"/>
        <v>0</v>
      </c>
      <c r="M753" s="10">
        <f t="shared" ca="1" si="157"/>
        <v>-1</v>
      </c>
      <c r="N753" s="30">
        <f t="shared" ca="1" si="158"/>
        <v>0</v>
      </c>
      <c r="O753" s="10">
        <f t="shared" ca="1" si="159"/>
        <v>1856600</v>
      </c>
      <c r="P753" s="29">
        <f t="shared" ca="1" si="160"/>
        <v>-15400</v>
      </c>
      <c r="Q753" s="12">
        <f t="shared" ca="1" si="161"/>
        <v>-368100</v>
      </c>
      <c r="R753" s="10">
        <f t="shared" ca="1" si="162"/>
        <v>-0.82947323063664768</v>
      </c>
      <c r="S753" s="10">
        <f t="shared" ca="1" si="168"/>
        <v>-1.7664723547076489E-2</v>
      </c>
      <c r="T753" s="14">
        <f t="shared" ca="1" si="169"/>
        <v>-0.11499475091060278</v>
      </c>
      <c r="U753" s="12">
        <f t="shared" ca="1" si="163"/>
        <v>7900</v>
      </c>
      <c r="V753" s="14">
        <f t="shared" ca="1" si="164"/>
        <v>-4759.493670886076</v>
      </c>
      <c r="W753" s="12">
        <f t="shared" ca="1" si="170"/>
        <v>-1774.6835443037974</v>
      </c>
      <c r="X753" s="7">
        <f ca="1">AVERAGE(E753:OFFSET(F753,-$X$5+1,0))</f>
        <v>9316.7999999999993</v>
      </c>
      <c r="Y753" s="7">
        <f ca="1">AVERAGE(E753:OFFSET(F753,-$Y$5+1,0))</f>
        <v>9327.7999999999993</v>
      </c>
      <c r="Z753" s="7">
        <f t="shared" ca="1" si="156"/>
        <v>0</v>
      </c>
    </row>
    <row r="754" spans="1:26">
      <c r="A754" s="3" t="s">
        <v>60</v>
      </c>
      <c r="B754" s="4">
        <v>42759</v>
      </c>
      <c r="C754" s="3">
        <v>9423</v>
      </c>
      <c r="D754" s="3">
        <v>9464</v>
      </c>
      <c r="E754" s="3">
        <v>9405</v>
      </c>
      <c r="F754" s="3">
        <v>9446</v>
      </c>
      <c r="G754" s="3">
        <v>78935</v>
      </c>
      <c r="H754" s="3">
        <v>1.0449999999999999</v>
      </c>
      <c r="I754" s="2">
        <f t="shared" si="165"/>
        <v>0</v>
      </c>
      <c r="J754" s="10">
        <f t="shared" si="167"/>
        <v>16</v>
      </c>
      <c r="K754" s="10">
        <f t="shared" si="166"/>
        <v>23</v>
      </c>
      <c r="L754" s="10">
        <f t="shared" ca="1" si="155"/>
        <v>1</v>
      </c>
      <c r="M754" s="10">
        <f t="shared" ca="1" si="157"/>
        <v>-1</v>
      </c>
      <c r="N754" s="30">
        <f t="shared" ca="1" si="158"/>
        <v>0</v>
      </c>
      <c r="O754" s="10">
        <f t="shared" ca="1" si="159"/>
        <v>1856600</v>
      </c>
      <c r="P754" s="29">
        <f t="shared" ca="1" si="160"/>
        <v>-7800</v>
      </c>
      <c r="Q754" s="12">
        <f t="shared" ca="1" si="161"/>
        <v>-375900</v>
      </c>
      <c r="R754" s="10">
        <f t="shared" ca="1" si="162"/>
        <v>-0.42012280512765271</v>
      </c>
      <c r="S754" s="10">
        <f t="shared" ca="1" si="168"/>
        <v>-0.5409821586292175</v>
      </c>
      <c r="T754" s="14">
        <f t="shared" ca="1" si="169"/>
        <v>-0.16843996528279226</v>
      </c>
      <c r="U754" s="12">
        <f t="shared" ca="1" si="163"/>
        <v>7900</v>
      </c>
      <c r="V754" s="14">
        <f t="shared" ca="1" si="164"/>
        <v>-4858.2278481012654</v>
      </c>
      <c r="W754" s="12">
        <f t="shared" ca="1" si="170"/>
        <v>-1774.6835443037974</v>
      </c>
      <c r="X754" s="7">
        <f ca="1">AVERAGE(E754:OFFSET(F754,-$X$5+1,0))</f>
        <v>9339.7999999999993</v>
      </c>
      <c r="Y754" s="7">
        <f ca="1">AVERAGE(E754:OFFSET(F754,-$Y$5+1,0))</f>
        <v>9337.25</v>
      </c>
      <c r="Z754" s="7">
        <f t="shared" ca="1" si="156"/>
        <v>1</v>
      </c>
    </row>
    <row r="755" spans="1:26">
      <c r="A755" s="3" t="s">
        <v>60</v>
      </c>
      <c r="B755" s="4">
        <v>42768</v>
      </c>
      <c r="C755" s="3">
        <v>9500</v>
      </c>
      <c r="D755" s="3">
        <v>9510</v>
      </c>
      <c r="E755" s="3">
        <v>9373</v>
      </c>
      <c r="F755" s="3">
        <v>9375</v>
      </c>
      <c r="G755" s="3">
        <v>138242</v>
      </c>
      <c r="H755" s="3">
        <v>1.0449999999999999</v>
      </c>
      <c r="I755" s="2">
        <f t="shared" si="165"/>
        <v>0</v>
      </c>
      <c r="J755" s="10">
        <f t="shared" si="167"/>
        <v>54</v>
      </c>
      <c r="K755" s="10">
        <f t="shared" si="166"/>
        <v>-125</v>
      </c>
      <c r="L755" s="10">
        <f t="shared" ca="1" si="155"/>
        <v>0</v>
      </c>
      <c r="M755" s="10">
        <f t="shared" ca="1" si="157"/>
        <v>0</v>
      </c>
      <c r="N755" s="30">
        <f t="shared" ca="1" si="158"/>
        <v>0</v>
      </c>
      <c r="O755" s="10">
        <f t="shared" ca="1" si="159"/>
        <v>0</v>
      </c>
      <c r="P755" s="29">
        <f t="shared" ca="1" si="160"/>
        <v>-11300</v>
      </c>
      <c r="Q755" s="12">
        <f t="shared" ca="1" si="161"/>
        <v>-387200</v>
      </c>
      <c r="R755" s="10">
        <f t="shared" ca="1" si="162"/>
        <v>-0.60863944845416351</v>
      </c>
      <c r="S755" s="10">
        <f t="shared" ca="1" si="168"/>
        <v>-0.90862921745274683</v>
      </c>
      <c r="T755" s="14">
        <f t="shared" ca="1" si="169"/>
        <v>-0.20567499357806907</v>
      </c>
      <c r="U755" s="12">
        <f t="shared" ca="1" si="163"/>
        <v>7900</v>
      </c>
      <c r="V755" s="14">
        <f t="shared" ca="1" si="164"/>
        <v>-5001.2658227848106</v>
      </c>
      <c r="W755" s="12">
        <f t="shared" ca="1" si="170"/>
        <v>-1774.6835443037974</v>
      </c>
      <c r="X755" s="7">
        <f ca="1">AVERAGE(E755:OFFSET(F755,-$X$5+1,0))</f>
        <v>9349.2000000000007</v>
      </c>
      <c r="Y755" s="7">
        <f ca="1">AVERAGE(E755:OFFSET(F755,-$Y$5+1,0))</f>
        <v>9341.1</v>
      </c>
      <c r="Z755" s="7">
        <f t="shared" ca="1" si="156"/>
        <v>0</v>
      </c>
    </row>
    <row r="756" spans="1:26">
      <c r="A756" s="3" t="s">
        <v>60</v>
      </c>
      <c r="B756" s="4">
        <v>42769</v>
      </c>
      <c r="C756" s="3">
        <v>9418</v>
      </c>
      <c r="D756" s="3">
        <v>9458</v>
      </c>
      <c r="E756" s="3">
        <v>9408</v>
      </c>
      <c r="F756" s="3">
        <v>9439</v>
      </c>
      <c r="G756" s="3">
        <v>95766</v>
      </c>
      <c r="H756" s="3">
        <v>1.0449999999999999</v>
      </c>
      <c r="I756" s="2">
        <f t="shared" si="165"/>
        <v>0</v>
      </c>
      <c r="J756" s="10">
        <f t="shared" si="167"/>
        <v>43</v>
      </c>
      <c r="K756" s="10">
        <f t="shared" si="166"/>
        <v>21</v>
      </c>
      <c r="L756" s="10">
        <f t="shared" ca="1" si="155"/>
        <v>0</v>
      </c>
      <c r="M756" s="10">
        <f t="shared" ca="1" si="157"/>
        <v>0</v>
      </c>
      <c r="N756" s="30">
        <f t="shared" ca="1" si="158"/>
        <v>0</v>
      </c>
      <c r="O756" s="10">
        <f t="shared" ca="1" si="159"/>
        <v>0</v>
      </c>
      <c r="P756" s="29">
        <f t="shared" ca="1" si="160"/>
        <v>0</v>
      </c>
      <c r="Q756" s="12">
        <f t="shared" ca="1" si="161"/>
        <v>-387200</v>
      </c>
      <c r="R756" s="10">
        <f t="shared" ca="1" si="162"/>
        <v>0</v>
      </c>
      <c r="S756" s="10">
        <f t="shared" ca="1" si="168"/>
        <v>-0.82251369016074893</v>
      </c>
      <c r="T756" s="14">
        <f t="shared" ca="1" si="169"/>
        <v>-0.19680479641636334</v>
      </c>
      <c r="U756" s="12">
        <f t="shared" ca="1" si="163"/>
        <v>7900</v>
      </c>
      <c r="V756" s="14">
        <f t="shared" ca="1" si="164"/>
        <v>-5001.2658227848106</v>
      </c>
      <c r="W756" s="12">
        <f t="shared" ca="1" si="170"/>
        <v>-1774.6835443037974</v>
      </c>
      <c r="X756" s="7">
        <f ca="1">AVERAGE(E756:OFFSET(F756,-$X$5+1,0))</f>
        <v>9377.9</v>
      </c>
      <c r="Y756" s="7">
        <f ca="1">AVERAGE(E756:OFFSET(F756,-$Y$5+1,0))</f>
        <v>9345.4500000000007</v>
      </c>
      <c r="Z756" s="7">
        <f t="shared" ca="1" si="156"/>
        <v>0</v>
      </c>
    </row>
    <row r="757" spans="1:26">
      <c r="A757" s="3" t="s">
        <v>60</v>
      </c>
      <c r="B757" s="4">
        <v>42772</v>
      </c>
      <c r="C757" s="3">
        <v>9477</v>
      </c>
      <c r="D757" s="3">
        <v>9533</v>
      </c>
      <c r="E757" s="3">
        <v>9441</v>
      </c>
      <c r="F757" s="3">
        <v>9505</v>
      </c>
      <c r="G757" s="3">
        <v>116954</v>
      </c>
      <c r="H757" s="3">
        <v>1.0449999999999999</v>
      </c>
      <c r="I757" s="2">
        <f t="shared" si="165"/>
        <v>0</v>
      </c>
      <c r="J757" s="10">
        <f t="shared" si="167"/>
        <v>38</v>
      </c>
      <c r="K757" s="10">
        <f t="shared" si="166"/>
        <v>28</v>
      </c>
      <c r="L757" s="10">
        <f t="shared" ca="1" si="155"/>
        <v>0</v>
      </c>
      <c r="M757" s="10">
        <f t="shared" ca="1" si="157"/>
        <v>0</v>
      </c>
      <c r="N757" s="30">
        <f t="shared" ca="1" si="158"/>
        <v>0</v>
      </c>
      <c r="O757" s="10">
        <f t="shared" ca="1" si="159"/>
        <v>0</v>
      </c>
      <c r="P757" s="29">
        <f t="shared" ca="1" si="160"/>
        <v>0</v>
      </c>
      <c r="Q757" s="12">
        <f t="shared" ca="1" si="161"/>
        <v>-387200</v>
      </c>
      <c r="R757" s="10">
        <f t="shared" ca="1" si="162"/>
        <v>0</v>
      </c>
      <c r="S757" s="10">
        <f t="shared" ca="1" si="168"/>
        <v>-0.78055997173644232</v>
      </c>
      <c r="T757" s="14">
        <f t="shared" ca="1" si="169"/>
        <v>-0.1924947169768452</v>
      </c>
      <c r="U757" s="12">
        <f t="shared" ca="1" si="163"/>
        <v>7900</v>
      </c>
      <c r="V757" s="14">
        <f t="shared" ca="1" si="164"/>
        <v>-5001.2658227848106</v>
      </c>
      <c r="W757" s="12">
        <f t="shared" ca="1" si="170"/>
        <v>-1774.6835443037974</v>
      </c>
      <c r="X757" s="7">
        <f ca="1">AVERAGE(E757:OFFSET(F757,-$X$5+1,0))</f>
        <v>9411.7000000000007</v>
      </c>
      <c r="Y757" s="7">
        <f ca="1">AVERAGE(E757:OFFSET(F757,-$Y$5+1,0))</f>
        <v>9356</v>
      </c>
      <c r="Z757" s="7">
        <f t="shared" ca="1" si="156"/>
        <v>0</v>
      </c>
    </row>
    <row r="758" spans="1:26">
      <c r="A758" s="3" t="s">
        <v>60</v>
      </c>
      <c r="B758" s="4">
        <v>42773</v>
      </c>
      <c r="C758" s="3">
        <v>9499</v>
      </c>
      <c r="D758" s="3">
        <v>9525</v>
      </c>
      <c r="E758" s="3">
        <v>9482</v>
      </c>
      <c r="F758" s="3">
        <v>9520</v>
      </c>
      <c r="G758" s="3">
        <v>71159</v>
      </c>
      <c r="H758" s="3">
        <v>1.0449999999999999</v>
      </c>
      <c r="I758" s="2">
        <f t="shared" si="165"/>
        <v>0</v>
      </c>
      <c r="J758" s="10">
        <f t="shared" si="167"/>
        <v>-6</v>
      </c>
      <c r="K758" s="10">
        <f t="shared" si="166"/>
        <v>21</v>
      </c>
      <c r="L758" s="10">
        <f t="shared" ca="1" si="155"/>
        <v>0</v>
      </c>
      <c r="M758" s="10">
        <f t="shared" ca="1" si="157"/>
        <v>0</v>
      </c>
      <c r="N758" s="30">
        <f t="shared" ca="1" si="158"/>
        <v>0</v>
      </c>
      <c r="O758" s="10">
        <f t="shared" ca="1" si="159"/>
        <v>0</v>
      </c>
      <c r="P758" s="29">
        <f t="shared" ca="1" si="160"/>
        <v>0</v>
      </c>
      <c r="Q758" s="12">
        <f t="shared" ca="1" si="161"/>
        <v>-387200</v>
      </c>
      <c r="R758" s="10">
        <f t="shared" ca="1" si="162"/>
        <v>0</v>
      </c>
      <c r="S758" s="10">
        <f t="shared" ca="1" si="168"/>
        <v>-0.62378555025613847</v>
      </c>
      <c r="T758" s="14">
        <f t="shared" ca="1" si="169"/>
        <v>-0.1764145802779048</v>
      </c>
      <c r="U758" s="12">
        <f t="shared" ca="1" si="163"/>
        <v>7900</v>
      </c>
      <c r="V758" s="14">
        <f t="shared" ca="1" si="164"/>
        <v>-5001.2658227848106</v>
      </c>
      <c r="W758" s="12">
        <f t="shared" ca="1" si="170"/>
        <v>-1774.6835443037974</v>
      </c>
      <c r="X758" s="7">
        <f ca="1">AVERAGE(E758:OFFSET(F758,-$X$5+1,0))</f>
        <v>9439.4</v>
      </c>
      <c r="Y758" s="7">
        <f ca="1">AVERAGE(E758:OFFSET(F758,-$Y$5+1,0))</f>
        <v>9378.1</v>
      </c>
      <c r="Z758" s="7">
        <f t="shared" ca="1" si="156"/>
        <v>0</v>
      </c>
    </row>
    <row r="759" spans="1:26">
      <c r="A759" s="3" t="s">
        <v>60</v>
      </c>
      <c r="B759" s="4">
        <v>42774</v>
      </c>
      <c r="C759" s="3">
        <v>9513</v>
      </c>
      <c r="D759" s="3">
        <v>9535</v>
      </c>
      <c r="E759" s="3">
        <v>9463</v>
      </c>
      <c r="F759" s="3">
        <v>9515</v>
      </c>
      <c r="G759" s="3">
        <v>114482</v>
      </c>
      <c r="H759" s="3">
        <v>1.0449999999999999</v>
      </c>
      <c r="I759" s="2">
        <f t="shared" si="165"/>
        <v>0</v>
      </c>
      <c r="J759" s="10">
        <f t="shared" si="167"/>
        <v>-7</v>
      </c>
      <c r="K759" s="10">
        <f t="shared" si="166"/>
        <v>2</v>
      </c>
      <c r="L759" s="10">
        <f t="shared" ca="1" si="155"/>
        <v>0</v>
      </c>
      <c r="M759" s="10">
        <f t="shared" ca="1" si="157"/>
        <v>0</v>
      </c>
      <c r="N759" s="30">
        <f t="shared" ca="1" si="158"/>
        <v>0</v>
      </c>
      <c r="O759" s="10">
        <f t="shared" ca="1" si="159"/>
        <v>0</v>
      </c>
      <c r="P759" s="29">
        <f t="shared" ca="1" si="160"/>
        <v>0</v>
      </c>
      <c r="Q759" s="12">
        <f t="shared" ca="1" si="161"/>
        <v>-387200</v>
      </c>
      <c r="R759" s="10">
        <f t="shared" ca="1" si="162"/>
        <v>0</v>
      </c>
      <c r="S759" s="10">
        <f t="shared" ca="1" si="168"/>
        <v>-0.6569069069069069</v>
      </c>
      <c r="T759" s="14">
        <f t="shared" ca="1" si="169"/>
        <v>-0.17983703726137504</v>
      </c>
      <c r="U759" s="12">
        <f t="shared" ca="1" si="163"/>
        <v>7900</v>
      </c>
      <c r="V759" s="14">
        <f t="shared" ca="1" si="164"/>
        <v>-5001.2658227848106</v>
      </c>
      <c r="W759" s="12">
        <f t="shared" ca="1" si="170"/>
        <v>-1774.6835443037974</v>
      </c>
      <c r="X759" s="7">
        <f ca="1">AVERAGE(E759:OFFSET(F759,-$X$5+1,0))</f>
        <v>9452.1</v>
      </c>
      <c r="Y759" s="7">
        <f ca="1">AVERAGE(E759:OFFSET(F759,-$Y$5+1,0))</f>
        <v>9395.9500000000007</v>
      </c>
      <c r="Z759" s="7">
        <f t="shared" ca="1" si="156"/>
        <v>0</v>
      </c>
    </row>
    <row r="760" spans="1:26">
      <c r="A760" s="3" t="s">
        <v>60</v>
      </c>
      <c r="B760" s="4">
        <v>42775</v>
      </c>
      <c r="C760" s="3">
        <v>9518</v>
      </c>
      <c r="D760" s="3">
        <v>9579</v>
      </c>
      <c r="E760" s="3">
        <v>9505</v>
      </c>
      <c r="F760" s="3">
        <v>9576</v>
      </c>
      <c r="G760" s="3">
        <v>110690</v>
      </c>
      <c r="H760" s="3">
        <v>1.0449999999999999</v>
      </c>
      <c r="I760" s="2">
        <f t="shared" si="165"/>
        <v>0</v>
      </c>
      <c r="J760" s="10">
        <f t="shared" si="167"/>
        <v>3</v>
      </c>
      <c r="K760" s="10">
        <f t="shared" si="166"/>
        <v>58</v>
      </c>
      <c r="L760" s="10">
        <f t="shared" ca="1" si="155"/>
        <v>0</v>
      </c>
      <c r="M760" s="10">
        <f t="shared" ca="1" si="157"/>
        <v>0</v>
      </c>
      <c r="N760" s="30">
        <f t="shared" ca="1" si="158"/>
        <v>0</v>
      </c>
      <c r="O760" s="10">
        <f t="shared" ca="1" si="159"/>
        <v>0</v>
      </c>
      <c r="P760" s="29">
        <f t="shared" ca="1" si="160"/>
        <v>0</v>
      </c>
      <c r="Q760" s="12">
        <f t="shared" ca="1" si="161"/>
        <v>-387200</v>
      </c>
      <c r="R760" s="10">
        <f t="shared" ca="1" si="162"/>
        <v>0</v>
      </c>
      <c r="S760" s="10">
        <f t="shared" ca="1" si="168"/>
        <v>-1.0013690160748985</v>
      </c>
      <c r="T760" s="14">
        <f t="shared" ca="1" si="169"/>
        <v>-0.21557323734286701</v>
      </c>
      <c r="U760" s="12">
        <f t="shared" ca="1" si="163"/>
        <v>7900</v>
      </c>
      <c r="V760" s="14">
        <f t="shared" ca="1" si="164"/>
        <v>-5001.2658227848106</v>
      </c>
      <c r="W760" s="12">
        <f t="shared" ca="1" si="170"/>
        <v>-1774.6835443037974</v>
      </c>
      <c r="X760" s="7">
        <f ca="1">AVERAGE(E760:OFFSET(F760,-$X$5+1,0))</f>
        <v>9485.4</v>
      </c>
      <c r="Y760" s="7">
        <f ca="1">AVERAGE(E760:OFFSET(F760,-$Y$5+1,0))</f>
        <v>9417.2999999999993</v>
      </c>
      <c r="Z760" s="7">
        <f t="shared" ca="1" si="156"/>
        <v>0</v>
      </c>
    </row>
    <row r="761" spans="1:26">
      <c r="A761" s="3" t="s">
        <v>60</v>
      </c>
      <c r="B761" s="4">
        <v>42776</v>
      </c>
      <c r="C761" s="3">
        <v>9600</v>
      </c>
      <c r="D761" s="3">
        <v>9681</v>
      </c>
      <c r="E761" s="3">
        <v>9586</v>
      </c>
      <c r="F761" s="3">
        <v>9658</v>
      </c>
      <c r="G761" s="3">
        <v>136883</v>
      </c>
      <c r="H761" s="3">
        <v>1.0449999999999999</v>
      </c>
      <c r="I761" s="2">
        <f t="shared" si="165"/>
        <v>0</v>
      </c>
      <c r="J761" s="10">
        <f t="shared" si="167"/>
        <v>24</v>
      </c>
      <c r="K761" s="10">
        <f t="shared" si="166"/>
        <v>58</v>
      </c>
      <c r="L761" s="10">
        <f t="shared" ca="1" si="155"/>
        <v>0</v>
      </c>
      <c r="M761" s="10">
        <f t="shared" ca="1" si="157"/>
        <v>0</v>
      </c>
      <c r="N761" s="30">
        <f t="shared" ca="1" si="158"/>
        <v>0</v>
      </c>
      <c r="O761" s="10">
        <f t="shared" ca="1" si="159"/>
        <v>0</v>
      </c>
      <c r="P761" s="29">
        <f t="shared" ca="1" si="160"/>
        <v>0</v>
      </c>
      <c r="Q761" s="12">
        <f t="shared" ca="1" si="161"/>
        <v>-387200</v>
      </c>
      <c r="R761" s="10">
        <f t="shared" ca="1" si="162"/>
        <v>0</v>
      </c>
      <c r="S761" s="10">
        <f t="shared" ca="1" si="168"/>
        <v>-1.0554672319378202</v>
      </c>
      <c r="T761" s="14">
        <f t="shared" ca="1" si="169"/>
        <v>-0.22112113305808931</v>
      </c>
      <c r="U761" s="12">
        <f t="shared" ca="1" si="163"/>
        <v>7900</v>
      </c>
      <c r="V761" s="14">
        <f t="shared" ca="1" si="164"/>
        <v>-5001.2658227848106</v>
      </c>
      <c r="W761" s="12">
        <f t="shared" ca="1" si="170"/>
        <v>-1774.6835443037974</v>
      </c>
      <c r="X761" s="7">
        <f ca="1">AVERAGE(E761:OFFSET(F761,-$X$5+1,0))</f>
        <v>9525.1</v>
      </c>
      <c r="Y761" s="7">
        <f ca="1">AVERAGE(E761:OFFSET(F761,-$Y$5+1,0))</f>
        <v>9451.5</v>
      </c>
      <c r="Z761" s="7">
        <f t="shared" ca="1" si="156"/>
        <v>0</v>
      </c>
    </row>
    <row r="762" spans="1:26">
      <c r="A762" s="3" t="s">
        <v>60</v>
      </c>
      <c r="B762" s="4">
        <v>42779</v>
      </c>
      <c r="C762" s="3">
        <v>9670</v>
      </c>
      <c r="D762" s="3">
        <v>9705</v>
      </c>
      <c r="E762" s="3">
        <v>9661</v>
      </c>
      <c r="F762" s="3">
        <v>9705</v>
      </c>
      <c r="G762" s="3">
        <v>118488</v>
      </c>
      <c r="H762" s="3">
        <v>1.0449999999999999</v>
      </c>
      <c r="I762" s="2">
        <f t="shared" si="165"/>
        <v>0</v>
      </c>
      <c r="J762" s="10">
        <f t="shared" si="167"/>
        <v>12</v>
      </c>
      <c r="K762" s="10">
        <f t="shared" si="166"/>
        <v>35</v>
      </c>
      <c r="L762" s="10">
        <f t="shared" ca="1" si="155"/>
        <v>0</v>
      </c>
      <c r="M762" s="10">
        <f t="shared" ca="1" si="157"/>
        <v>0</v>
      </c>
      <c r="N762" s="30">
        <f t="shared" ca="1" si="158"/>
        <v>0</v>
      </c>
      <c r="O762" s="10">
        <f t="shared" ca="1" si="159"/>
        <v>0</v>
      </c>
      <c r="P762" s="29">
        <f t="shared" ca="1" si="160"/>
        <v>0</v>
      </c>
      <c r="Q762" s="12">
        <f t="shared" ca="1" si="161"/>
        <v>-387200</v>
      </c>
      <c r="R762" s="10">
        <f t="shared" ca="1" si="162"/>
        <v>0</v>
      </c>
      <c r="S762" s="10">
        <f t="shared" ca="1" si="168"/>
        <v>-1.0554672319378202</v>
      </c>
      <c r="T762" s="14">
        <f t="shared" ca="1" si="169"/>
        <v>-0.22177626138767534</v>
      </c>
      <c r="U762" s="12">
        <f t="shared" ca="1" si="163"/>
        <v>7900</v>
      </c>
      <c r="V762" s="14">
        <f t="shared" ca="1" si="164"/>
        <v>-5001.2658227848106</v>
      </c>
      <c r="W762" s="12">
        <f t="shared" ca="1" si="170"/>
        <v>-1774.6835443037974</v>
      </c>
      <c r="X762" s="7">
        <f ca="1">AVERAGE(E762:OFFSET(F762,-$X$5+1,0))</f>
        <v>9567.1</v>
      </c>
      <c r="Y762" s="7">
        <f ca="1">AVERAGE(E762:OFFSET(F762,-$Y$5+1,0))</f>
        <v>9489.4</v>
      </c>
      <c r="Z762" s="7">
        <f t="shared" ca="1" si="156"/>
        <v>0</v>
      </c>
    </row>
    <row r="763" spans="1:26">
      <c r="A763" s="3" t="s">
        <v>60</v>
      </c>
      <c r="B763" s="4">
        <v>42780</v>
      </c>
      <c r="C763" s="3">
        <v>9729</v>
      </c>
      <c r="D763" s="3">
        <v>9758</v>
      </c>
      <c r="E763" s="3">
        <v>9695</v>
      </c>
      <c r="F763" s="3">
        <v>9710</v>
      </c>
      <c r="G763" s="3">
        <v>148146</v>
      </c>
      <c r="H763" s="3">
        <v>1.0449999999999999</v>
      </c>
      <c r="I763" s="2">
        <f t="shared" si="165"/>
        <v>0</v>
      </c>
      <c r="J763" s="10">
        <f t="shared" si="167"/>
        <v>24</v>
      </c>
      <c r="K763" s="10">
        <f t="shared" si="166"/>
        <v>-19</v>
      </c>
      <c r="L763" s="10">
        <f t="shared" ca="1" si="155"/>
        <v>0</v>
      </c>
      <c r="M763" s="10">
        <f t="shared" ca="1" si="157"/>
        <v>0</v>
      </c>
      <c r="N763" s="30">
        <f t="shared" ca="1" si="158"/>
        <v>0</v>
      </c>
      <c r="O763" s="10">
        <f t="shared" ca="1" si="159"/>
        <v>0</v>
      </c>
      <c r="P763" s="29">
        <f t="shared" ca="1" si="160"/>
        <v>0</v>
      </c>
      <c r="Q763" s="12">
        <f t="shared" ca="1" si="161"/>
        <v>-387200</v>
      </c>
      <c r="R763" s="10">
        <f t="shared" ca="1" si="162"/>
        <v>0</v>
      </c>
      <c r="S763" s="10">
        <f t="shared" ca="1" si="168"/>
        <v>-1.0554672319378202</v>
      </c>
      <c r="T763" s="14">
        <f t="shared" ca="1" si="169"/>
        <v>-0.2218237062506373</v>
      </c>
      <c r="U763" s="12">
        <f t="shared" ca="1" si="163"/>
        <v>7900</v>
      </c>
      <c r="V763" s="14">
        <f t="shared" ca="1" si="164"/>
        <v>-5001.2658227848106</v>
      </c>
      <c r="W763" s="12">
        <f t="shared" ca="1" si="170"/>
        <v>-1774.6835443037974</v>
      </c>
      <c r="X763" s="7">
        <f ca="1">AVERAGE(E763:OFFSET(F763,-$X$5+1,0))</f>
        <v>9607.4</v>
      </c>
      <c r="Y763" s="7">
        <f ca="1">AVERAGE(E763:OFFSET(F763,-$Y$5+1,0))</f>
        <v>9523.4</v>
      </c>
      <c r="Z763" s="7">
        <f t="shared" ca="1" si="156"/>
        <v>0</v>
      </c>
    </row>
    <row r="764" spans="1:26">
      <c r="A764" s="3" t="s">
        <v>60</v>
      </c>
      <c r="B764" s="4">
        <v>42781</v>
      </c>
      <c r="C764" s="3">
        <v>9726</v>
      </c>
      <c r="D764" s="3">
        <v>9801</v>
      </c>
      <c r="E764" s="3">
        <v>9722</v>
      </c>
      <c r="F764" s="3">
        <v>9800</v>
      </c>
      <c r="G764" s="3">
        <v>68161</v>
      </c>
      <c r="H764" s="3">
        <v>1.0449999999999999</v>
      </c>
      <c r="I764" s="2">
        <f t="shared" si="165"/>
        <v>1</v>
      </c>
      <c r="J764" s="10">
        <f t="shared" si="167"/>
        <v>16</v>
      </c>
      <c r="K764" s="10">
        <f t="shared" si="166"/>
        <v>74</v>
      </c>
      <c r="L764" s="10">
        <f t="shared" ca="1" si="155"/>
        <v>0</v>
      </c>
      <c r="M764" s="10">
        <f t="shared" si="157"/>
        <v>0</v>
      </c>
      <c r="N764" s="30">
        <f t="shared" si="158"/>
        <v>0</v>
      </c>
      <c r="O764" s="10">
        <f t="shared" si="159"/>
        <v>0</v>
      </c>
      <c r="P764" s="29">
        <f t="shared" ca="1" si="160"/>
        <v>0</v>
      </c>
      <c r="Q764" s="12">
        <f t="shared" ca="1" si="161"/>
        <v>-387200</v>
      </c>
      <c r="R764" s="10">
        <f t="shared" ca="1" si="162"/>
        <v>0</v>
      </c>
      <c r="S764" s="10">
        <f t="shared" ca="1" si="168"/>
        <v>-1.0554672319378202</v>
      </c>
      <c r="T764" s="14">
        <f t="shared" ca="1" si="169"/>
        <v>-0.22178641684388123</v>
      </c>
      <c r="U764" s="12">
        <f t="shared" ca="1" si="163"/>
        <v>7900</v>
      </c>
      <c r="V764" s="14">
        <f t="shared" ca="1" si="164"/>
        <v>-5001.2658227848106</v>
      </c>
      <c r="W764" s="12">
        <f t="shared" ca="1" si="170"/>
        <v>-1774.6835443037974</v>
      </c>
      <c r="X764" s="7">
        <f ca="1">AVERAGE(E764:OFFSET(F764,-$X$5+1,0))</f>
        <v>9661.7999999999993</v>
      </c>
      <c r="Y764" s="7">
        <f ca="1">AVERAGE(E764:OFFSET(F764,-$Y$5+1,0))</f>
        <v>9556.9500000000007</v>
      </c>
      <c r="Z764" s="7">
        <f t="shared" ca="1" si="156"/>
        <v>0</v>
      </c>
    </row>
    <row r="765" spans="1:26">
      <c r="A765" s="3" t="s">
        <v>61</v>
      </c>
      <c r="B765" s="4">
        <v>42782</v>
      </c>
      <c r="C765" s="3">
        <v>9819</v>
      </c>
      <c r="D765" s="3">
        <v>9852</v>
      </c>
      <c r="E765" s="3">
        <v>9758</v>
      </c>
      <c r="F765" s="3">
        <v>9772</v>
      </c>
      <c r="G765" s="3">
        <v>136500</v>
      </c>
      <c r="H765" s="3">
        <v>1.0449999999999999</v>
      </c>
      <c r="I765" s="2">
        <f t="shared" si="165"/>
        <v>0</v>
      </c>
      <c r="J765" s="10">
        <f t="shared" si="167"/>
        <v>19</v>
      </c>
      <c r="K765" s="10">
        <f t="shared" si="166"/>
        <v>-47</v>
      </c>
      <c r="L765" s="10">
        <f t="shared" ref="L765:L828" ca="1" si="171">Z765</f>
        <v>0</v>
      </c>
      <c r="M765" s="10">
        <f t="shared" ca="1" si="157"/>
        <v>0</v>
      </c>
      <c r="N765" s="30">
        <f t="shared" ca="1" si="158"/>
        <v>0</v>
      </c>
      <c r="O765" s="10">
        <f t="shared" ca="1" si="159"/>
        <v>0</v>
      </c>
      <c r="P765" s="29">
        <f t="shared" ca="1" si="160"/>
        <v>0</v>
      </c>
      <c r="Q765" s="12">
        <f t="shared" ca="1" si="161"/>
        <v>-387200</v>
      </c>
      <c r="R765" s="10">
        <f t="shared" ca="1" si="162"/>
        <v>0</v>
      </c>
      <c r="S765" s="10">
        <f t="shared" ca="1" si="168"/>
        <v>-1.0554672319378202</v>
      </c>
      <c r="T765" s="14">
        <f t="shared" ca="1" si="169"/>
        <v>-0.22795312300590484</v>
      </c>
      <c r="U765" s="12">
        <f t="shared" ca="1" si="163"/>
        <v>7900</v>
      </c>
      <c r="V765" s="14">
        <f t="shared" ca="1" si="164"/>
        <v>-5001.2658227848106</v>
      </c>
      <c r="W765" s="12">
        <f t="shared" ca="1" si="170"/>
        <v>-1774.6835443037974</v>
      </c>
      <c r="X765" s="7">
        <f ca="1">AVERAGE(E765:OFFSET(F765,-$X$5+1,0))</f>
        <v>9706.7000000000007</v>
      </c>
      <c r="Y765" s="7">
        <f ca="1">AVERAGE(E765:OFFSET(F765,-$Y$5+1,0))</f>
        <v>9596.0499999999993</v>
      </c>
      <c r="Z765" s="7">
        <f t="shared" ref="Z765:Z828" ca="1" si="172">IF(AND(X764&lt;=Y764,X765&gt;Y765),1,IF(AND(X764&gt;Y764,X765&lt;=Y765),-1,0))</f>
        <v>0</v>
      </c>
    </row>
    <row r="766" spans="1:26">
      <c r="A766" s="3" t="s">
        <v>61</v>
      </c>
      <c r="B766" s="4">
        <v>42783</v>
      </c>
      <c r="C766" s="3">
        <v>9760</v>
      </c>
      <c r="D766" s="3">
        <v>9786</v>
      </c>
      <c r="E766" s="3">
        <v>9747</v>
      </c>
      <c r="F766" s="3">
        <v>9762</v>
      </c>
      <c r="G766" s="3">
        <v>77496</v>
      </c>
      <c r="H766" s="3">
        <v>1.0449999999999999</v>
      </c>
      <c r="I766" s="2">
        <f t="shared" si="165"/>
        <v>0</v>
      </c>
      <c r="J766" s="10">
        <f t="shared" si="167"/>
        <v>-12</v>
      </c>
      <c r="K766" s="10">
        <f t="shared" si="166"/>
        <v>2</v>
      </c>
      <c r="L766" s="10">
        <f t="shared" ca="1" si="171"/>
        <v>0</v>
      </c>
      <c r="M766" s="10">
        <f t="shared" ref="M766:M829" ca="1" si="173">IF(I766=1,0,IF(M765+L765&gt;=$M$5,$M$5,IF(M765+L765&lt;=$M$7,$M$7,M765+L765)))</f>
        <v>0</v>
      </c>
      <c r="N766" s="30">
        <f t="shared" ref="N766:N829" ca="1" si="174">IF(M766=0,0,IF(M766&gt;M765,(C766+N765*M765)*$S$5,0))</f>
        <v>0</v>
      </c>
      <c r="O766" s="10">
        <f t="shared" ref="O766:O829" ca="1" si="175">IF(M766=0,0,IF(M766=M765,O765,((M766-M765)*C766+N765*M765)*$S$5/M766))</f>
        <v>0</v>
      </c>
      <c r="P766" s="29">
        <f t="shared" ref="P766:P829" ca="1" si="176">IF(M765=M766,(M765*J766+M766*K766)*$S$5,(M765*J766+M766*K766)*$S$5-$S$6)</f>
        <v>0</v>
      </c>
      <c r="Q766" s="12">
        <f t="shared" ref="Q766:Q829" ca="1" si="177">P766+Q765</f>
        <v>-387200</v>
      </c>
      <c r="R766" s="10">
        <f t="shared" ref="R766:R829" ca="1" si="178">IF(P766=0,0,IF(O766=0,100*P766/O765,100*P766/O766))</f>
        <v>0</v>
      </c>
      <c r="S766" s="10">
        <f t="shared" ca="1" si="168"/>
        <v>-1.0554672319378202</v>
      </c>
      <c r="T766" s="14">
        <f t="shared" ca="1" si="169"/>
        <v>-0.22796603098638904</v>
      </c>
      <c r="U766" s="12">
        <f t="shared" ref="U766:U829" ca="1" si="179">IF(Q766&gt;U765,Q766,U765)</f>
        <v>7900</v>
      </c>
      <c r="V766" s="14">
        <f t="shared" ref="V766:V829" ca="1" si="180">IF(U766=0,0,100*(Q766-U766)/U766)</f>
        <v>-5001.2658227848106</v>
      </c>
      <c r="W766" s="12">
        <f t="shared" ca="1" si="170"/>
        <v>-1774.6835443037974</v>
      </c>
      <c r="X766" s="7">
        <f ca="1">AVERAGE(E766:OFFSET(F766,-$X$5+1,0))</f>
        <v>9733.2000000000007</v>
      </c>
      <c r="Y766" s="7">
        <f ca="1">AVERAGE(E766:OFFSET(F766,-$Y$5+1,0))</f>
        <v>9629.15</v>
      </c>
      <c r="Z766" s="7">
        <f t="shared" ca="1" si="172"/>
        <v>0</v>
      </c>
    </row>
    <row r="767" spans="1:26">
      <c r="A767" s="3" t="s">
        <v>61</v>
      </c>
      <c r="B767" s="4">
        <v>42784</v>
      </c>
      <c r="C767" s="3">
        <v>9778</v>
      </c>
      <c r="D767" s="3">
        <v>9789</v>
      </c>
      <c r="E767" s="3">
        <v>9772</v>
      </c>
      <c r="F767" s="3">
        <v>9788</v>
      </c>
      <c r="G767" s="3">
        <v>23312</v>
      </c>
      <c r="H767" s="3">
        <v>1.0449999999999999</v>
      </c>
      <c r="I767" s="2">
        <f t="shared" si="165"/>
        <v>0</v>
      </c>
      <c r="J767" s="10">
        <f t="shared" si="167"/>
        <v>16</v>
      </c>
      <c r="K767" s="10">
        <f t="shared" si="166"/>
        <v>10</v>
      </c>
      <c r="L767" s="10">
        <f t="shared" ca="1" si="171"/>
        <v>0</v>
      </c>
      <c r="M767" s="10">
        <f t="shared" ca="1" si="173"/>
        <v>0</v>
      </c>
      <c r="N767" s="30">
        <f t="shared" ca="1" si="174"/>
        <v>0</v>
      </c>
      <c r="O767" s="10">
        <f t="shared" ca="1" si="175"/>
        <v>0</v>
      </c>
      <c r="P767" s="29">
        <f t="shared" ca="1" si="176"/>
        <v>0</v>
      </c>
      <c r="Q767" s="12">
        <f t="shared" ca="1" si="177"/>
        <v>-387200</v>
      </c>
      <c r="R767" s="10">
        <f t="shared" ca="1" si="178"/>
        <v>0</v>
      </c>
      <c r="S767" s="10">
        <f t="shared" ca="1" si="168"/>
        <v>-1.0554672319378202</v>
      </c>
      <c r="T767" s="14">
        <f t="shared" ca="1" si="169"/>
        <v>-0.22790322244092731</v>
      </c>
      <c r="U767" s="12">
        <f t="shared" ca="1" si="179"/>
        <v>7900</v>
      </c>
      <c r="V767" s="14">
        <f t="shared" ca="1" si="180"/>
        <v>-5001.2658227848106</v>
      </c>
      <c r="W767" s="12">
        <f t="shared" ca="1" si="170"/>
        <v>-1774.6835443037974</v>
      </c>
      <c r="X767" s="7">
        <f ca="1">AVERAGE(E767:OFFSET(F767,-$X$5+1,0))</f>
        <v>9752.6</v>
      </c>
      <c r="Y767" s="7">
        <f ca="1">AVERAGE(E767:OFFSET(F767,-$Y$5+1,0))</f>
        <v>9659.85</v>
      </c>
      <c r="Z767" s="7">
        <f t="shared" ca="1" si="172"/>
        <v>0</v>
      </c>
    </row>
    <row r="768" spans="1:26">
      <c r="A768" s="3" t="s">
        <v>61</v>
      </c>
      <c r="B768" s="4">
        <v>42786</v>
      </c>
      <c r="C768" s="3">
        <v>9786</v>
      </c>
      <c r="D768" s="3">
        <v>9814</v>
      </c>
      <c r="E768" s="3">
        <v>9737</v>
      </c>
      <c r="F768" s="3">
        <v>9766</v>
      </c>
      <c r="G768" s="3">
        <v>101368</v>
      </c>
      <c r="H768" s="3">
        <v>1.0449999999999999</v>
      </c>
      <c r="I768" s="2">
        <f t="shared" si="165"/>
        <v>0</v>
      </c>
      <c r="J768" s="10">
        <f t="shared" si="167"/>
        <v>-2</v>
      </c>
      <c r="K768" s="10">
        <f t="shared" si="166"/>
        <v>-20</v>
      </c>
      <c r="L768" s="10">
        <f t="shared" ca="1" si="171"/>
        <v>0</v>
      </c>
      <c r="M768" s="10">
        <f t="shared" ca="1" si="173"/>
        <v>0</v>
      </c>
      <c r="N768" s="30">
        <f t="shared" ca="1" si="174"/>
        <v>0</v>
      </c>
      <c r="O768" s="10">
        <f t="shared" ca="1" si="175"/>
        <v>0</v>
      </c>
      <c r="P768" s="29">
        <f t="shared" ca="1" si="176"/>
        <v>0</v>
      </c>
      <c r="Q768" s="12">
        <f t="shared" ca="1" si="177"/>
        <v>-387200</v>
      </c>
      <c r="R768" s="10">
        <f t="shared" ca="1" si="178"/>
        <v>0</v>
      </c>
      <c r="S768" s="10">
        <f t="shared" ca="1" si="168"/>
        <v>-1.0554672319378202</v>
      </c>
      <c r="T768" s="14">
        <f t="shared" ca="1" si="169"/>
        <v>-0.22784041389546567</v>
      </c>
      <c r="U768" s="12">
        <f t="shared" ca="1" si="179"/>
        <v>7900</v>
      </c>
      <c r="V768" s="14">
        <f t="shared" ca="1" si="180"/>
        <v>-5001.2658227848106</v>
      </c>
      <c r="W768" s="12">
        <f t="shared" ca="1" si="170"/>
        <v>-1774.6835443037974</v>
      </c>
      <c r="X768" s="7">
        <f ca="1">AVERAGE(E768:OFFSET(F768,-$X$5+1,0))</f>
        <v>9762.4</v>
      </c>
      <c r="Y768" s="7">
        <f ca="1">AVERAGE(E768:OFFSET(F768,-$Y$5+1,0))</f>
        <v>9684.9</v>
      </c>
      <c r="Z768" s="7">
        <f t="shared" ca="1" si="172"/>
        <v>0</v>
      </c>
    </row>
    <row r="769" spans="1:26">
      <c r="A769" s="3" t="s">
        <v>61</v>
      </c>
      <c r="B769" s="4">
        <v>42787</v>
      </c>
      <c r="C769" s="3">
        <v>9777</v>
      </c>
      <c r="D769" s="3">
        <v>9785</v>
      </c>
      <c r="E769" s="3">
        <v>9728</v>
      </c>
      <c r="F769" s="3">
        <v>9766</v>
      </c>
      <c r="G769" s="3">
        <v>99916</v>
      </c>
      <c r="H769" s="3">
        <v>1.0449999999999999</v>
      </c>
      <c r="I769" s="2">
        <f t="shared" si="165"/>
        <v>0</v>
      </c>
      <c r="J769" s="10">
        <f t="shared" si="167"/>
        <v>11</v>
      </c>
      <c r="K769" s="10">
        <f t="shared" si="166"/>
        <v>-11</v>
      </c>
      <c r="L769" s="10">
        <f t="shared" ca="1" si="171"/>
        <v>0</v>
      </c>
      <c r="M769" s="10">
        <f t="shared" ca="1" si="173"/>
        <v>0</v>
      </c>
      <c r="N769" s="30">
        <f t="shared" ca="1" si="174"/>
        <v>0</v>
      </c>
      <c r="O769" s="10">
        <f t="shared" ca="1" si="175"/>
        <v>0</v>
      </c>
      <c r="P769" s="29">
        <f t="shared" ca="1" si="176"/>
        <v>0</v>
      </c>
      <c r="Q769" s="12">
        <f t="shared" ca="1" si="177"/>
        <v>-387200</v>
      </c>
      <c r="R769" s="10">
        <f t="shared" ca="1" si="178"/>
        <v>0</v>
      </c>
      <c r="S769" s="10">
        <f t="shared" ca="1" si="168"/>
        <v>-1.0554672319378202</v>
      </c>
      <c r="T769" s="14">
        <f t="shared" ca="1" si="169"/>
        <v>-0.22777760535000399</v>
      </c>
      <c r="U769" s="12">
        <f t="shared" ca="1" si="179"/>
        <v>7900</v>
      </c>
      <c r="V769" s="14">
        <f t="shared" ca="1" si="180"/>
        <v>-5001.2658227848106</v>
      </c>
      <c r="W769" s="12">
        <f t="shared" ca="1" si="170"/>
        <v>-1774.6835443037974</v>
      </c>
      <c r="X769" s="7">
        <f ca="1">AVERAGE(E769:OFFSET(F769,-$X$5+1,0))</f>
        <v>9759.6</v>
      </c>
      <c r="Y769" s="7">
        <f ca="1">AVERAGE(E769:OFFSET(F769,-$Y$5+1,0))</f>
        <v>9710.7000000000007</v>
      </c>
      <c r="Z769" s="7">
        <f t="shared" ca="1" si="172"/>
        <v>0</v>
      </c>
    </row>
    <row r="770" spans="1:26">
      <c r="A770" s="3" t="s">
        <v>61</v>
      </c>
      <c r="B770" s="4">
        <v>42788</v>
      </c>
      <c r="C770" s="3">
        <v>9783</v>
      </c>
      <c r="D770" s="3">
        <v>9827</v>
      </c>
      <c r="E770" s="3">
        <v>9767</v>
      </c>
      <c r="F770" s="3">
        <v>9783</v>
      </c>
      <c r="G770" s="3">
        <v>121485</v>
      </c>
      <c r="H770" s="3">
        <v>1.0449999999999999</v>
      </c>
      <c r="I770" s="2">
        <f t="shared" si="165"/>
        <v>0</v>
      </c>
      <c r="J770" s="10">
        <f t="shared" si="167"/>
        <v>17</v>
      </c>
      <c r="K770" s="10">
        <f t="shared" si="166"/>
        <v>0</v>
      </c>
      <c r="L770" s="10">
        <f t="shared" ca="1" si="171"/>
        <v>0</v>
      </c>
      <c r="M770" s="10">
        <f t="shared" ca="1" si="173"/>
        <v>0</v>
      </c>
      <c r="N770" s="30">
        <f t="shared" ca="1" si="174"/>
        <v>0</v>
      </c>
      <c r="O770" s="10">
        <f t="shared" ca="1" si="175"/>
        <v>0</v>
      </c>
      <c r="P770" s="29">
        <f t="shared" ca="1" si="176"/>
        <v>0</v>
      </c>
      <c r="Q770" s="12">
        <f t="shared" ca="1" si="177"/>
        <v>-387200</v>
      </c>
      <c r="R770" s="10">
        <f t="shared" ca="1" si="178"/>
        <v>0</v>
      </c>
      <c r="S770" s="10">
        <f t="shared" ca="1" si="168"/>
        <v>-1.0554672319378202</v>
      </c>
      <c r="T770" s="14">
        <f t="shared" ca="1" si="169"/>
        <v>-0.22771479680454226</v>
      </c>
      <c r="U770" s="12">
        <f t="shared" ca="1" si="179"/>
        <v>7900</v>
      </c>
      <c r="V770" s="14">
        <f t="shared" ca="1" si="180"/>
        <v>-5001.2658227848106</v>
      </c>
      <c r="W770" s="12">
        <f t="shared" ca="1" si="170"/>
        <v>-1774.6835443037974</v>
      </c>
      <c r="X770" s="7">
        <f ca="1">AVERAGE(E770:OFFSET(F770,-$X$5+1,0))</f>
        <v>9761.6</v>
      </c>
      <c r="Y770" s="7">
        <f ca="1">AVERAGE(E770:OFFSET(F770,-$Y$5+1,0))</f>
        <v>9734.15</v>
      </c>
      <c r="Z770" s="7">
        <f t="shared" ca="1" si="172"/>
        <v>0</v>
      </c>
    </row>
    <row r="771" spans="1:26">
      <c r="A771" s="3" t="s">
        <v>61</v>
      </c>
      <c r="B771" s="4">
        <v>42789</v>
      </c>
      <c r="C771" s="3">
        <v>9780</v>
      </c>
      <c r="D771" s="3">
        <v>9820</v>
      </c>
      <c r="E771" s="3">
        <v>9755</v>
      </c>
      <c r="F771" s="3">
        <v>9772</v>
      </c>
      <c r="G771" s="3">
        <v>115454</v>
      </c>
      <c r="H771" s="3">
        <v>1.0449999999999999</v>
      </c>
      <c r="I771" s="2">
        <f t="shared" si="165"/>
        <v>0</v>
      </c>
      <c r="J771" s="10">
        <f t="shared" si="167"/>
        <v>-3</v>
      </c>
      <c r="K771" s="10">
        <f t="shared" si="166"/>
        <v>-8</v>
      </c>
      <c r="L771" s="10">
        <f t="shared" ca="1" si="171"/>
        <v>0</v>
      </c>
      <c r="M771" s="10">
        <f t="shared" ca="1" si="173"/>
        <v>0</v>
      </c>
      <c r="N771" s="30">
        <f t="shared" ca="1" si="174"/>
        <v>0</v>
      </c>
      <c r="O771" s="10">
        <f t="shared" ca="1" si="175"/>
        <v>0</v>
      </c>
      <c r="P771" s="29">
        <f t="shared" ca="1" si="176"/>
        <v>0</v>
      </c>
      <c r="Q771" s="12">
        <f t="shared" ca="1" si="177"/>
        <v>-387200</v>
      </c>
      <c r="R771" s="10">
        <f t="shared" ca="1" si="178"/>
        <v>0</v>
      </c>
      <c r="S771" s="10">
        <f t="shared" ca="1" si="168"/>
        <v>-1.0554672319378202</v>
      </c>
      <c r="T771" s="14">
        <f t="shared" ca="1" si="169"/>
        <v>-0.22765198825908056</v>
      </c>
      <c r="U771" s="12">
        <f t="shared" ca="1" si="179"/>
        <v>7900</v>
      </c>
      <c r="V771" s="14">
        <f t="shared" ca="1" si="180"/>
        <v>-5001.2658227848106</v>
      </c>
      <c r="W771" s="12">
        <f t="shared" ca="1" si="170"/>
        <v>-1774.6835443037974</v>
      </c>
      <c r="X771" s="7">
        <f ca="1">AVERAGE(E771:OFFSET(F771,-$X$5+1,0))</f>
        <v>9763.4</v>
      </c>
      <c r="Y771" s="7">
        <f ca="1">AVERAGE(E771:OFFSET(F771,-$Y$5+1,0))</f>
        <v>9748.2999999999993</v>
      </c>
      <c r="Z771" s="7">
        <f t="shared" ca="1" si="172"/>
        <v>0</v>
      </c>
    </row>
    <row r="772" spans="1:26">
      <c r="A772" s="3" t="s">
        <v>61</v>
      </c>
      <c r="B772" s="4">
        <v>42790</v>
      </c>
      <c r="C772" s="3">
        <v>9770</v>
      </c>
      <c r="D772" s="3">
        <v>9786</v>
      </c>
      <c r="E772" s="3">
        <v>9730</v>
      </c>
      <c r="F772" s="3">
        <v>9761</v>
      </c>
      <c r="G772" s="3">
        <v>100020</v>
      </c>
      <c r="H772" s="3">
        <v>1.0449999999999999</v>
      </c>
      <c r="I772" s="2">
        <f t="shared" ref="I772:I835" si="181">IF(A772=A773,0,1)</f>
        <v>0</v>
      </c>
      <c r="J772" s="10">
        <f t="shared" si="167"/>
        <v>-2</v>
      </c>
      <c r="K772" s="10">
        <f t="shared" ref="K772:K835" si="182">F772-C772</f>
        <v>-9</v>
      </c>
      <c r="L772" s="10">
        <f t="shared" ca="1" si="171"/>
        <v>0</v>
      </c>
      <c r="M772" s="10">
        <f t="shared" ca="1" si="173"/>
        <v>0</v>
      </c>
      <c r="N772" s="30">
        <f t="shared" ca="1" si="174"/>
        <v>0</v>
      </c>
      <c r="O772" s="10">
        <f t="shared" ca="1" si="175"/>
        <v>0</v>
      </c>
      <c r="P772" s="29">
        <f t="shared" ca="1" si="176"/>
        <v>0</v>
      </c>
      <c r="Q772" s="12">
        <f t="shared" ca="1" si="177"/>
        <v>-387200</v>
      </c>
      <c r="R772" s="10">
        <f t="shared" ca="1" si="178"/>
        <v>0</v>
      </c>
      <c r="S772" s="10">
        <f t="shared" ca="1" si="168"/>
        <v>-1.0554672319378202</v>
      </c>
      <c r="T772" s="14">
        <f t="shared" ca="1" si="169"/>
        <v>-0.22758917971361894</v>
      </c>
      <c r="U772" s="12">
        <f t="shared" ca="1" si="179"/>
        <v>7900</v>
      </c>
      <c r="V772" s="14">
        <f t="shared" ca="1" si="180"/>
        <v>-5001.2658227848106</v>
      </c>
      <c r="W772" s="12">
        <f t="shared" ca="1" si="170"/>
        <v>-1774.6835443037974</v>
      </c>
      <c r="X772" s="7">
        <f ca="1">AVERAGE(E772:OFFSET(F772,-$X$5+1,0))</f>
        <v>9756.5</v>
      </c>
      <c r="Y772" s="7">
        <f ca="1">AVERAGE(E772:OFFSET(F772,-$Y$5+1,0))</f>
        <v>9754.5499999999993</v>
      </c>
      <c r="Z772" s="7">
        <f t="shared" ca="1" si="172"/>
        <v>0</v>
      </c>
    </row>
    <row r="773" spans="1:26">
      <c r="A773" s="3" t="s">
        <v>61</v>
      </c>
      <c r="B773" s="4">
        <v>42795</v>
      </c>
      <c r="C773" s="3">
        <v>9766</v>
      </c>
      <c r="D773" s="3">
        <v>9770</v>
      </c>
      <c r="E773" s="3">
        <v>9678</v>
      </c>
      <c r="F773" s="3">
        <v>9682</v>
      </c>
      <c r="G773" s="3">
        <v>137961</v>
      </c>
      <c r="H773" s="3">
        <v>1.0449999999999999</v>
      </c>
      <c r="I773" s="2">
        <f t="shared" si="181"/>
        <v>0</v>
      </c>
      <c r="J773" s="10">
        <f t="shared" ref="J773:J836" si="183">C773-F772</f>
        <v>5</v>
      </c>
      <c r="K773" s="10">
        <f t="shared" si="182"/>
        <v>-84</v>
      </c>
      <c r="L773" s="10">
        <f t="shared" ca="1" si="171"/>
        <v>-1</v>
      </c>
      <c r="M773" s="10">
        <f t="shared" ca="1" si="173"/>
        <v>0</v>
      </c>
      <c r="N773" s="30">
        <f t="shared" ca="1" si="174"/>
        <v>0</v>
      </c>
      <c r="O773" s="10">
        <f t="shared" ca="1" si="175"/>
        <v>0</v>
      </c>
      <c r="P773" s="29">
        <f t="shared" ca="1" si="176"/>
        <v>0</v>
      </c>
      <c r="Q773" s="12">
        <f t="shared" ca="1" si="177"/>
        <v>-387200</v>
      </c>
      <c r="R773" s="10">
        <f t="shared" ca="1" si="178"/>
        <v>0</v>
      </c>
      <c r="S773" s="10">
        <f t="shared" ca="1" si="168"/>
        <v>-1.0554672319378202</v>
      </c>
      <c r="T773" s="14">
        <f t="shared" ca="1" si="169"/>
        <v>-0.22752637116815722</v>
      </c>
      <c r="U773" s="12">
        <f t="shared" ca="1" si="179"/>
        <v>7900</v>
      </c>
      <c r="V773" s="14">
        <f t="shared" ca="1" si="180"/>
        <v>-5001.2658227848106</v>
      </c>
      <c r="W773" s="12">
        <f t="shared" ca="1" si="170"/>
        <v>-1774.6835443037974</v>
      </c>
      <c r="X773" s="7">
        <f ca="1">AVERAGE(E773:OFFSET(F773,-$X$5+1,0))</f>
        <v>9742.2000000000007</v>
      </c>
      <c r="Y773" s="7">
        <f ca="1">AVERAGE(E773:OFFSET(F773,-$Y$5+1,0))</f>
        <v>9752.2999999999993</v>
      </c>
      <c r="Z773" s="7">
        <f t="shared" ca="1" si="172"/>
        <v>-1</v>
      </c>
    </row>
    <row r="774" spans="1:26">
      <c r="A774" s="3" t="s">
        <v>61</v>
      </c>
      <c r="B774" s="4">
        <v>42796</v>
      </c>
      <c r="C774" s="3">
        <v>9761</v>
      </c>
      <c r="D774" s="3">
        <v>9784</v>
      </c>
      <c r="E774" s="3">
        <v>9643</v>
      </c>
      <c r="F774" s="3">
        <v>9691</v>
      </c>
      <c r="G774" s="3">
        <v>158914</v>
      </c>
      <c r="H774" s="3">
        <v>1.0449999999999999</v>
      </c>
      <c r="I774" s="2">
        <f t="shared" si="181"/>
        <v>0</v>
      </c>
      <c r="J774" s="10">
        <f t="shared" si="183"/>
        <v>79</v>
      </c>
      <c r="K774" s="10">
        <f t="shared" si="182"/>
        <v>-70</v>
      </c>
      <c r="L774" s="10">
        <f t="shared" ca="1" si="171"/>
        <v>0</v>
      </c>
      <c r="M774" s="10">
        <f t="shared" ca="1" si="173"/>
        <v>-1</v>
      </c>
      <c r="N774" s="30">
        <f t="shared" ca="1" si="174"/>
        <v>0</v>
      </c>
      <c r="O774" s="10">
        <f t="shared" ca="1" si="175"/>
        <v>1952200</v>
      </c>
      <c r="P774" s="29">
        <f t="shared" ca="1" si="176"/>
        <v>13500</v>
      </c>
      <c r="Q774" s="12">
        <f t="shared" ca="1" si="177"/>
        <v>-373700</v>
      </c>
      <c r="R774" s="10">
        <f t="shared" ca="1" si="178"/>
        <v>0.69152750742751767</v>
      </c>
      <c r="S774" s="10">
        <f t="shared" ca="1" si="168"/>
        <v>-0.90642112700936228</v>
      </c>
      <c r="T774" s="14">
        <f t="shared" ca="1" si="169"/>
        <v>-0.21116619680040805</v>
      </c>
      <c r="U774" s="12">
        <f t="shared" ca="1" si="179"/>
        <v>7900</v>
      </c>
      <c r="V774" s="14">
        <f t="shared" ca="1" si="180"/>
        <v>-4830.3797468354433</v>
      </c>
      <c r="W774" s="12">
        <f t="shared" ca="1" si="170"/>
        <v>-1774.6835443037974</v>
      </c>
      <c r="X774" s="7">
        <f ca="1">AVERAGE(E774:OFFSET(F774,-$X$5+1,0))</f>
        <v>9726.2000000000007</v>
      </c>
      <c r="Y774" s="7">
        <f ca="1">AVERAGE(E774:OFFSET(F774,-$Y$5+1,0))</f>
        <v>9742.9</v>
      </c>
      <c r="Z774" s="7">
        <f t="shared" ca="1" si="172"/>
        <v>0</v>
      </c>
    </row>
    <row r="775" spans="1:26">
      <c r="A775" s="3" t="s">
        <v>61</v>
      </c>
      <c r="B775" s="4">
        <v>42797</v>
      </c>
      <c r="C775" s="3">
        <v>9648</v>
      </c>
      <c r="D775" s="3">
        <v>9672</v>
      </c>
      <c r="E775" s="3">
        <v>9623</v>
      </c>
      <c r="F775" s="3">
        <v>9629</v>
      </c>
      <c r="G775" s="3">
        <v>122036</v>
      </c>
      <c r="H775" s="3">
        <v>1.0449999999999999</v>
      </c>
      <c r="I775" s="2">
        <f t="shared" si="181"/>
        <v>0</v>
      </c>
      <c r="J775" s="10">
        <f t="shared" si="183"/>
        <v>-43</v>
      </c>
      <c r="K775" s="10">
        <f t="shared" si="182"/>
        <v>-19</v>
      </c>
      <c r="L775" s="10">
        <f t="shared" ca="1" si="171"/>
        <v>0</v>
      </c>
      <c r="M775" s="10">
        <f t="shared" ca="1" si="173"/>
        <v>-1</v>
      </c>
      <c r="N775" s="30">
        <f t="shared" ca="1" si="174"/>
        <v>0</v>
      </c>
      <c r="O775" s="10">
        <f t="shared" ca="1" si="175"/>
        <v>1952200</v>
      </c>
      <c r="P775" s="29">
        <f t="shared" ca="1" si="176"/>
        <v>12400</v>
      </c>
      <c r="Q775" s="12">
        <f t="shared" ca="1" si="177"/>
        <v>-361300</v>
      </c>
      <c r="R775" s="10">
        <f t="shared" ca="1" si="178"/>
        <v>0.6351808216371273</v>
      </c>
      <c r="S775" s="10">
        <f t="shared" ca="1" si="168"/>
        <v>-0.76951951951951947</v>
      </c>
      <c r="T775" s="14">
        <f t="shared" ca="1" si="169"/>
        <v>-0.19624082727958642</v>
      </c>
      <c r="U775" s="12">
        <f t="shared" ca="1" si="179"/>
        <v>7900</v>
      </c>
      <c r="V775" s="14">
        <f t="shared" ca="1" si="180"/>
        <v>-4673.4177215189875</v>
      </c>
      <c r="W775" s="12">
        <f t="shared" ca="1" si="170"/>
        <v>-1774.6835443037974</v>
      </c>
      <c r="X775" s="7">
        <f ca="1">AVERAGE(E775:OFFSET(F775,-$X$5+1,0))</f>
        <v>9696.4</v>
      </c>
      <c r="Y775" s="7">
        <f ca="1">AVERAGE(E775:OFFSET(F775,-$Y$5+1,0))</f>
        <v>9729</v>
      </c>
      <c r="Z775" s="7">
        <f t="shared" ca="1" si="172"/>
        <v>0</v>
      </c>
    </row>
    <row r="776" spans="1:26">
      <c r="A776" s="3" t="s">
        <v>61</v>
      </c>
      <c r="B776" s="4">
        <v>42800</v>
      </c>
      <c r="C776" s="3">
        <v>9639</v>
      </c>
      <c r="D776" s="3">
        <v>9684</v>
      </c>
      <c r="E776" s="3">
        <v>9619</v>
      </c>
      <c r="F776" s="3">
        <v>9683</v>
      </c>
      <c r="G776" s="3">
        <v>98832</v>
      </c>
      <c r="H776" s="3">
        <v>1.0449999999999999</v>
      </c>
      <c r="I776" s="2">
        <f t="shared" si="181"/>
        <v>0</v>
      </c>
      <c r="J776" s="10">
        <f t="shared" si="183"/>
        <v>10</v>
      </c>
      <c r="K776" s="10">
        <f t="shared" si="182"/>
        <v>44</v>
      </c>
      <c r="L776" s="10">
        <f t="shared" ca="1" si="171"/>
        <v>0</v>
      </c>
      <c r="M776" s="10">
        <f t="shared" ca="1" si="173"/>
        <v>-1</v>
      </c>
      <c r="N776" s="30">
        <f t="shared" ca="1" si="174"/>
        <v>0</v>
      </c>
      <c r="O776" s="10">
        <f t="shared" ca="1" si="175"/>
        <v>1952200</v>
      </c>
      <c r="P776" s="29">
        <f t="shared" ca="1" si="176"/>
        <v>-10800</v>
      </c>
      <c r="Q776" s="12">
        <f t="shared" ca="1" si="177"/>
        <v>-372100</v>
      </c>
      <c r="R776" s="10">
        <f t="shared" ca="1" si="178"/>
        <v>-0.55322200594201409</v>
      </c>
      <c r="S776" s="10">
        <f t="shared" ca="1" si="168"/>
        <v>-0.88875640346228579</v>
      </c>
      <c r="T776" s="14">
        <f t="shared" ca="1" si="169"/>
        <v>-0.20843757536554414</v>
      </c>
      <c r="U776" s="12">
        <f t="shared" ca="1" si="179"/>
        <v>7900</v>
      </c>
      <c r="V776" s="14">
        <f t="shared" ca="1" si="180"/>
        <v>-4810.1265822784808</v>
      </c>
      <c r="W776" s="12">
        <f t="shared" ca="1" si="170"/>
        <v>-1774.6835443037974</v>
      </c>
      <c r="X776" s="7">
        <f ca="1">AVERAGE(E776:OFFSET(F776,-$X$5+1,0))</f>
        <v>9673.9</v>
      </c>
      <c r="Y776" s="7">
        <f ca="1">AVERAGE(E776:OFFSET(F776,-$Y$5+1,0))</f>
        <v>9718.65</v>
      </c>
      <c r="Z776" s="7">
        <f t="shared" ca="1" si="172"/>
        <v>0</v>
      </c>
    </row>
    <row r="777" spans="1:26">
      <c r="A777" s="3" t="s">
        <v>61</v>
      </c>
      <c r="B777" s="4">
        <v>42801</v>
      </c>
      <c r="C777" s="3">
        <v>9693</v>
      </c>
      <c r="D777" s="3">
        <v>9734</v>
      </c>
      <c r="E777" s="3">
        <v>9682</v>
      </c>
      <c r="F777" s="3">
        <v>9727</v>
      </c>
      <c r="G777" s="3">
        <v>95033</v>
      </c>
      <c r="H777" s="3">
        <v>1.0449999999999999</v>
      </c>
      <c r="I777" s="2">
        <f t="shared" si="181"/>
        <v>0</v>
      </c>
      <c r="J777" s="10">
        <f t="shared" si="183"/>
        <v>10</v>
      </c>
      <c r="K777" s="10">
        <f t="shared" si="182"/>
        <v>34</v>
      </c>
      <c r="L777" s="10">
        <f t="shared" ca="1" si="171"/>
        <v>0</v>
      </c>
      <c r="M777" s="10">
        <f t="shared" ca="1" si="173"/>
        <v>-1</v>
      </c>
      <c r="N777" s="30">
        <f t="shared" ca="1" si="174"/>
        <v>0</v>
      </c>
      <c r="O777" s="10">
        <f t="shared" ca="1" si="175"/>
        <v>1952200</v>
      </c>
      <c r="P777" s="29">
        <f t="shared" ca="1" si="176"/>
        <v>-8800</v>
      </c>
      <c r="Q777" s="12">
        <f t="shared" ca="1" si="177"/>
        <v>-380900</v>
      </c>
      <c r="R777" s="10">
        <f t="shared" ca="1" si="178"/>
        <v>-0.45077348632312264</v>
      </c>
      <c r="S777" s="10">
        <f t="shared" ca="1" si="168"/>
        <v>-0.98591238297120654</v>
      </c>
      <c r="T777" s="14">
        <f t="shared" ca="1" si="169"/>
        <v>-0.21838819630034192</v>
      </c>
      <c r="U777" s="12">
        <f t="shared" ca="1" si="179"/>
        <v>7900</v>
      </c>
      <c r="V777" s="14">
        <f t="shared" ca="1" si="180"/>
        <v>-4921.5189873417721</v>
      </c>
      <c r="W777" s="12">
        <f t="shared" ca="1" si="170"/>
        <v>-1774.6835443037974</v>
      </c>
      <c r="X777" s="7">
        <f ca="1">AVERAGE(E777:OFFSET(F777,-$X$5+1,0))</f>
        <v>9665.7000000000007</v>
      </c>
      <c r="Y777" s="7">
        <f ca="1">AVERAGE(E777:OFFSET(F777,-$Y$5+1,0))</f>
        <v>9711.1</v>
      </c>
      <c r="Z777" s="7">
        <f t="shared" ca="1" si="172"/>
        <v>0</v>
      </c>
    </row>
    <row r="778" spans="1:26">
      <c r="A778" s="3" t="s">
        <v>61</v>
      </c>
      <c r="B778" s="4">
        <v>42802</v>
      </c>
      <c r="C778" s="3">
        <v>9736</v>
      </c>
      <c r="D778" s="3">
        <v>9765</v>
      </c>
      <c r="E778" s="3">
        <v>9701</v>
      </c>
      <c r="F778" s="3">
        <v>9748</v>
      </c>
      <c r="G778" s="3">
        <v>115988</v>
      </c>
      <c r="H778" s="3">
        <v>1.0449999999999999</v>
      </c>
      <c r="I778" s="2">
        <f t="shared" si="181"/>
        <v>0</v>
      </c>
      <c r="J778" s="10">
        <f t="shared" si="183"/>
        <v>9</v>
      </c>
      <c r="K778" s="10">
        <f t="shared" si="182"/>
        <v>12</v>
      </c>
      <c r="L778" s="10">
        <f t="shared" ca="1" si="171"/>
        <v>0</v>
      </c>
      <c r="M778" s="10">
        <f t="shared" ca="1" si="173"/>
        <v>-1</v>
      </c>
      <c r="N778" s="30">
        <f t="shared" ca="1" si="174"/>
        <v>0</v>
      </c>
      <c r="O778" s="10">
        <f t="shared" ca="1" si="175"/>
        <v>1952200</v>
      </c>
      <c r="P778" s="29">
        <f t="shared" ca="1" si="176"/>
        <v>-4200</v>
      </c>
      <c r="Q778" s="12">
        <f t="shared" ca="1" si="177"/>
        <v>-385100</v>
      </c>
      <c r="R778" s="10">
        <f t="shared" ca="1" si="178"/>
        <v>-0.21514189119967217</v>
      </c>
      <c r="S778" s="10">
        <f t="shared" ca="1" si="168"/>
        <v>-1.0322822822822824</v>
      </c>
      <c r="T778" s="14">
        <f t="shared" ca="1" si="169"/>
        <v>-0.22315411429662949</v>
      </c>
      <c r="U778" s="12">
        <f t="shared" ca="1" si="179"/>
        <v>7900</v>
      </c>
      <c r="V778" s="14">
        <f t="shared" ca="1" si="180"/>
        <v>-4974.6835443037971</v>
      </c>
      <c r="W778" s="12">
        <f t="shared" ca="1" si="170"/>
        <v>-1774.6835443037974</v>
      </c>
      <c r="X778" s="7">
        <f ca="1">AVERAGE(E778:OFFSET(F778,-$X$5+1,0))</f>
        <v>9674.6</v>
      </c>
      <c r="Y778" s="7">
        <f ca="1">AVERAGE(E778:OFFSET(F778,-$Y$5+1,0))</f>
        <v>9708.4</v>
      </c>
      <c r="Z778" s="7">
        <f t="shared" ca="1" si="172"/>
        <v>0</v>
      </c>
    </row>
    <row r="779" spans="1:26">
      <c r="A779" s="3" t="s">
        <v>61</v>
      </c>
      <c r="B779" s="4">
        <v>42803</v>
      </c>
      <c r="C779" s="3">
        <v>9739</v>
      </c>
      <c r="D779" s="3">
        <v>9742</v>
      </c>
      <c r="E779" s="3">
        <v>9642</v>
      </c>
      <c r="F779" s="3">
        <v>9652</v>
      </c>
      <c r="G779" s="3">
        <v>142245</v>
      </c>
      <c r="H779" s="3">
        <v>1.0449999999999999</v>
      </c>
      <c r="I779" s="2">
        <f t="shared" si="181"/>
        <v>0</v>
      </c>
      <c r="J779" s="10">
        <f t="shared" si="183"/>
        <v>-9</v>
      </c>
      <c r="K779" s="10">
        <f t="shared" si="182"/>
        <v>-87</v>
      </c>
      <c r="L779" s="10">
        <f t="shared" ca="1" si="171"/>
        <v>0</v>
      </c>
      <c r="M779" s="10">
        <f t="shared" ca="1" si="173"/>
        <v>-1</v>
      </c>
      <c r="N779" s="30">
        <f t="shared" ca="1" si="174"/>
        <v>0</v>
      </c>
      <c r="O779" s="10">
        <f t="shared" ca="1" si="175"/>
        <v>1952200</v>
      </c>
      <c r="P779" s="29">
        <f t="shared" ca="1" si="176"/>
        <v>19200</v>
      </c>
      <c r="Q779" s="12">
        <f t="shared" ca="1" si="177"/>
        <v>-365900</v>
      </c>
      <c r="R779" s="10">
        <f t="shared" ca="1" si="178"/>
        <v>0.98350578834135849</v>
      </c>
      <c r="S779" s="10">
        <f t="shared" ca="1" si="168"/>
        <v>-0.82030559971736439</v>
      </c>
      <c r="T779" s="14">
        <f t="shared" ca="1" si="169"/>
        <v>-0.19984076504700682</v>
      </c>
      <c r="U779" s="12">
        <f t="shared" ca="1" si="179"/>
        <v>7900</v>
      </c>
      <c r="V779" s="14">
        <f t="shared" ca="1" si="180"/>
        <v>-4731.6455696202529</v>
      </c>
      <c r="W779" s="12">
        <f t="shared" ca="1" si="170"/>
        <v>-1774.6835443037974</v>
      </c>
      <c r="X779" s="7">
        <f ca="1">AVERAGE(E779:OFFSET(F779,-$X$5+1,0))</f>
        <v>9670.6</v>
      </c>
      <c r="Y779" s="7">
        <f ca="1">AVERAGE(E779:OFFSET(F779,-$Y$5+1,0))</f>
        <v>9698.4</v>
      </c>
      <c r="Z779" s="7">
        <f t="shared" ca="1" si="172"/>
        <v>0</v>
      </c>
    </row>
    <row r="780" spans="1:26">
      <c r="A780" s="3" t="s">
        <v>61</v>
      </c>
      <c r="B780" s="4">
        <v>42804</v>
      </c>
      <c r="C780" s="3">
        <v>9647</v>
      </c>
      <c r="D780" s="3">
        <v>9652</v>
      </c>
      <c r="E780" s="3">
        <v>9555</v>
      </c>
      <c r="F780" s="3">
        <v>9625</v>
      </c>
      <c r="G780" s="3">
        <v>170995</v>
      </c>
      <c r="H780" s="3">
        <v>1.0449999999999999</v>
      </c>
      <c r="I780" s="2">
        <f t="shared" si="181"/>
        <v>0</v>
      </c>
      <c r="J780" s="10">
        <f t="shared" si="183"/>
        <v>-5</v>
      </c>
      <c r="K780" s="10">
        <f t="shared" si="182"/>
        <v>-22</v>
      </c>
      <c r="L780" s="10">
        <f t="shared" ca="1" si="171"/>
        <v>0</v>
      </c>
      <c r="M780" s="10">
        <f t="shared" ca="1" si="173"/>
        <v>-1</v>
      </c>
      <c r="N780" s="30">
        <f t="shared" ca="1" si="174"/>
        <v>0</v>
      </c>
      <c r="O780" s="10">
        <f t="shared" ca="1" si="175"/>
        <v>1952200</v>
      </c>
      <c r="P780" s="29">
        <f t="shared" ca="1" si="176"/>
        <v>5400</v>
      </c>
      <c r="Q780" s="12">
        <f t="shared" ca="1" si="177"/>
        <v>-360500</v>
      </c>
      <c r="R780" s="10">
        <f t="shared" ca="1" si="178"/>
        <v>0.27661100297100705</v>
      </c>
      <c r="S780" s="10">
        <f t="shared" ca="1" si="168"/>
        <v>-0.76068715774598128</v>
      </c>
      <c r="T780" s="14">
        <f t="shared" ca="1" si="169"/>
        <v>-0.19346548778561012</v>
      </c>
      <c r="U780" s="12">
        <f t="shared" ca="1" si="179"/>
        <v>7900</v>
      </c>
      <c r="V780" s="14">
        <f t="shared" ca="1" si="180"/>
        <v>-4663.2911392405067</v>
      </c>
      <c r="W780" s="12">
        <f t="shared" ca="1" si="170"/>
        <v>-1774.6835443037974</v>
      </c>
      <c r="X780" s="7">
        <f ca="1">AVERAGE(E780:OFFSET(F780,-$X$5+1,0))</f>
        <v>9663.4</v>
      </c>
      <c r="Y780" s="7">
        <f ca="1">AVERAGE(E780:OFFSET(F780,-$Y$5+1,0))</f>
        <v>9679.9</v>
      </c>
      <c r="Z780" s="7">
        <f t="shared" ca="1" si="172"/>
        <v>0</v>
      </c>
    </row>
    <row r="781" spans="1:26">
      <c r="A781" s="3" t="s">
        <v>61</v>
      </c>
      <c r="B781" s="4">
        <v>42807</v>
      </c>
      <c r="C781" s="3">
        <v>9644</v>
      </c>
      <c r="D781" s="3">
        <v>9698</v>
      </c>
      <c r="E781" s="3">
        <v>9643</v>
      </c>
      <c r="F781" s="3">
        <v>9692</v>
      </c>
      <c r="G781" s="3">
        <v>132818</v>
      </c>
      <c r="H781" s="3">
        <v>1.0449999999999999</v>
      </c>
      <c r="I781" s="2">
        <f t="shared" si="181"/>
        <v>0</v>
      </c>
      <c r="J781" s="10">
        <f t="shared" si="183"/>
        <v>19</v>
      </c>
      <c r="K781" s="10">
        <f t="shared" si="182"/>
        <v>48</v>
      </c>
      <c r="L781" s="10">
        <f t="shared" ca="1" si="171"/>
        <v>0</v>
      </c>
      <c r="M781" s="10">
        <f t="shared" ca="1" si="173"/>
        <v>-1</v>
      </c>
      <c r="N781" s="30">
        <f t="shared" ca="1" si="174"/>
        <v>0</v>
      </c>
      <c r="O781" s="10">
        <f t="shared" ca="1" si="175"/>
        <v>1952200</v>
      </c>
      <c r="P781" s="29">
        <f t="shared" ca="1" si="176"/>
        <v>-13400</v>
      </c>
      <c r="Q781" s="12">
        <f t="shared" ca="1" si="177"/>
        <v>-373900</v>
      </c>
      <c r="R781" s="10">
        <f t="shared" ca="1" si="178"/>
        <v>-0.68640508144657308</v>
      </c>
      <c r="S781" s="10">
        <f t="shared" ca="1" si="168"/>
        <v>-0.90862921745274683</v>
      </c>
      <c r="T781" s="14">
        <f t="shared" ca="1" si="169"/>
        <v>-0.20841548057391845</v>
      </c>
      <c r="U781" s="12">
        <f t="shared" ca="1" si="179"/>
        <v>7900</v>
      </c>
      <c r="V781" s="14">
        <f t="shared" ca="1" si="180"/>
        <v>-4832.9113924050635</v>
      </c>
      <c r="W781" s="12">
        <f t="shared" ca="1" si="170"/>
        <v>-1774.6835443037974</v>
      </c>
      <c r="X781" s="7">
        <f ca="1">AVERAGE(E781:OFFSET(F781,-$X$5+1,0))</f>
        <v>9666.7000000000007</v>
      </c>
      <c r="Y781" s="7">
        <f ca="1">AVERAGE(E781:OFFSET(F781,-$Y$5+1,0))</f>
        <v>9670.2999999999993</v>
      </c>
      <c r="Z781" s="7">
        <f t="shared" ca="1" si="172"/>
        <v>0</v>
      </c>
    </row>
    <row r="782" spans="1:26">
      <c r="A782" s="3" t="s">
        <v>61</v>
      </c>
      <c r="B782" s="4">
        <v>42808</v>
      </c>
      <c r="C782" s="3">
        <v>9713</v>
      </c>
      <c r="D782" s="3">
        <v>9767</v>
      </c>
      <c r="E782" s="3">
        <v>9711</v>
      </c>
      <c r="F782" s="3">
        <v>9749</v>
      </c>
      <c r="G782" s="3">
        <v>116325</v>
      </c>
      <c r="H782" s="3">
        <v>1.0449999999999999</v>
      </c>
      <c r="I782" s="2">
        <f t="shared" si="181"/>
        <v>0</v>
      </c>
      <c r="J782" s="10">
        <f t="shared" si="183"/>
        <v>21</v>
      </c>
      <c r="K782" s="10">
        <f t="shared" si="182"/>
        <v>36</v>
      </c>
      <c r="L782" s="10">
        <f t="shared" ca="1" si="171"/>
        <v>1</v>
      </c>
      <c r="M782" s="10">
        <f t="shared" ca="1" si="173"/>
        <v>-1</v>
      </c>
      <c r="N782" s="30">
        <f t="shared" ca="1" si="174"/>
        <v>0</v>
      </c>
      <c r="O782" s="10">
        <f t="shared" ca="1" si="175"/>
        <v>1952200</v>
      </c>
      <c r="P782" s="29">
        <f t="shared" ca="1" si="176"/>
        <v>-11400</v>
      </c>
      <c r="Q782" s="12">
        <f t="shared" ca="1" si="177"/>
        <v>-385300</v>
      </c>
      <c r="R782" s="10">
        <f t="shared" ca="1" si="178"/>
        <v>-0.58395656182768163</v>
      </c>
      <c r="S782" s="10">
        <f t="shared" ca="1" si="168"/>
        <v>-1.0344903727256669</v>
      </c>
      <c r="T782" s="14">
        <f t="shared" ca="1" si="169"/>
        <v>-0.22176672608244663</v>
      </c>
      <c r="U782" s="12">
        <f t="shared" ca="1" si="179"/>
        <v>7900</v>
      </c>
      <c r="V782" s="14">
        <f t="shared" ca="1" si="180"/>
        <v>-4977.2151898734173</v>
      </c>
      <c r="W782" s="12">
        <f t="shared" ca="1" si="170"/>
        <v>-1774.6835443037974</v>
      </c>
      <c r="X782" s="7">
        <f ca="1">AVERAGE(E782:OFFSET(F782,-$X$5+1,0))</f>
        <v>9671.7999999999993</v>
      </c>
      <c r="Y782" s="7">
        <f ca="1">AVERAGE(E782:OFFSET(F782,-$Y$5+1,0))</f>
        <v>9668.75</v>
      </c>
      <c r="Z782" s="7">
        <f t="shared" ca="1" si="172"/>
        <v>1</v>
      </c>
    </row>
    <row r="783" spans="1:26">
      <c r="A783" s="3" t="s">
        <v>61</v>
      </c>
      <c r="B783" s="4">
        <v>42809</v>
      </c>
      <c r="C783" s="3">
        <v>9742</v>
      </c>
      <c r="D783" s="3">
        <v>9752</v>
      </c>
      <c r="E783" s="3">
        <v>9715</v>
      </c>
      <c r="F783" s="3">
        <v>9732</v>
      </c>
      <c r="G783" s="3">
        <v>67761</v>
      </c>
      <c r="H783" s="3">
        <v>1.0449999999999999</v>
      </c>
      <c r="I783" s="2">
        <f t="shared" si="181"/>
        <v>1</v>
      </c>
      <c r="J783" s="10">
        <f t="shared" si="183"/>
        <v>-7</v>
      </c>
      <c r="K783" s="10">
        <f t="shared" si="182"/>
        <v>-10</v>
      </c>
      <c r="L783" s="10">
        <f t="shared" ca="1" si="171"/>
        <v>-1</v>
      </c>
      <c r="M783" s="10">
        <f t="shared" si="173"/>
        <v>0</v>
      </c>
      <c r="N783" s="30">
        <f t="shared" si="174"/>
        <v>0</v>
      </c>
      <c r="O783" s="10">
        <f t="shared" si="175"/>
        <v>0</v>
      </c>
      <c r="P783" s="29">
        <f t="shared" ca="1" si="176"/>
        <v>900</v>
      </c>
      <c r="Q783" s="12">
        <f t="shared" ca="1" si="177"/>
        <v>-384400</v>
      </c>
      <c r="R783" s="10">
        <f t="shared" ca="1" si="178"/>
        <v>4.6101833828501179E-2</v>
      </c>
      <c r="S783" s="10">
        <f t="shared" ca="1" si="168"/>
        <v>-1.0245539657304363</v>
      </c>
      <c r="T783" s="14">
        <f t="shared" ca="1" si="169"/>
        <v>-0.22070874225214152</v>
      </c>
      <c r="U783" s="12">
        <f t="shared" ca="1" si="179"/>
        <v>7900</v>
      </c>
      <c r="V783" s="14">
        <f t="shared" ca="1" si="180"/>
        <v>-4965.8227848101269</v>
      </c>
      <c r="W783" s="12">
        <f t="shared" ca="1" si="170"/>
        <v>-1774.6835443037974</v>
      </c>
      <c r="X783" s="7">
        <f ca="1">AVERAGE(E783:OFFSET(F783,-$X$5+1,0))</f>
        <v>9671.6</v>
      </c>
      <c r="Y783" s="7">
        <f ca="1">AVERAGE(E783:OFFSET(F783,-$Y$5+1,0))</f>
        <v>9673.1</v>
      </c>
      <c r="Z783" s="7">
        <f t="shared" ca="1" si="172"/>
        <v>-1</v>
      </c>
    </row>
    <row r="784" spans="1:26">
      <c r="A784" s="3" t="s">
        <v>62</v>
      </c>
      <c r="B784" s="4">
        <v>42810</v>
      </c>
      <c r="C784" s="3">
        <v>9805</v>
      </c>
      <c r="D784" s="3">
        <v>9852</v>
      </c>
      <c r="E784" s="3">
        <v>9782</v>
      </c>
      <c r="F784" s="3">
        <v>9840</v>
      </c>
      <c r="G784" s="3">
        <v>124172</v>
      </c>
      <c r="H784" s="3">
        <v>1.0449999999999999</v>
      </c>
      <c r="I784" s="2">
        <f t="shared" si="181"/>
        <v>0</v>
      </c>
      <c r="J784" s="10">
        <f t="shared" si="183"/>
        <v>73</v>
      </c>
      <c r="K784" s="10">
        <f t="shared" si="182"/>
        <v>35</v>
      </c>
      <c r="L784" s="10">
        <f t="shared" ca="1" si="171"/>
        <v>1</v>
      </c>
      <c r="M784" s="10">
        <f t="shared" ca="1" si="173"/>
        <v>-1</v>
      </c>
      <c r="N784" s="30">
        <f t="shared" ca="1" si="174"/>
        <v>0</v>
      </c>
      <c r="O784" s="10">
        <f t="shared" ca="1" si="175"/>
        <v>1961000</v>
      </c>
      <c r="P784" s="29">
        <f t="shared" ca="1" si="176"/>
        <v>-7500</v>
      </c>
      <c r="Q784" s="12">
        <f t="shared" ca="1" si="177"/>
        <v>-391900</v>
      </c>
      <c r="R784" s="10">
        <f t="shared" ca="1" si="178"/>
        <v>-0.38245792962774094</v>
      </c>
      <c r="S784" s="10">
        <f t="shared" ca="1" si="168"/>
        <v>-1.1073573573573574</v>
      </c>
      <c r="T784" s="14">
        <f t="shared" ca="1" si="169"/>
        <v>-0.2367748129233565</v>
      </c>
      <c r="U784" s="12">
        <f t="shared" ca="1" si="179"/>
        <v>7900</v>
      </c>
      <c r="V784" s="14">
        <f t="shared" ca="1" si="180"/>
        <v>-5060.7594936708865</v>
      </c>
      <c r="W784" s="12">
        <f t="shared" ca="1" si="170"/>
        <v>-1774.6835443037974</v>
      </c>
      <c r="X784" s="7">
        <f ca="1">AVERAGE(E784:OFFSET(F784,-$X$5+1,0))</f>
        <v>9704.4</v>
      </c>
      <c r="Y784" s="7">
        <f ca="1">AVERAGE(E784:OFFSET(F784,-$Y$5+1,0))</f>
        <v>9687.5</v>
      </c>
      <c r="Z784" s="7">
        <f t="shared" ca="1" si="172"/>
        <v>1</v>
      </c>
    </row>
    <row r="785" spans="1:26">
      <c r="A785" s="3" t="s">
        <v>62</v>
      </c>
      <c r="B785" s="4">
        <v>42811</v>
      </c>
      <c r="C785" s="3">
        <v>9850</v>
      </c>
      <c r="D785" s="3">
        <v>9896</v>
      </c>
      <c r="E785" s="3">
        <v>9837</v>
      </c>
      <c r="F785" s="3">
        <v>9890</v>
      </c>
      <c r="G785" s="3">
        <v>95443</v>
      </c>
      <c r="H785" s="3">
        <v>1.0449999999999999</v>
      </c>
      <c r="I785" s="2">
        <f t="shared" si="181"/>
        <v>0</v>
      </c>
      <c r="J785" s="10">
        <f t="shared" si="183"/>
        <v>10</v>
      </c>
      <c r="K785" s="10">
        <f t="shared" si="182"/>
        <v>40</v>
      </c>
      <c r="L785" s="10">
        <f t="shared" ca="1" si="171"/>
        <v>0</v>
      </c>
      <c r="M785" s="10">
        <f t="shared" ca="1" si="173"/>
        <v>0</v>
      </c>
      <c r="N785" s="30">
        <f t="shared" ca="1" si="174"/>
        <v>0</v>
      </c>
      <c r="O785" s="10">
        <f t="shared" ca="1" si="175"/>
        <v>0</v>
      </c>
      <c r="P785" s="29">
        <f t="shared" ca="1" si="176"/>
        <v>-2500</v>
      </c>
      <c r="Q785" s="12">
        <f t="shared" ca="1" si="177"/>
        <v>-394400</v>
      </c>
      <c r="R785" s="10">
        <f t="shared" ca="1" si="178"/>
        <v>-0.12748597654258031</v>
      </c>
      <c r="S785" s="10">
        <f t="shared" ca="1" si="168"/>
        <v>-1.1349584878996644</v>
      </c>
      <c r="T785" s="14">
        <f t="shared" ca="1" si="169"/>
        <v>-0.24225761174938751</v>
      </c>
      <c r="U785" s="12">
        <f t="shared" ca="1" si="179"/>
        <v>7900</v>
      </c>
      <c r="V785" s="14">
        <f t="shared" ca="1" si="180"/>
        <v>-5092.4050632911394</v>
      </c>
      <c r="W785" s="12">
        <f t="shared" ca="1" si="170"/>
        <v>-1774.6835443037974</v>
      </c>
      <c r="X785" s="7">
        <f ca="1">AVERAGE(E785:OFFSET(F785,-$X$5+1,0))</f>
        <v>9759.1</v>
      </c>
      <c r="Y785" s="7">
        <f ca="1">AVERAGE(E785:OFFSET(F785,-$Y$5+1,0))</f>
        <v>9711.25</v>
      </c>
      <c r="Z785" s="7">
        <f t="shared" ca="1" si="172"/>
        <v>0</v>
      </c>
    </row>
    <row r="786" spans="1:26">
      <c r="A786" s="3" t="s">
        <v>62</v>
      </c>
      <c r="B786" s="4">
        <v>42814</v>
      </c>
      <c r="C786" s="3">
        <v>9870</v>
      </c>
      <c r="D786" s="3">
        <v>9908</v>
      </c>
      <c r="E786" s="3">
        <v>9855</v>
      </c>
      <c r="F786" s="3">
        <v>9895</v>
      </c>
      <c r="G786" s="3">
        <v>87814</v>
      </c>
      <c r="H786" s="3">
        <v>1.0449999999999999</v>
      </c>
      <c r="I786" s="2">
        <f t="shared" si="181"/>
        <v>0</v>
      </c>
      <c r="J786" s="10">
        <f t="shared" si="183"/>
        <v>-20</v>
      </c>
      <c r="K786" s="10">
        <f t="shared" si="182"/>
        <v>25</v>
      </c>
      <c r="L786" s="10">
        <f t="shared" ca="1" si="171"/>
        <v>0</v>
      </c>
      <c r="M786" s="10">
        <f t="shared" ca="1" si="173"/>
        <v>0</v>
      </c>
      <c r="N786" s="30">
        <f t="shared" ca="1" si="174"/>
        <v>0</v>
      </c>
      <c r="O786" s="10">
        <f t="shared" ca="1" si="175"/>
        <v>0</v>
      </c>
      <c r="P786" s="29">
        <f t="shared" ca="1" si="176"/>
        <v>0</v>
      </c>
      <c r="Q786" s="12">
        <f t="shared" ca="1" si="177"/>
        <v>-394400</v>
      </c>
      <c r="R786" s="10">
        <f t="shared" ca="1" si="178"/>
        <v>0</v>
      </c>
      <c r="S786" s="10">
        <f t="shared" ca="1" si="168"/>
        <v>-1.1349584878996644</v>
      </c>
      <c r="T786" s="14">
        <f t="shared" ca="1" si="169"/>
        <v>-0.24249617302344736</v>
      </c>
      <c r="U786" s="12">
        <f t="shared" ca="1" si="179"/>
        <v>7900</v>
      </c>
      <c r="V786" s="14">
        <f t="shared" ca="1" si="180"/>
        <v>-5092.4050632911394</v>
      </c>
      <c r="W786" s="12">
        <f t="shared" ca="1" si="170"/>
        <v>-1774.6835443037974</v>
      </c>
      <c r="X786" s="7">
        <f ca="1">AVERAGE(E786:OFFSET(F786,-$X$5+1,0))</f>
        <v>9800.6</v>
      </c>
      <c r="Y786" s="7">
        <f ca="1">AVERAGE(E786:OFFSET(F786,-$Y$5+1,0))</f>
        <v>9733.65</v>
      </c>
      <c r="Z786" s="7">
        <f t="shared" ca="1" si="172"/>
        <v>0</v>
      </c>
    </row>
    <row r="787" spans="1:26">
      <c r="A787" s="3" t="s">
        <v>62</v>
      </c>
      <c r="B787" s="4">
        <v>42815</v>
      </c>
      <c r="C787" s="3">
        <v>9926</v>
      </c>
      <c r="D787" s="3">
        <v>9980</v>
      </c>
      <c r="E787" s="3">
        <v>9916</v>
      </c>
      <c r="F787" s="3">
        <v>9962</v>
      </c>
      <c r="G787" s="3">
        <v>117665</v>
      </c>
      <c r="H787" s="3">
        <v>1.0449999999999999</v>
      </c>
      <c r="I787" s="2">
        <f t="shared" si="181"/>
        <v>0</v>
      </c>
      <c r="J787" s="10">
        <f t="shared" si="183"/>
        <v>31</v>
      </c>
      <c r="K787" s="10">
        <f t="shared" si="182"/>
        <v>36</v>
      </c>
      <c r="L787" s="10">
        <f t="shared" ca="1" si="171"/>
        <v>0</v>
      </c>
      <c r="M787" s="10">
        <f t="shared" ca="1" si="173"/>
        <v>0</v>
      </c>
      <c r="N787" s="30">
        <f t="shared" ca="1" si="174"/>
        <v>0</v>
      </c>
      <c r="O787" s="10">
        <f t="shared" ca="1" si="175"/>
        <v>0</v>
      </c>
      <c r="P787" s="29">
        <f t="shared" ca="1" si="176"/>
        <v>0</v>
      </c>
      <c r="Q787" s="12">
        <f t="shared" ca="1" si="177"/>
        <v>-394400</v>
      </c>
      <c r="R787" s="10">
        <f t="shared" ca="1" si="178"/>
        <v>0</v>
      </c>
      <c r="S787" s="10">
        <f t="shared" ca="1" si="168"/>
        <v>-1.1349584878996644</v>
      </c>
      <c r="T787" s="14">
        <f t="shared" ca="1" si="169"/>
        <v>-0.24249923550886546</v>
      </c>
      <c r="U787" s="12">
        <f t="shared" ca="1" si="179"/>
        <v>7900</v>
      </c>
      <c r="V787" s="14">
        <f t="shared" ca="1" si="180"/>
        <v>-5092.4050632911394</v>
      </c>
      <c r="W787" s="12">
        <f t="shared" ca="1" si="170"/>
        <v>-1774.6835443037974</v>
      </c>
      <c r="X787" s="7">
        <f ca="1">AVERAGE(E787:OFFSET(F787,-$X$5+1,0))</f>
        <v>9842.4</v>
      </c>
      <c r="Y787" s="7">
        <f ca="1">AVERAGE(E787:OFFSET(F787,-$Y$5+1,0))</f>
        <v>9757.1</v>
      </c>
      <c r="Z787" s="7">
        <f t="shared" ca="1" si="172"/>
        <v>0</v>
      </c>
    </row>
    <row r="788" spans="1:26">
      <c r="A788" s="3" t="s">
        <v>62</v>
      </c>
      <c r="B788" s="4">
        <v>42816</v>
      </c>
      <c r="C788" s="3">
        <v>9890</v>
      </c>
      <c r="D788" s="3">
        <v>9907</v>
      </c>
      <c r="E788" s="3">
        <v>9851</v>
      </c>
      <c r="F788" s="3">
        <v>9898</v>
      </c>
      <c r="G788" s="3">
        <v>131137</v>
      </c>
      <c r="H788" s="3">
        <v>1.0449999999999999</v>
      </c>
      <c r="I788" s="2">
        <f t="shared" si="181"/>
        <v>0</v>
      </c>
      <c r="J788" s="10">
        <f t="shared" si="183"/>
        <v>-72</v>
      </c>
      <c r="K788" s="10">
        <f t="shared" si="182"/>
        <v>8</v>
      </c>
      <c r="L788" s="10">
        <f t="shared" ca="1" si="171"/>
        <v>0</v>
      </c>
      <c r="M788" s="10">
        <f t="shared" ca="1" si="173"/>
        <v>0</v>
      </c>
      <c r="N788" s="30">
        <f t="shared" ca="1" si="174"/>
        <v>0</v>
      </c>
      <c r="O788" s="10">
        <f t="shared" ca="1" si="175"/>
        <v>0</v>
      </c>
      <c r="P788" s="29">
        <f t="shared" ca="1" si="176"/>
        <v>0</v>
      </c>
      <c r="Q788" s="12">
        <f t="shared" ca="1" si="177"/>
        <v>-394400</v>
      </c>
      <c r="R788" s="10">
        <f t="shared" ca="1" si="178"/>
        <v>0</v>
      </c>
      <c r="S788" s="10">
        <f t="shared" ca="1" si="168"/>
        <v>-1.1349584878996644</v>
      </c>
      <c r="T788" s="14">
        <f t="shared" ca="1" si="169"/>
        <v>-0.24348766376563949</v>
      </c>
      <c r="U788" s="12">
        <f t="shared" ca="1" si="179"/>
        <v>7900</v>
      </c>
      <c r="V788" s="14">
        <f t="shared" ca="1" si="180"/>
        <v>-5092.4050632911394</v>
      </c>
      <c r="W788" s="12">
        <f t="shared" ca="1" si="170"/>
        <v>-1774.6835443037974</v>
      </c>
      <c r="X788" s="7">
        <f ca="1">AVERAGE(E788:OFFSET(F788,-$X$5+1,0))</f>
        <v>9872.6</v>
      </c>
      <c r="Y788" s="7">
        <f ca="1">AVERAGE(E788:OFFSET(F788,-$Y$5+1,0))</f>
        <v>9772.1</v>
      </c>
      <c r="Z788" s="7">
        <f t="shared" ca="1" si="172"/>
        <v>0</v>
      </c>
    </row>
    <row r="789" spans="1:26">
      <c r="A789" s="3" t="s">
        <v>62</v>
      </c>
      <c r="B789" s="4">
        <v>42817</v>
      </c>
      <c r="C789" s="3">
        <v>9941</v>
      </c>
      <c r="D789" s="3">
        <v>9952</v>
      </c>
      <c r="E789" s="3">
        <v>9879</v>
      </c>
      <c r="F789" s="3">
        <v>9909</v>
      </c>
      <c r="G789" s="3">
        <v>124574</v>
      </c>
      <c r="H789" s="3">
        <v>1.0449999999999999</v>
      </c>
      <c r="I789" s="2">
        <f t="shared" si="181"/>
        <v>0</v>
      </c>
      <c r="J789" s="10">
        <f t="shared" si="183"/>
        <v>43</v>
      </c>
      <c r="K789" s="10">
        <f t="shared" si="182"/>
        <v>-32</v>
      </c>
      <c r="L789" s="10">
        <f t="shared" ca="1" si="171"/>
        <v>0</v>
      </c>
      <c r="M789" s="10">
        <f t="shared" ca="1" si="173"/>
        <v>0</v>
      </c>
      <c r="N789" s="30">
        <f t="shared" ca="1" si="174"/>
        <v>0</v>
      </c>
      <c r="O789" s="10">
        <f t="shared" ca="1" si="175"/>
        <v>0</v>
      </c>
      <c r="P789" s="29">
        <f t="shared" ca="1" si="176"/>
        <v>0</v>
      </c>
      <c r="Q789" s="12">
        <f t="shared" ca="1" si="177"/>
        <v>-394400</v>
      </c>
      <c r="R789" s="10">
        <f t="shared" ca="1" si="178"/>
        <v>0</v>
      </c>
      <c r="S789" s="10">
        <f t="shared" ca="1" si="168"/>
        <v>-1.1349584878996644</v>
      </c>
      <c r="T789" s="14">
        <f t="shared" ca="1" si="169"/>
        <v>-0.24347682448663524</v>
      </c>
      <c r="U789" s="12">
        <f t="shared" ca="1" si="179"/>
        <v>7900</v>
      </c>
      <c r="V789" s="14">
        <f t="shared" ca="1" si="180"/>
        <v>-5092.4050632911394</v>
      </c>
      <c r="W789" s="12">
        <f t="shared" ca="1" si="170"/>
        <v>-1774.6835443037974</v>
      </c>
      <c r="X789" s="7">
        <f ca="1">AVERAGE(E789:OFFSET(F789,-$X$5+1,0))</f>
        <v>9889.2000000000007</v>
      </c>
      <c r="Y789" s="7">
        <f ca="1">AVERAGE(E789:OFFSET(F789,-$Y$5+1,0))</f>
        <v>9796.7999999999993</v>
      </c>
      <c r="Z789" s="7">
        <f t="shared" ca="1" si="172"/>
        <v>0</v>
      </c>
    </row>
    <row r="790" spans="1:26">
      <c r="A790" s="3" t="s">
        <v>62</v>
      </c>
      <c r="B790" s="4">
        <v>42818</v>
      </c>
      <c r="C790" s="3">
        <v>9927</v>
      </c>
      <c r="D790" s="3">
        <v>9928</v>
      </c>
      <c r="E790" s="3">
        <v>9883</v>
      </c>
      <c r="F790" s="3">
        <v>9901</v>
      </c>
      <c r="G790" s="3">
        <v>100432</v>
      </c>
      <c r="H790" s="3">
        <v>1.0449999999999999</v>
      </c>
      <c r="I790" s="2">
        <f t="shared" si="181"/>
        <v>0</v>
      </c>
      <c r="J790" s="10">
        <f t="shared" si="183"/>
        <v>18</v>
      </c>
      <c r="K790" s="10">
        <f t="shared" si="182"/>
        <v>-26</v>
      </c>
      <c r="L790" s="10">
        <f t="shared" ca="1" si="171"/>
        <v>0</v>
      </c>
      <c r="M790" s="10">
        <f t="shared" ca="1" si="173"/>
        <v>0</v>
      </c>
      <c r="N790" s="30">
        <f t="shared" ca="1" si="174"/>
        <v>0</v>
      </c>
      <c r="O790" s="10">
        <f t="shared" ca="1" si="175"/>
        <v>0</v>
      </c>
      <c r="P790" s="29">
        <f t="shared" ca="1" si="176"/>
        <v>0</v>
      </c>
      <c r="Q790" s="12">
        <f t="shared" ca="1" si="177"/>
        <v>-394400</v>
      </c>
      <c r="R790" s="10">
        <f t="shared" ca="1" si="178"/>
        <v>0</v>
      </c>
      <c r="S790" s="10">
        <f t="shared" ca="1" si="168"/>
        <v>-0.91966966966966968</v>
      </c>
      <c r="T790" s="14">
        <f t="shared" ca="1" si="169"/>
        <v>-0.22475191813713608</v>
      </c>
      <c r="U790" s="12">
        <f t="shared" ca="1" si="179"/>
        <v>7900</v>
      </c>
      <c r="V790" s="14">
        <f t="shared" ca="1" si="180"/>
        <v>-5092.4050632911394</v>
      </c>
      <c r="W790" s="12">
        <f t="shared" ca="1" si="170"/>
        <v>-1774.6835443037974</v>
      </c>
      <c r="X790" s="7">
        <f ca="1">AVERAGE(E790:OFFSET(F790,-$X$5+1,0))</f>
        <v>9894.9</v>
      </c>
      <c r="Y790" s="7">
        <f ca="1">AVERAGE(E790:OFFSET(F790,-$Y$5+1,0))</f>
        <v>9827</v>
      </c>
      <c r="Z790" s="7">
        <f t="shared" ca="1" si="172"/>
        <v>0</v>
      </c>
    </row>
    <row r="791" spans="1:26">
      <c r="A791" s="3" t="s">
        <v>62</v>
      </c>
      <c r="B791" s="4">
        <v>42821</v>
      </c>
      <c r="C791" s="3">
        <v>9878</v>
      </c>
      <c r="D791" s="3">
        <v>9917</v>
      </c>
      <c r="E791" s="3">
        <v>9844</v>
      </c>
      <c r="F791" s="3">
        <v>9865</v>
      </c>
      <c r="G791" s="3">
        <v>121135</v>
      </c>
      <c r="H791" s="3">
        <v>1.0449999999999999</v>
      </c>
      <c r="I791" s="2">
        <f t="shared" si="181"/>
        <v>0</v>
      </c>
      <c r="J791" s="10">
        <f t="shared" si="183"/>
        <v>-23</v>
      </c>
      <c r="K791" s="10">
        <f t="shared" si="182"/>
        <v>-13</v>
      </c>
      <c r="L791" s="10">
        <f t="shared" ca="1" si="171"/>
        <v>0</v>
      </c>
      <c r="M791" s="10">
        <f t="shared" ca="1" si="173"/>
        <v>0</v>
      </c>
      <c r="N791" s="30">
        <f t="shared" ca="1" si="174"/>
        <v>0</v>
      </c>
      <c r="O791" s="10">
        <f t="shared" ca="1" si="175"/>
        <v>0</v>
      </c>
      <c r="P791" s="29">
        <f t="shared" ca="1" si="176"/>
        <v>0</v>
      </c>
      <c r="Q791" s="12">
        <f t="shared" ca="1" si="177"/>
        <v>-394400</v>
      </c>
      <c r="R791" s="10">
        <f t="shared" ca="1" si="178"/>
        <v>0</v>
      </c>
      <c r="S791" s="10">
        <f t="shared" ca="1" si="168"/>
        <v>-0.97487193075428369</v>
      </c>
      <c r="T791" s="14">
        <f t="shared" ca="1" si="169"/>
        <v>-0.23103101260551906</v>
      </c>
      <c r="U791" s="12">
        <f t="shared" ca="1" si="179"/>
        <v>7900</v>
      </c>
      <c r="V791" s="14">
        <f t="shared" ca="1" si="180"/>
        <v>-5092.4050632911394</v>
      </c>
      <c r="W791" s="12">
        <f t="shared" ca="1" si="170"/>
        <v>-1774.6835443037974</v>
      </c>
      <c r="X791" s="7">
        <f ca="1">AVERAGE(E791:OFFSET(F791,-$X$5+1,0))</f>
        <v>9890.7999999999993</v>
      </c>
      <c r="Y791" s="7">
        <f ca="1">AVERAGE(E791:OFFSET(F791,-$Y$5+1,0))</f>
        <v>9845.7000000000007</v>
      </c>
      <c r="Z791" s="7">
        <f t="shared" ca="1" si="172"/>
        <v>0</v>
      </c>
    </row>
    <row r="792" spans="1:26">
      <c r="A792" s="3" t="s">
        <v>62</v>
      </c>
      <c r="B792" s="4">
        <v>42822</v>
      </c>
      <c r="C792" s="3">
        <v>9920</v>
      </c>
      <c r="D792" s="3">
        <v>9927</v>
      </c>
      <c r="E792" s="3">
        <v>9805</v>
      </c>
      <c r="F792" s="3">
        <v>9883</v>
      </c>
      <c r="G792" s="3">
        <v>180278</v>
      </c>
      <c r="H792" s="3">
        <v>1.0449999999999999</v>
      </c>
      <c r="I792" s="2">
        <f t="shared" si="181"/>
        <v>0</v>
      </c>
      <c r="J792" s="10">
        <f t="shared" si="183"/>
        <v>55</v>
      </c>
      <c r="K792" s="10">
        <f t="shared" si="182"/>
        <v>-37</v>
      </c>
      <c r="L792" s="10">
        <f t="shared" ca="1" si="171"/>
        <v>0</v>
      </c>
      <c r="M792" s="10">
        <f t="shared" ca="1" si="173"/>
        <v>0</v>
      </c>
      <c r="N792" s="30">
        <f t="shared" ca="1" si="174"/>
        <v>0</v>
      </c>
      <c r="O792" s="10">
        <f t="shared" ca="1" si="175"/>
        <v>0</v>
      </c>
      <c r="P792" s="29">
        <f t="shared" ca="1" si="176"/>
        <v>0</v>
      </c>
      <c r="Q792" s="12">
        <f t="shared" ca="1" si="177"/>
        <v>-394400</v>
      </c>
      <c r="R792" s="10">
        <f t="shared" ca="1" si="178"/>
        <v>0</v>
      </c>
      <c r="S792" s="10">
        <f t="shared" ca="1" si="168"/>
        <v>-1.1647677088853559</v>
      </c>
      <c r="T792" s="14">
        <f t="shared" ca="1" si="169"/>
        <v>-0.25230877936484358</v>
      </c>
      <c r="U792" s="12">
        <f t="shared" ca="1" si="179"/>
        <v>7900</v>
      </c>
      <c r="V792" s="14">
        <f t="shared" ca="1" si="180"/>
        <v>-5092.4050632911394</v>
      </c>
      <c r="W792" s="12">
        <f t="shared" ca="1" si="170"/>
        <v>-1774.6835443037974</v>
      </c>
      <c r="X792" s="7">
        <f ca="1">AVERAGE(E792:OFFSET(F792,-$X$5+1,0))</f>
        <v>9871.7999999999993</v>
      </c>
      <c r="Y792" s="7">
        <f ca="1">AVERAGE(E792:OFFSET(F792,-$Y$5+1,0))</f>
        <v>9857.1</v>
      </c>
      <c r="Z792" s="7">
        <f t="shared" ca="1" si="172"/>
        <v>0</v>
      </c>
    </row>
    <row r="793" spans="1:26">
      <c r="A793" s="3" t="s">
        <v>62</v>
      </c>
      <c r="B793" s="4">
        <v>42823</v>
      </c>
      <c r="C793" s="3">
        <v>9902</v>
      </c>
      <c r="D793" s="3">
        <v>9904</v>
      </c>
      <c r="E793" s="3">
        <v>9851</v>
      </c>
      <c r="F793" s="3">
        <v>9862</v>
      </c>
      <c r="G793" s="3">
        <v>112257</v>
      </c>
      <c r="H793" s="3">
        <v>1.0449999999999999</v>
      </c>
      <c r="I793" s="2">
        <f t="shared" si="181"/>
        <v>0</v>
      </c>
      <c r="J793" s="10">
        <f t="shared" si="183"/>
        <v>19</v>
      </c>
      <c r="K793" s="10">
        <f t="shared" si="182"/>
        <v>-40</v>
      </c>
      <c r="L793" s="10">
        <f t="shared" ca="1" si="171"/>
        <v>-1</v>
      </c>
      <c r="M793" s="10">
        <f t="shared" ca="1" si="173"/>
        <v>0</v>
      </c>
      <c r="N793" s="30">
        <f t="shared" ca="1" si="174"/>
        <v>0</v>
      </c>
      <c r="O793" s="10">
        <f t="shared" ca="1" si="175"/>
        <v>0</v>
      </c>
      <c r="P793" s="29">
        <f t="shared" ca="1" si="176"/>
        <v>0</v>
      </c>
      <c r="Q793" s="12">
        <f t="shared" ca="1" si="177"/>
        <v>-394400</v>
      </c>
      <c r="R793" s="10">
        <f t="shared" ca="1" si="178"/>
        <v>0</v>
      </c>
      <c r="S793" s="10">
        <f t="shared" ca="1" si="168"/>
        <v>-1.5379349938173468</v>
      </c>
      <c r="T793" s="14">
        <f t="shared" ca="1" si="169"/>
        <v>-0.29418634936703131</v>
      </c>
      <c r="U793" s="12">
        <f t="shared" ca="1" si="179"/>
        <v>7900</v>
      </c>
      <c r="V793" s="14">
        <f t="shared" ca="1" si="180"/>
        <v>-5092.4050632911394</v>
      </c>
      <c r="W793" s="12">
        <f t="shared" ca="1" si="170"/>
        <v>-1774.6835443037974</v>
      </c>
      <c r="X793" s="7">
        <f ca="1">AVERAGE(E793:OFFSET(F793,-$X$5+1,0))</f>
        <v>9868.2000000000007</v>
      </c>
      <c r="Y793" s="7">
        <f ca="1">AVERAGE(E793:OFFSET(F793,-$Y$5+1,0))</f>
        <v>9870.4</v>
      </c>
      <c r="Z793" s="7">
        <f t="shared" ca="1" si="172"/>
        <v>-1</v>
      </c>
    </row>
    <row r="794" spans="1:26">
      <c r="A794" s="3" t="s">
        <v>62</v>
      </c>
      <c r="B794" s="4">
        <v>42824</v>
      </c>
      <c r="C794" s="3">
        <v>9864</v>
      </c>
      <c r="D794" s="3">
        <v>9888</v>
      </c>
      <c r="E794" s="3">
        <v>9834</v>
      </c>
      <c r="F794" s="3">
        <v>9850</v>
      </c>
      <c r="G794" s="3">
        <v>101697</v>
      </c>
      <c r="H794" s="3">
        <v>1.0449999999999999</v>
      </c>
      <c r="I794" s="2">
        <f t="shared" si="181"/>
        <v>0</v>
      </c>
      <c r="J794" s="10">
        <f t="shared" si="183"/>
        <v>2</v>
      </c>
      <c r="K794" s="10">
        <f t="shared" si="182"/>
        <v>-14</v>
      </c>
      <c r="L794" s="10">
        <f t="shared" ca="1" si="171"/>
        <v>0</v>
      </c>
      <c r="M794" s="10">
        <f t="shared" ca="1" si="173"/>
        <v>-1</v>
      </c>
      <c r="N794" s="30">
        <f t="shared" ca="1" si="174"/>
        <v>0</v>
      </c>
      <c r="O794" s="10">
        <f t="shared" ca="1" si="175"/>
        <v>1972800</v>
      </c>
      <c r="P794" s="29">
        <f t="shared" ca="1" si="176"/>
        <v>2300</v>
      </c>
      <c r="Q794" s="12">
        <f t="shared" ca="1" si="177"/>
        <v>-392100</v>
      </c>
      <c r="R794" s="10">
        <f t="shared" ca="1" si="178"/>
        <v>0.11658556366585564</v>
      </c>
      <c r="S794" s="10">
        <f t="shared" ca="1" si="168"/>
        <v>-1.5611199434728846</v>
      </c>
      <c r="T794" s="14">
        <f t="shared" ca="1" si="169"/>
        <v>-0.29669529181753967</v>
      </c>
      <c r="U794" s="12">
        <f t="shared" ca="1" si="179"/>
        <v>7900</v>
      </c>
      <c r="V794" s="14">
        <f t="shared" ca="1" si="180"/>
        <v>-5063.2911392405067</v>
      </c>
      <c r="W794" s="12">
        <f t="shared" ca="1" si="170"/>
        <v>-1774.6835443037974</v>
      </c>
      <c r="X794" s="7">
        <f ca="1">AVERAGE(E794:OFFSET(F794,-$X$5+1,0))</f>
        <v>9857.7999999999993</v>
      </c>
      <c r="Y794" s="7">
        <f ca="1">AVERAGE(E794:OFFSET(F794,-$Y$5+1,0))</f>
        <v>9873.5</v>
      </c>
      <c r="Z794" s="7">
        <f t="shared" ca="1" si="172"/>
        <v>0</v>
      </c>
    </row>
    <row r="795" spans="1:26">
      <c r="A795" s="3" t="s">
        <v>62</v>
      </c>
      <c r="B795" s="4">
        <v>42825</v>
      </c>
      <c r="C795" s="3">
        <v>9858</v>
      </c>
      <c r="D795" s="3">
        <v>9872</v>
      </c>
      <c r="E795" s="3">
        <v>9812</v>
      </c>
      <c r="F795" s="3">
        <v>9821</v>
      </c>
      <c r="G795" s="3">
        <v>97954</v>
      </c>
      <c r="H795" s="3">
        <v>1.0449999999999999</v>
      </c>
      <c r="I795" s="2">
        <f t="shared" si="181"/>
        <v>0</v>
      </c>
      <c r="J795" s="10">
        <f t="shared" si="183"/>
        <v>8</v>
      </c>
      <c r="K795" s="10">
        <f t="shared" si="182"/>
        <v>-37</v>
      </c>
      <c r="L795" s="10">
        <f t="shared" ca="1" si="171"/>
        <v>0</v>
      </c>
      <c r="M795" s="10">
        <f t="shared" ca="1" si="173"/>
        <v>-1</v>
      </c>
      <c r="N795" s="30">
        <f t="shared" ca="1" si="174"/>
        <v>0</v>
      </c>
      <c r="O795" s="10">
        <f t="shared" ca="1" si="175"/>
        <v>1972800</v>
      </c>
      <c r="P795" s="29">
        <f t="shared" ca="1" si="176"/>
        <v>5800</v>
      </c>
      <c r="Q795" s="12">
        <f t="shared" ca="1" si="177"/>
        <v>-386300</v>
      </c>
      <c r="R795" s="10">
        <f t="shared" ca="1" si="178"/>
        <v>0.29399837793998379</v>
      </c>
      <c r="S795" s="10">
        <f t="shared" ca="1" si="168"/>
        <v>-1.3955131602190425</v>
      </c>
      <c r="T795" s="14">
        <f t="shared" ca="1" si="169"/>
        <v>-0.27786349791312809</v>
      </c>
      <c r="U795" s="12">
        <f t="shared" ca="1" si="179"/>
        <v>7900</v>
      </c>
      <c r="V795" s="14">
        <f t="shared" ca="1" si="180"/>
        <v>-4989.8734177215192</v>
      </c>
      <c r="W795" s="12">
        <f t="shared" ca="1" si="170"/>
        <v>-1774.6835443037974</v>
      </c>
      <c r="X795" s="7">
        <f ca="1">AVERAGE(E795:OFFSET(F795,-$X$5+1,0))</f>
        <v>9842.7000000000007</v>
      </c>
      <c r="Y795" s="7">
        <f ca="1">AVERAGE(E795:OFFSET(F795,-$Y$5+1,0))</f>
        <v>9868.7999999999993</v>
      </c>
      <c r="Z795" s="7">
        <f t="shared" ca="1" si="172"/>
        <v>0</v>
      </c>
    </row>
    <row r="796" spans="1:26">
      <c r="A796" s="3" t="s">
        <v>62</v>
      </c>
      <c r="B796" s="4">
        <v>42830</v>
      </c>
      <c r="C796" s="3">
        <v>9849</v>
      </c>
      <c r="D796" s="3">
        <v>9968</v>
      </c>
      <c r="E796" s="3">
        <v>9843</v>
      </c>
      <c r="F796" s="3">
        <v>9961</v>
      </c>
      <c r="G796" s="3">
        <v>138318</v>
      </c>
      <c r="H796" s="3">
        <v>1.0449999999999999</v>
      </c>
      <c r="I796" s="2">
        <f t="shared" si="181"/>
        <v>0</v>
      </c>
      <c r="J796" s="10">
        <f t="shared" si="183"/>
        <v>28</v>
      </c>
      <c r="K796" s="10">
        <f t="shared" si="182"/>
        <v>112</v>
      </c>
      <c r="L796" s="10">
        <f t="shared" ca="1" si="171"/>
        <v>0</v>
      </c>
      <c r="M796" s="10">
        <f t="shared" ca="1" si="173"/>
        <v>-1</v>
      </c>
      <c r="N796" s="30">
        <f t="shared" ca="1" si="174"/>
        <v>0</v>
      </c>
      <c r="O796" s="10">
        <f t="shared" ca="1" si="175"/>
        <v>1972800</v>
      </c>
      <c r="P796" s="29">
        <f t="shared" ca="1" si="176"/>
        <v>-28000</v>
      </c>
      <c r="Q796" s="12">
        <f t="shared" ca="1" si="177"/>
        <v>-414300</v>
      </c>
      <c r="R796" s="10">
        <f t="shared" ca="1" si="178"/>
        <v>-1.4193025141930251</v>
      </c>
      <c r="S796" s="10">
        <f t="shared" ca="1" si="168"/>
        <v>-1.6384031089913442</v>
      </c>
      <c r="T796" s="14">
        <f t="shared" ca="1" si="169"/>
        <v>-0.30177835468337616</v>
      </c>
      <c r="U796" s="12">
        <f t="shared" ca="1" si="179"/>
        <v>7900</v>
      </c>
      <c r="V796" s="14">
        <f t="shared" ca="1" si="180"/>
        <v>-5344.3037974683548</v>
      </c>
      <c r="W796" s="12">
        <f t="shared" ca="1" si="170"/>
        <v>-1774.6835443037974</v>
      </c>
      <c r="X796" s="7">
        <f ca="1">AVERAGE(E796:OFFSET(F796,-$X$5+1,0))</f>
        <v>9852.2000000000007</v>
      </c>
      <c r="Y796" s="7">
        <f ca="1">AVERAGE(E796:OFFSET(F796,-$Y$5+1,0))</f>
        <v>9871.5</v>
      </c>
      <c r="Z796" s="7">
        <f t="shared" ca="1" si="172"/>
        <v>0</v>
      </c>
    </row>
    <row r="797" spans="1:26">
      <c r="A797" s="3" t="s">
        <v>62</v>
      </c>
      <c r="B797" s="4">
        <v>42831</v>
      </c>
      <c r="C797" s="3">
        <v>9930</v>
      </c>
      <c r="D797" s="3">
        <v>9941</v>
      </c>
      <c r="E797" s="3">
        <v>9880</v>
      </c>
      <c r="F797" s="3">
        <v>9897</v>
      </c>
      <c r="G797" s="3">
        <v>111709</v>
      </c>
      <c r="H797" s="3">
        <v>1.0449999999999999</v>
      </c>
      <c r="I797" s="2">
        <f t="shared" si="181"/>
        <v>0</v>
      </c>
      <c r="J797" s="10">
        <f t="shared" si="183"/>
        <v>-31</v>
      </c>
      <c r="K797" s="10">
        <f t="shared" si="182"/>
        <v>-33</v>
      </c>
      <c r="L797" s="10">
        <f t="shared" ca="1" si="171"/>
        <v>0</v>
      </c>
      <c r="M797" s="10">
        <f t="shared" ca="1" si="173"/>
        <v>-1</v>
      </c>
      <c r="N797" s="30">
        <f t="shared" ca="1" si="174"/>
        <v>0</v>
      </c>
      <c r="O797" s="10">
        <f t="shared" ca="1" si="175"/>
        <v>1972800</v>
      </c>
      <c r="P797" s="29">
        <f t="shared" ca="1" si="176"/>
        <v>12800</v>
      </c>
      <c r="Q797" s="12">
        <f t="shared" ca="1" si="177"/>
        <v>-401500</v>
      </c>
      <c r="R797" s="10">
        <f t="shared" ca="1" si="178"/>
        <v>0.64882400648824001</v>
      </c>
      <c r="S797" s="10">
        <f t="shared" ca="1" si="168"/>
        <v>-1.5390390390390389</v>
      </c>
      <c r="T797" s="14">
        <f t="shared" ca="1" si="169"/>
        <v>-0.28995391888530325</v>
      </c>
      <c r="U797" s="12">
        <f t="shared" ca="1" si="179"/>
        <v>7900</v>
      </c>
      <c r="V797" s="14">
        <f t="shared" ca="1" si="180"/>
        <v>-5182.2784810126586</v>
      </c>
      <c r="W797" s="12">
        <f t="shared" ca="1" si="170"/>
        <v>-1774.6835443037974</v>
      </c>
      <c r="X797" s="7">
        <f ca="1">AVERAGE(E797:OFFSET(F797,-$X$5+1,0))</f>
        <v>9861.1</v>
      </c>
      <c r="Y797" s="7">
        <f ca="1">AVERAGE(E797:OFFSET(F797,-$Y$5+1,0))</f>
        <v>9866.4500000000007</v>
      </c>
      <c r="Z797" s="7">
        <f t="shared" ca="1" si="172"/>
        <v>0</v>
      </c>
    </row>
    <row r="798" spans="1:26">
      <c r="A798" s="3" t="s">
        <v>62</v>
      </c>
      <c r="B798" s="4">
        <v>42832</v>
      </c>
      <c r="C798" s="3">
        <v>9903</v>
      </c>
      <c r="D798" s="3">
        <v>9905</v>
      </c>
      <c r="E798" s="3">
        <v>9772</v>
      </c>
      <c r="F798" s="3">
        <v>9863</v>
      </c>
      <c r="G798" s="3">
        <v>202548</v>
      </c>
      <c r="H798" s="3">
        <v>1.0449999999999999</v>
      </c>
      <c r="I798" s="2">
        <f t="shared" si="181"/>
        <v>0</v>
      </c>
      <c r="J798" s="10">
        <f t="shared" si="183"/>
        <v>6</v>
      </c>
      <c r="K798" s="10">
        <f t="shared" si="182"/>
        <v>-40</v>
      </c>
      <c r="L798" s="10">
        <f t="shared" ca="1" si="171"/>
        <v>0</v>
      </c>
      <c r="M798" s="10">
        <f t="shared" ca="1" si="173"/>
        <v>-1</v>
      </c>
      <c r="N798" s="30">
        <f t="shared" ca="1" si="174"/>
        <v>0</v>
      </c>
      <c r="O798" s="10">
        <f t="shared" ca="1" si="175"/>
        <v>1972800</v>
      </c>
      <c r="P798" s="29">
        <f t="shared" ca="1" si="176"/>
        <v>6800</v>
      </c>
      <c r="Q798" s="12">
        <f t="shared" ca="1" si="177"/>
        <v>-394700</v>
      </c>
      <c r="R798" s="10">
        <f t="shared" ca="1" si="178"/>
        <v>0.34468775344687752</v>
      </c>
      <c r="S798" s="10">
        <f t="shared" ca="1" si="168"/>
        <v>-1.1482070305599716</v>
      </c>
      <c r="T798" s="14">
        <f t="shared" ca="1" si="169"/>
        <v>-0.24638994634543029</v>
      </c>
      <c r="U798" s="12">
        <f t="shared" ca="1" si="179"/>
        <v>7900</v>
      </c>
      <c r="V798" s="14">
        <f t="shared" ca="1" si="180"/>
        <v>-5096.2025316455693</v>
      </c>
      <c r="W798" s="12">
        <f t="shared" ca="1" si="170"/>
        <v>-1774.6835443037974</v>
      </c>
      <c r="X798" s="7">
        <f ca="1">AVERAGE(E798:OFFSET(F798,-$X$5+1,0))</f>
        <v>9853.2999999999993</v>
      </c>
      <c r="Y798" s="7">
        <f ca="1">AVERAGE(E798:OFFSET(F798,-$Y$5+1,0))</f>
        <v>9860.75</v>
      </c>
      <c r="Z798" s="7">
        <f t="shared" ca="1" si="172"/>
        <v>0</v>
      </c>
    </row>
    <row r="799" spans="1:26">
      <c r="A799" s="3" t="s">
        <v>62</v>
      </c>
      <c r="B799" s="4">
        <v>42835</v>
      </c>
      <c r="C799" s="3">
        <v>9868</v>
      </c>
      <c r="D799" s="3">
        <v>9892</v>
      </c>
      <c r="E799" s="3">
        <v>9843</v>
      </c>
      <c r="F799" s="3">
        <v>9876</v>
      </c>
      <c r="G799" s="3">
        <v>94012</v>
      </c>
      <c r="H799" s="3">
        <v>1.0449999999999999</v>
      </c>
      <c r="I799" s="2">
        <f t="shared" si="181"/>
        <v>0</v>
      </c>
      <c r="J799" s="10">
        <f t="shared" si="183"/>
        <v>5</v>
      </c>
      <c r="K799" s="10">
        <f t="shared" si="182"/>
        <v>8</v>
      </c>
      <c r="L799" s="10">
        <f t="shared" ca="1" si="171"/>
        <v>0</v>
      </c>
      <c r="M799" s="10">
        <f t="shared" ca="1" si="173"/>
        <v>-1</v>
      </c>
      <c r="N799" s="30">
        <f t="shared" ca="1" si="174"/>
        <v>0</v>
      </c>
      <c r="O799" s="10">
        <f t="shared" ca="1" si="175"/>
        <v>1972800</v>
      </c>
      <c r="P799" s="29">
        <f t="shared" ca="1" si="176"/>
        <v>-2600</v>
      </c>
      <c r="Q799" s="12">
        <f t="shared" ca="1" si="177"/>
        <v>-397300</v>
      </c>
      <c r="R799" s="10">
        <f t="shared" ca="1" si="178"/>
        <v>-0.13179237631792376</v>
      </c>
      <c r="S799" s="10">
        <f t="shared" ca="1" si="168"/>
        <v>-1.1261261261261262</v>
      </c>
      <c r="T799" s="14">
        <f t="shared" ca="1" si="169"/>
        <v>-0.24386268501351085</v>
      </c>
      <c r="U799" s="12">
        <f t="shared" ca="1" si="179"/>
        <v>7900</v>
      </c>
      <c r="V799" s="14">
        <f t="shared" ca="1" si="180"/>
        <v>-5129.1139240506327</v>
      </c>
      <c r="W799" s="12">
        <f t="shared" ca="1" si="170"/>
        <v>-1774.6835443037974</v>
      </c>
      <c r="X799" s="7">
        <f ca="1">AVERAGE(E799:OFFSET(F799,-$X$5+1,0))</f>
        <v>9856.7999999999993</v>
      </c>
      <c r="Y799" s="7">
        <f ca="1">AVERAGE(E799:OFFSET(F799,-$Y$5+1,0))</f>
        <v>9857.2999999999993</v>
      </c>
      <c r="Z799" s="7">
        <f t="shared" ca="1" si="172"/>
        <v>0</v>
      </c>
    </row>
    <row r="800" spans="1:26">
      <c r="A800" s="3" t="s">
        <v>62</v>
      </c>
      <c r="B800" s="4">
        <v>42836</v>
      </c>
      <c r="C800" s="3">
        <v>9866</v>
      </c>
      <c r="D800" s="3">
        <v>9895</v>
      </c>
      <c r="E800" s="3">
        <v>9807</v>
      </c>
      <c r="F800" s="3">
        <v>9816</v>
      </c>
      <c r="G800" s="3">
        <v>156736</v>
      </c>
      <c r="H800" s="3">
        <v>1.0449999999999999</v>
      </c>
      <c r="I800" s="2">
        <f t="shared" si="181"/>
        <v>0</v>
      </c>
      <c r="J800" s="10">
        <f t="shared" si="183"/>
        <v>-10</v>
      </c>
      <c r="K800" s="10">
        <f t="shared" si="182"/>
        <v>-50</v>
      </c>
      <c r="L800" s="10">
        <f t="shared" ca="1" si="171"/>
        <v>1</v>
      </c>
      <c r="M800" s="10">
        <f t="shared" ca="1" si="173"/>
        <v>-1</v>
      </c>
      <c r="N800" s="30">
        <f t="shared" ca="1" si="174"/>
        <v>0</v>
      </c>
      <c r="O800" s="10">
        <f t="shared" ca="1" si="175"/>
        <v>1972800</v>
      </c>
      <c r="P800" s="29">
        <f t="shared" ca="1" si="176"/>
        <v>12000</v>
      </c>
      <c r="Q800" s="12">
        <f t="shared" ca="1" si="177"/>
        <v>-385300</v>
      </c>
      <c r="R800" s="10">
        <f t="shared" ca="1" si="178"/>
        <v>0.6082725060827251</v>
      </c>
      <c r="S800" s="10">
        <f t="shared" ca="1" si="168"/>
        <v>-0.87219572513690158</v>
      </c>
      <c r="T800" s="14">
        <f t="shared" ca="1" si="169"/>
        <v>-0.21521149340050705</v>
      </c>
      <c r="U800" s="12">
        <f t="shared" ca="1" si="179"/>
        <v>7900</v>
      </c>
      <c r="V800" s="14">
        <f t="shared" ca="1" si="180"/>
        <v>-4977.2151898734173</v>
      </c>
      <c r="W800" s="12">
        <f t="shared" ca="1" si="170"/>
        <v>-1774.6835443037974</v>
      </c>
      <c r="X800" s="7">
        <f ca="1">AVERAGE(E800:OFFSET(F800,-$X$5+1,0))</f>
        <v>9855.7999999999993</v>
      </c>
      <c r="Y800" s="7">
        <f ca="1">AVERAGE(E800:OFFSET(F800,-$Y$5+1,0))</f>
        <v>9849.25</v>
      </c>
      <c r="Z800" s="7">
        <f t="shared" ca="1" si="172"/>
        <v>1</v>
      </c>
    </row>
    <row r="801" spans="1:26">
      <c r="A801" s="3" t="s">
        <v>62</v>
      </c>
      <c r="B801" s="4">
        <v>42837</v>
      </c>
      <c r="C801" s="3">
        <v>9818</v>
      </c>
      <c r="D801" s="3">
        <v>9830</v>
      </c>
      <c r="E801" s="3">
        <v>9776</v>
      </c>
      <c r="F801" s="3">
        <v>9814</v>
      </c>
      <c r="G801" s="3">
        <v>119614</v>
      </c>
      <c r="H801" s="3">
        <v>1.0449999999999999</v>
      </c>
      <c r="I801" s="2">
        <f t="shared" si="181"/>
        <v>0</v>
      </c>
      <c r="J801" s="10">
        <f t="shared" si="183"/>
        <v>2</v>
      </c>
      <c r="K801" s="10">
        <f t="shared" si="182"/>
        <v>-4</v>
      </c>
      <c r="L801" s="10">
        <f t="shared" ca="1" si="171"/>
        <v>-1</v>
      </c>
      <c r="M801" s="10">
        <f t="shared" ca="1" si="173"/>
        <v>0</v>
      </c>
      <c r="N801" s="30">
        <f t="shared" ca="1" si="174"/>
        <v>0</v>
      </c>
      <c r="O801" s="10">
        <f t="shared" ca="1" si="175"/>
        <v>0</v>
      </c>
      <c r="P801" s="29">
        <f t="shared" ca="1" si="176"/>
        <v>-900</v>
      </c>
      <c r="Q801" s="12">
        <f t="shared" ca="1" si="177"/>
        <v>-386200</v>
      </c>
      <c r="R801" s="10">
        <f t="shared" ca="1" si="178"/>
        <v>-4.5620437956204379E-2</v>
      </c>
      <c r="S801" s="10">
        <f t="shared" ca="1" si="168"/>
        <v>-1.0201377848436672</v>
      </c>
      <c r="T801" s="14">
        <f t="shared" ca="1" si="169"/>
        <v>-0.23149475206504361</v>
      </c>
      <c r="U801" s="12">
        <f t="shared" ca="1" si="179"/>
        <v>7900</v>
      </c>
      <c r="V801" s="14">
        <f t="shared" ca="1" si="180"/>
        <v>-4988.6075949367087</v>
      </c>
      <c r="W801" s="12">
        <f t="shared" ca="1" si="170"/>
        <v>-1774.6835443037974</v>
      </c>
      <c r="X801" s="7">
        <f ca="1">AVERAGE(E801:OFFSET(F801,-$X$5+1,0))</f>
        <v>9834.4</v>
      </c>
      <c r="Y801" s="7">
        <f ca="1">AVERAGE(E801:OFFSET(F801,-$Y$5+1,0))</f>
        <v>9843.2999999999993</v>
      </c>
      <c r="Z801" s="7">
        <f t="shared" ca="1" si="172"/>
        <v>-1</v>
      </c>
    </row>
    <row r="802" spans="1:26">
      <c r="A802" s="3" t="s">
        <v>62</v>
      </c>
      <c r="B802" s="4">
        <v>42838</v>
      </c>
      <c r="C802" s="3">
        <v>9802</v>
      </c>
      <c r="D802" s="3">
        <v>9869</v>
      </c>
      <c r="E802" s="3">
        <v>9792</v>
      </c>
      <c r="F802" s="3">
        <v>9846</v>
      </c>
      <c r="G802" s="3">
        <v>147700</v>
      </c>
      <c r="H802" s="3">
        <v>1.0449999999999999</v>
      </c>
      <c r="I802" s="2">
        <f t="shared" si="181"/>
        <v>0</v>
      </c>
      <c r="J802" s="10">
        <f t="shared" si="183"/>
        <v>-12</v>
      </c>
      <c r="K802" s="10">
        <f t="shared" si="182"/>
        <v>44</v>
      </c>
      <c r="L802" s="10">
        <f t="shared" ca="1" si="171"/>
        <v>0</v>
      </c>
      <c r="M802" s="10">
        <f t="shared" ca="1" si="173"/>
        <v>-1</v>
      </c>
      <c r="N802" s="30">
        <f t="shared" ca="1" si="174"/>
        <v>0</v>
      </c>
      <c r="O802" s="10">
        <f t="shared" ca="1" si="175"/>
        <v>1960400</v>
      </c>
      <c r="P802" s="29">
        <f t="shared" ca="1" si="176"/>
        <v>-9300</v>
      </c>
      <c r="Q802" s="12">
        <f t="shared" ca="1" si="177"/>
        <v>-395500</v>
      </c>
      <c r="R802" s="10">
        <f t="shared" ca="1" si="178"/>
        <v>-0.47439298102428074</v>
      </c>
      <c r="S802" s="10">
        <f t="shared" ca="1" si="168"/>
        <v>-1.1228139904610492</v>
      </c>
      <c r="T802" s="14">
        <f t="shared" ca="1" si="169"/>
        <v>-0.24250320622405652</v>
      </c>
      <c r="U802" s="12">
        <f t="shared" ca="1" si="179"/>
        <v>7900</v>
      </c>
      <c r="V802" s="14">
        <f t="shared" ca="1" si="180"/>
        <v>-5106.3291139240509</v>
      </c>
      <c r="W802" s="12">
        <f t="shared" ca="1" si="170"/>
        <v>-1774.6835443037974</v>
      </c>
      <c r="X802" s="7">
        <f ca="1">AVERAGE(E802:OFFSET(F802,-$X$5+1,0))</f>
        <v>9820.5</v>
      </c>
      <c r="Y802" s="7">
        <f ca="1">AVERAGE(E802:OFFSET(F802,-$Y$5+1,0))</f>
        <v>9840.7999999999993</v>
      </c>
      <c r="Z802" s="7">
        <f t="shared" ca="1" si="172"/>
        <v>0</v>
      </c>
    </row>
    <row r="803" spans="1:26">
      <c r="A803" s="3" t="s">
        <v>62</v>
      </c>
      <c r="B803" s="4">
        <v>42839</v>
      </c>
      <c r="C803" s="3">
        <v>9806</v>
      </c>
      <c r="D803" s="3">
        <v>9808</v>
      </c>
      <c r="E803" s="3">
        <v>9711</v>
      </c>
      <c r="F803" s="3">
        <v>9716</v>
      </c>
      <c r="G803" s="3">
        <v>168301</v>
      </c>
      <c r="H803" s="3">
        <v>1.0449999999999999</v>
      </c>
      <c r="I803" s="2">
        <f t="shared" si="181"/>
        <v>0</v>
      </c>
      <c r="J803" s="10">
        <f t="shared" si="183"/>
        <v>-40</v>
      </c>
      <c r="K803" s="10">
        <f t="shared" si="182"/>
        <v>-90</v>
      </c>
      <c r="L803" s="10">
        <f t="shared" ca="1" si="171"/>
        <v>0</v>
      </c>
      <c r="M803" s="10">
        <f t="shared" ca="1" si="173"/>
        <v>-1</v>
      </c>
      <c r="N803" s="30">
        <f t="shared" ca="1" si="174"/>
        <v>0</v>
      </c>
      <c r="O803" s="10">
        <f t="shared" ca="1" si="175"/>
        <v>1960400</v>
      </c>
      <c r="P803" s="29">
        <f t="shared" ca="1" si="176"/>
        <v>26000</v>
      </c>
      <c r="Q803" s="12">
        <f t="shared" ca="1" si="177"/>
        <v>-369500</v>
      </c>
      <c r="R803" s="10">
        <f t="shared" ca="1" si="178"/>
        <v>1.3262599469496021</v>
      </c>
      <c r="S803" s="10">
        <f t="shared" ca="1" si="168"/>
        <v>-0.83576223282105633</v>
      </c>
      <c r="T803" s="14">
        <f t="shared" ca="1" si="169"/>
        <v>-0.20871195891038763</v>
      </c>
      <c r="U803" s="12">
        <f t="shared" ca="1" si="179"/>
        <v>7900</v>
      </c>
      <c r="V803" s="14">
        <f t="shared" ca="1" si="180"/>
        <v>-4777.2151898734173</v>
      </c>
      <c r="W803" s="12">
        <f t="shared" ca="1" si="170"/>
        <v>-1774.6835443037974</v>
      </c>
      <c r="X803" s="7">
        <f ca="1">AVERAGE(E803:OFFSET(F803,-$X$5+1,0))</f>
        <v>9799.7000000000007</v>
      </c>
      <c r="Y803" s="7">
        <f ca="1">AVERAGE(E803:OFFSET(F803,-$Y$5+1,0))</f>
        <v>9826.5</v>
      </c>
      <c r="Z803" s="7">
        <f t="shared" ca="1" si="172"/>
        <v>0</v>
      </c>
    </row>
    <row r="804" spans="1:26">
      <c r="A804" s="3" t="s">
        <v>62</v>
      </c>
      <c r="B804" s="4">
        <v>42842</v>
      </c>
      <c r="C804" s="3">
        <v>9740</v>
      </c>
      <c r="D804" s="3">
        <v>9754</v>
      </c>
      <c r="E804" s="3">
        <v>9680</v>
      </c>
      <c r="F804" s="3">
        <v>9722</v>
      </c>
      <c r="G804" s="3">
        <v>166226</v>
      </c>
      <c r="H804" s="3">
        <v>1.0449999999999999</v>
      </c>
      <c r="I804" s="2">
        <f t="shared" si="181"/>
        <v>0</v>
      </c>
      <c r="J804" s="10">
        <f t="shared" si="183"/>
        <v>24</v>
      </c>
      <c r="K804" s="10">
        <f t="shared" si="182"/>
        <v>-18</v>
      </c>
      <c r="L804" s="10">
        <f t="shared" ca="1" si="171"/>
        <v>0</v>
      </c>
      <c r="M804" s="10">
        <f t="shared" ca="1" si="173"/>
        <v>-1</v>
      </c>
      <c r="N804" s="30">
        <f t="shared" ca="1" si="174"/>
        <v>0</v>
      </c>
      <c r="O804" s="10">
        <f t="shared" ca="1" si="175"/>
        <v>1960400</v>
      </c>
      <c r="P804" s="29">
        <f t="shared" ca="1" si="176"/>
        <v>-1200</v>
      </c>
      <c r="Q804" s="12">
        <f t="shared" ca="1" si="177"/>
        <v>-370700</v>
      </c>
      <c r="R804" s="10">
        <f t="shared" ca="1" si="178"/>
        <v>-6.1211997551520098E-2</v>
      </c>
      <c r="S804" s="10">
        <f t="shared" ca="1" si="168"/>
        <v>-0.84901077548136372</v>
      </c>
      <c r="T804" s="14">
        <f t="shared" ca="1" si="169"/>
        <v>-0.21009341130384102</v>
      </c>
      <c r="U804" s="12">
        <f t="shared" ca="1" si="179"/>
        <v>7900</v>
      </c>
      <c r="V804" s="14">
        <f t="shared" ca="1" si="180"/>
        <v>-4792.4050632911394</v>
      </c>
      <c r="W804" s="12">
        <f t="shared" ca="1" si="170"/>
        <v>-1774.6835443037974</v>
      </c>
      <c r="X804" s="7">
        <f ca="1">AVERAGE(E804:OFFSET(F804,-$X$5+1,0))</f>
        <v>9768</v>
      </c>
      <c r="Y804" s="7">
        <f ca="1">AVERAGE(E804:OFFSET(F804,-$Y$5+1,0))</f>
        <v>9812.4</v>
      </c>
      <c r="Z804" s="7">
        <f t="shared" ca="1" si="172"/>
        <v>0</v>
      </c>
    </row>
    <row r="805" spans="1:26">
      <c r="A805" s="3" t="s">
        <v>62</v>
      </c>
      <c r="B805" s="4">
        <v>42843</v>
      </c>
      <c r="C805" s="3">
        <v>9757</v>
      </c>
      <c r="D805" s="3">
        <v>9772</v>
      </c>
      <c r="E805" s="3">
        <v>9721</v>
      </c>
      <c r="F805" s="3">
        <v>9737</v>
      </c>
      <c r="G805" s="3">
        <v>123870</v>
      </c>
      <c r="H805" s="3">
        <v>1.0449999999999999</v>
      </c>
      <c r="I805" s="2">
        <f t="shared" si="181"/>
        <v>0</v>
      </c>
      <c r="J805" s="10">
        <f t="shared" si="183"/>
        <v>35</v>
      </c>
      <c r="K805" s="10">
        <f t="shared" si="182"/>
        <v>-20</v>
      </c>
      <c r="L805" s="10">
        <f t="shared" ca="1" si="171"/>
        <v>0</v>
      </c>
      <c r="M805" s="10">
        <f t="shared" ca="1" si="173"/>
        <v>-1</v>
      </c>
      <c r="N805" s="30">
        <f t="shared" ca="1" si="174"/>
        <v>0</v>
      </c>
      <c r="O805" s="10">
        <f t="shared" ca="1" si="175"/>
        <v>1960400</v>
      </c>
      <c r="P805" s="29">
        <f t="shared" ca="1" si="176"/>
        <v>-3000</v>
      </c>
      <c r="Q805" s="12">
        <f t="shared" ca="1" si="177"/>
        <v>-373700</v>
      </c>
      <c r="R805" s="10">
        <f t="shared" ca="1" si="178"/>
        <v>-0.15302999387880026</v>
      </c>
      <c r="S805" s="10">
        <f t="shared" ca="1" si="168"/>
        <v>-0.88213213213213215</v>
      </c>
      <c r="T805" s="14">
        <f t="shared" ca="1" si="169"/>
        <v>-0.21362822928128769</v>
      </c>
      <c r="U805" s="12">
        <f t="shared" ca="1" si="179"/>
        <v>7900</v>
      </c>
      <c r="V805" s="14">
        <f t="shared" ca="1" si="180"/>
        <v>-4830.3797468354433</v>
      </c>
      <c r="W805" s="12">
        <f t="shared" ca="1" si="170"/>
        <v>-1774.6835443037974</v>
      </c>
      <c r="X805" s="7">
        <f ca="1">AVERAGE(E805:OFFSET(F805,-$X$5+1,0))</f>
        <v>9751.5</v>
      </c>
      <c r="Y805" s="7">
        <f ca="1">AVERAGE(E805:OFFSET(F805,-$Y$5+1,0))</f>
        <v>9803.65</v>
      </c>
      <c r="Z805" s="7">
        <f t="shared" ca="1" si="172"/>
        <v>0</v>
      </c>
    </row>
    <row r="806" spans="1:26">
      <c r="A806" s="3" t="s">
        <v>62</v>
      </c>
      <c r="B806" s="4">
        <v>42844</v>
      </c>
      <c r="C806" s="3">
        <v>9700</v>
      </c>
      <c r="D806" s="3">
        <v>9707</v>
      </c>
      <c r="E806" s="3">
        <v>9632</v>
      </c>
      <c r="F806" s="3">
        <v>9638</v>
      </c>
      <c r="G806" s="3">
        <v>104812</v>
      </c>
      <c r="H806" s="3">
        <v>1.0449999999999999</v>
      </c>
      <c r="I806" s="2">
        <f t="shared" si="181"/>
        <v>1</v>
      </c>
      <c r="J806" s="10">
        <f t="shared" si="183"/>
        <v>-37</v>
      </c>
      <c r="K806" s="10">
        <f t="shared" si="182"/>
        <v>-62</v>
      </c>
      <c r="L806" s="10">
        <f t="shared" ca="1" si="171"/>
        <v>0</v>
      </c>
      <c r="M806" s="10">
        <f t="shared" si="173"/>
        <v>0</v>
      </c>
      <c r="N806" s="30">
        <f t="shared" si="174"/>
        <v>0</v>
      </c>
      <c r="O806" s="10">
        <f t="shared" si="175"/>
        <v>0</v>
      </c>
      <c r="P806" s="29">
        <f t="shared" ca="1" si="176"/>
        <v>6900</v>
      </c>
      <c r="Q806" s="12">
        <f t="shared" ca="1" si="177"/>
        <v>-366800</v>
      </c>
      <c r="R806" s="10">
        <f t="shared" ca="1" si="178"/>
        <v>0.35196898592124054</v>
      </c>
      <c r="S806" s="10">
        <f t="shared" ca="1" si="168"/>
        <v>-0.78276806217982686</v>
      </c>
      <c r="T806" s="14">
        <f t="shared" ca="1" si="169"/>
        <v>-0.20255683876032096</v>
      </c>
      <c r="U806" s="12">
        <f t="shared" ca="1" si="179"/>
        <v>7900</v>
      </c>
      <c r="V806" s="14">
        <f t="shared" ca="1" si="180"/>
        <v>-4743.0379746835442</v>
      </c>
      <c r="W806" s="12">
        <f t="shared" ca="1" si="170"/>
        <v>-1774.6835443037974</v>
      </c>
      <c r="X806" s="7">
        <f ca="1">AVERAGE(E806:OFFSET(F806,-$X$5+1,0))</f>
        <v>9719.5</v>
      </c>
      <c r="Y806" s="7">
        <f ca="1">AVERAGE(E806:OFFSET(F806,-$Y$5+1,0))</f>
        <v>9776.9500000000007</v>
      </c>
      <c r="Z806" s="7">
        <f t="shared" ca="1" si="172"/>
        <v>0</v>
      </c>
    </row>
    <row r="807" spans="1:26">
      <c r="A807" s="3" t="s">
        <v>63</v>
      </c>
      <c r="B807" s="4">
        <v>42845</v>
      </c>
      <c r="C807" s="3">
        <v>9598</v>
      </c>
      <c r="D807" s="3">
        <v>9640</v>
      </c>
      <c r="E807" s="3">
        <v>9584</v>
      </c>
      <c r="F807" s="3">
        <v>9615</v>
      </c>
      <c r="G807" s="3">
        <v>114520</v>
      </c>
      <c r="H807" s="3">
        <v>1.0449999999999999</v>
      </c>
      <c r="I807" s="2">
        <f t="shared" si="181"/>
        <v>0</v>
      </c>
      <c r="J807" s="10">
        <f t="shared" si="183"/>
        <v>-40</v>
      </c>
      <c r="K807" s="10">
        <f t="shared" si="182"/>
        <v>17</v>
      </c>
      <c r="L807" s="10">
        <f t="shared" ca="1" si="171"/>
        <v>0</v>
      </c>
      <c r="M807" s="10">
        <f t="shared" ca="1" si="173"/>
        <v>0</v>
      </c>
      <c r="N807" s="30">
        <f t="shared" ca="1" si="174"/>
        <v>0</v>
      </c>
      <c r="O807" s="10">
        <f t="shared" ca="1" si="175"/>
        <v>0</v>
      </c>
      <c r="P807" s="29">
        <f t="shared" ca="1" si="176"/>
        <v>0</v>
      </c>
      <c r="Q807" s="12">
        <f t="shared" ca="1" si="177"/>
        <v>-366800</v>
      </c>
      <c r="R807" s="10">
        <f t="shared" ca="1" si="178"/>
        <v>0</v>
      </c>
      <c r="S807" s="10">
        <f t="shared" ca="1" si="168"/>
        <v>-0.68119590178413703</v>
      </c>
      <c r="T807" s="14">
        <f t="shared" ca="1" si="169"/>
        <v>-0.19139755174087009</v>
      </c>
      <c r="U807" s="12">
        <f t="shared" ca="1" si="179"/>
        <v>7900</v>
      </c>
      <c r="V807" s="14">
        <f t="shared" ca="1" si="180"/>
        <v>-4743.0379746835442</v>
      </c>
      <c r="W807" s="12">
        <f t="shared" ca="1" si="170"/>
        <v>-1774.6835443037974</v>
      </c>
      <c r="X807" s="7">
        <f ca="1">AVERAGE(E807:OFFSET(F807,-$X$5+1,0))</f>
        <v>9675.6</v>
      </c>
      <c r="Y807" s="7">
        <f ca="1">AVERAGE(E807:OFFSET(F807,-$Y$5+1,0))</f>
        <v>9748.0499999999993</v>
      </c>
      <c r="Z807" s="7">
        <f t="shared" ca="1" si="172"/>
        <v>0</v>
      </c>
    </row>
    <row r="808" spans="1:26">
      <c r="A808" s="3" t="s">
        <v>63</v>
      </c>
      <c r="B808" s="4">
        <v>42846</v>
      </c>
      <c r="C808" s="3">
        <v>9665</v>
      </c>
      <c r="D808" s="3">
        <v>9706</v>
      </c>
      <c r="E808" s="3">
        <v>9655</v>
      </c>
      <c r="F808" s="3">
        <v>9697</v>
      </c>
      <c r="G808" s="3">
        <v>110196</v>
      </c>
      <c r="H808" s="3">
        <v>1.0449999999999999</v>
      </c>
      <c r="I808" s="2">
        <f t="shared" si="181"/>
        <v>0</v>
      </c>
      <c r="J808" s="10">
        <f t="shared" si="183"/>
        <v>50</v>
      </c>
      <c r="K808" s="10">
        <f t="shared" si="182"/>
        <v>32</v>
      </c>
      <c r="L808" s="10">
        <f t="shared" ca="1" si="171"/>
        <v>0</v>
      </c>
      <c r="M808" s="10">
        <f t="shared" ca="1" si="173"/>
        <v>0</v>
      </c>
      <c r="N808" s="30">
        <f t="shared" ca="1" si="174"/>
        <v>0</v>
      </c>
      <c r="O808" s="10">
        <f t="shared" ca="1" si="175"/>
        <v>0</v>
      </c>
      <c r="P808" s="29">
        <f t="shared" ca="1" si="176"/>
        <v>0</v>
      </c>
      <c r="Q808" s="12">
        <f t="shared" ca="1" si="177"/>
        <v>-366800</v>
      </c>
      <c r="R808" s="10">
        <f t="shared" ca="1" si="178"/>
        <v>0</v>
      </c>
      <c r="S808" s="10">
        <f t="shared" ca="1" si="168"/>
        <v>-0.71652534887829</v>
      </c>
      <c r="T808" s="14">
        <f t="shared" ca="1" si="169"/>
        <v>-0.19519180091387278</v>
      </c>
      <c r="U808" s="12">
        <f t="shared" ca="1" si="179"/>
        <v>7900</v>
      </c>
      <c r="V808" s="14">
        <f t="shared" ca="1" si="180"/>
        <v>-4743.0379746835442</v>
      </c>
      <c r="W808" s="12">
        <f t="shared" ca="1" si="170"/>
        <v>-1774.6835443037974</v>
      </c>
      <c r="X808" s="7">
        <f ca="1">AVERAGE(E808:OFFSET(F808,-$X$5+1,0))</f>
        <v>9668.1</v>
      </c>
      <c r="Y808" s="7">
        <f ca="1">AVERAGE(E808:OFFSET(F808,-$Y$5+1,0))</f>
        <v>9733.9</v>
      </c>
      <c r="Z808" s="7">
        <f t="shared" ca="1" si="172"/>
        <v>0</v>
      </c>
    </row>
    <row r="809" spans="1:26">
      <c r="A809" s="3" t="s">
        <v>63</v>
      </c>
      <c r="B809" s="4">
        <v>42849</v>
      </c>
      <c r="C809" s="3">
        <v>9747</v>
      </c>
      <c r="D809" s="3">
        <v>9766</v>
      </c>
      <c r="E809" s="3">
        <v>9684</v>
      </c>
      <c r="F809" s="3">
        <v>9705</v>
      </c>
      <c r="G809" s="3">
        <v>124863</v>
      </c>
      <c r="H809" s="3">
        <v>1.0449999999999999</v>
      </c>
      <c r="I809" s="2">
        <f t="shared" si="181"/>
        <v>0</v>
      </c>
      <c r="J809" s="10">
        <f t="shared" si="183"/>
        <v>50</v>
      </c>
      <c r="K809" s="10">
        <f t="shared" si="182"/>
        <v>-42</v>
      </c>
      <c r="L809" s="10">
        <f t="shared" ca="1" si="171"/>
        <v>0</v>
      </c>
      <c r="M809" s="10">
        <f t="shared" ca="1" si="173"/>
        <v>0</v>
      </c>
      <c r="N809" s="30">
        <f t="shared" ca="1" si="174"/>
        <v>0</v>
      </c>
      <c r="O809" s="10">
        <f t="shared" ca="1" si="175"/>
        <v>0</v>
      </c>
      <c r="P809" s="29">
        <f t="shared" ca="1" si="176"/>
        <v>0</v>
      </c>
      <c r="Q809" s="12">
        <f t="shared" ca="1" si="177"/>
        <v>-366800</v>
      </c>
      <c r="R809" s="10">
        <f t="shared" ca="1" si="178"/>
        <v>0</v>
      </c>
      <c r="S809" s="10">
        <f t="shared" ca="1" si="168"/>
        <v>-1.0256580109521285</v>
      </c>
      <c r="T809" s="14">
        <f t="shared" ca="1" si="169"/>
        <v>-0.22889312247178265</v>
      </c>
      <c r="U809" s="12">
        <f t="shared" ca="1" si="179"/>
        <v>7900</v>
      </c>
      <c r="V809" s="14">
        <f t="shared" ca="1" si="180"/>
        <v>-4743.0379746835442</v>
      </c>
      <c r="W809" s="12">
        <f t="shared" ca="1" si="170"/>
        <v>-1774.6835443037974</v>
      </c>
      <c r="X809" s="7">
        <f ca="1">AVERAGE(E809:OFFSET(F809,-$X$5+1,0))</f>
        <v>9666.7999999999993</v>
      </c>
      <c r="Y809" s="7">
        <f ca="1">AVERAGE(E809:OFFSET(F809,-$Y$5+1,0))</f>
        <v>9717.4</v>
      </c>
      <c r="Z809" s="7">
        <f t="shared" ca="1" si="172"/>
        <v>0</v>
      </c>
    </row>
    <row r="810" spans="1:26">
      <c r="A810" s="3" t="s">
        <v>63</v>
      </c>
      <c r="B810" s="4">
        <v>42850</v>
      </c>
      <c r="C810" s="3">
        <v>9746</v>
      </c>
      <c r="D810" s="3">
        <v>9827</v>
      </c>
      <c r="E810" s="3">
        <v>9728</v>
      </c>
      <c r="F810" s="3">
        <v>9813</v>
      </c>
      <c r="G810" s="3">
        <v>140137</v>
      </c>
      <c r="H810" s="3">
        <v>1.0449999999999999</v>
      </c>
      <c r="I810" s="2">
        <f t="shared" si="181"/>
        <v>0</v>
      </c>
      <c r="J810" s="10">
        <f t="shared" si="183"/>
        <v>41</v>
      </c>
      <c r="K810" s="10">
        <f t="shared" si="182"/>
        <v>67</v>
      </c>
      <c r="L810" s="10">
        <f t="shared" ca="1" si="171"/>
        <v>0</v>
      </c>
      <c r="M810" s="10">
        <f t="shared" ca="1" si="173"/>
        <v>0</v>
      </c>
      <c r="N810" s="30">
        <f t="shared" ca="1" si="174"/>
        <v>0</v>
      </c>
      <c r="O810" s="10">
        <f t="shared" ca="1" si="175"/>
        <v>0</v>
      </c>
      <c r="P810" s="29">
        <f t="shared" ca="1" si="176"/>
        <v>0</v>
      </c>
      <c r="Q810" s="12">
        <f t="shared" ca="1" si="177"/>
        <v>-366800</v>
      </c>
      <c r="R810" s="10">
        <f t="shared" ca="1" si="178"/>
        <v>0</v>
      </c>
      <c r="S810" s="10">
        <f t="shared" ca="1" si="168"/>
        <v>-1.2641317788376611</v>
      </c>
      <c r="T810" s="14">
        <f t="shared" ca="1" si="169"/>
        <v>-0.25487648986584549</v>
      </c>
      <c r="U810" s="12">
        <f t="shared" ca="1" si="179"/>
        <v>7900</v>
      </c>
      <c r="V810" s="14">
        <f t="shared" ca="1" si="180"/>
        <v>-4743.0379746835442</v>
      </c>
      <c r="W810" s="12">
        <f t="shared" ca="1" si="170"/>
        <v>-1774.6835443037974</v>
      </c>
      <c r="X810" s="7">
        <f ca="1">AVERAGE(E810:OFFSET(F810,-$X$5+1,0))</f>
        <v>9675.1</v>
      </c>
      <c r="Y810" s="7">
        <f ca="1">AVERAGE(E810:OFFSET(F810,-$Y$5+1,0))</f>
        <v>9713.2999999999993</v>
      </c>
      <c r="Z810" s="7">
        <f t="shared" ca="1" si="172"/>
        <v>0</v>
      </c>
    </row>
    <row r="811" spans="1:26">
      <c r="A811" s="3" t="s">
        <v>63</v>
      </c>
      <c r="B811" s="4">
        <v>42851</v>
      </c>
      <c r="C811" s="3">
        <v>9855</v>
      </c>
      <c r="D811" s="3">
        <v>9871</v>
      </c>
      <c r="E811" s="3">
        <v>9826</v>
      </c>
      <c r="F811" s="3">
        <v>9841</v>
      </c>
      <c r="G811" s="3">
        <v>120562</v>
      </c>
      <c r="H811" s="3">
        <v>1.0449999999999999</v>
      </c>
      <c r="I811" s="2">
        <f t="shared" si="181"/>
        <v>0</v>
      </c>
      <c r="J811" s="10">
        <f t="shared" si="183"/>
        <v>42</v>
      </c>
      <c r="K811" s="10">
        <f t="shared" si="182"/>
        <v>-14</v>
      </c>
      <c r="L811" s="10">
        <f t="shared" ca="1" si="171"/>
        <v>0</v>
      </c>
      <c r="M811" s="10">
        <f t="shared" ca="1" si="173"/>
        <v>0</v>
      </c>
      <c r="N811" s="30">
        <f t="shared" ca="1" si="174"/>
        <v>0</v>
      </c>
      <c r="O811" s="10">
        <f t="shared" ca="1" si="175"/>
        <v>0</v>
      </c>
      <c r="P811" s="29">
        <f t="shared" ca="1" si="176"/>
        <v>0</v>
      </c>
      <c r="Q811" s="12">
        <f t="shared" ca="1" si="177"/>
        <v>-366800</v>
      </c>
      <c r="R811" s="10">
        <f t="shared" ca="1" si="178"/>
        <v>0</v>
      </c>
      <c r="S811" s="10">
        <f t="shared" ca="1" si="168"/>
        <v>-1.3745363010068892</v>
      </c>
      <c r="T811" s="14">
        <f t="shared" ca="1" si="169"/>
        <v>-0.2668710653379357</v>
      </c>
      <c r="U811" s="12">
        <f t="shared" ca="1" si="179"/>
        <v>7900</v>
      </c>
      <c r="V811" s="14">
        <f t="shared" ca="1" si="180"/>
        <v>-4743.0379746835442</v>
      </c>
      <c r="W811" s="12">
        <f t="shared" ca="1" si="170"/>
        <v>-1774.6835443037974</v>
      </c>
      <c r="X811" s="7">
        <f ca="1">AVERAGE(E811:OFFSET(F811,-$X$5+1,0))</f>
        <v>9714.7999999999993</v>
      </c>
      <c r="Y811" s="7">
        <f ca="1">AVERAGE(E811:OFFSET(F811,-$Y$5+1,0))</f>
        <v>9717.15</v>
      </c>
      <c r="Z811" s="7">
        <f t="shared" ca="1" si="172"/>
        <v>0</v>
      </c>
    </row>
    <row r="812" spans="1:26">
      <c r="A812" s="3" t="s">
        <v>63</v>
      </c>
      <c r="B812" s="4">
        <v>42852</v>
      </c>
      <c r="C812" s="3">
        <v>9829</v>
      </c>
      <c r="D812" s="3">
        <v>9850</v>
      </c>
      <c r="E812" s="3">
        <v>9808</v>
      </c>
      <c r="F812" s="3">
        <v>9839</v>
      </c>
      <c r="G812" s="3">
        <v>94948</v>
      </c>
      <c r="H812" s="3">
        <v>1.0449999999999999</v>
      </c>
      <c r="I812" s="2">
        <f t="shared" si="181"/>
        <v>0</v>
      </c>
      <c r="J812" s="10">
        <f t="shared" si="183"/>
        <v>-12</v>
      </c>
      <c r="K812" s="10">
        <f t="shared" si="182"/>
        <v>10</v>
      </c>
      <c r="L812" s="10">
        <f t="shared" ca="1" si="171"/>
        <v>1</v>
      </c>
      <c r="M812" s="10">
        <f t="shared" ca="1" si="173"/>
        <v>0</v>
      </c>
      <c r="N812" s="30">
        <f t="shared" ca="1" si="174"/>
        <v>0</v>
      </c>
      <c r="O812" s="10">
        <f t="shared" ca="1" si="175"/>
        <v>0</v>
      </c>
      <c r="P812" s="29">
        <f t="shared" ca="1" si="176"/>
        <v>0</v>
      </c>
      <c r="Q812" s="12">
        <f t="shared" ca="1" si="177"/>
        <v>-366800</v>
      </c>
      <c r="R812" s="10">
        <f t="shared" ca="1" si="178"/>
        <v>0</v>
      </c>
      <c r="S812" s="10">
        <f t="shared" ref="S812:S875" ca="1" si="184">100*SUM(P573:P812)/SUM(N573:N812)</f>
        <v>-1.5555997173644232</v>
      </c>
      <c r="T812" s="14">
        <f t="shared" ca="1" si="169"/>
        <v>-0.28658359497387281</v>
      </c>
      <c r="U812" s="12">
        <f t="shared" ca="1" si="179"/>
        <v>7900</v>
      </c>
      <c r="V812" s="14">
        <f t="shared" ca="1" si="180"/>
        <v>-4743.0379746835442</v>
      </c>
      <c r="W812" s="12">
        <f t="shared" ca="1" si="170"/>
        <v>-1774.6835443037974</v>
      </c>
      <c r="X812" s="7">
        <f ca="1">AVERAGE(E812:OFFSET(F812,-$X$5+1,0))</f>
        <v>9759.6</v>
      </c>
      <c r="Y812" s="7">
        <f ca="1">AVERAGE(E812:OFFSET(F812,-$Y$5+1,0))</f>
        <v>9717.6</v>
      </c>
      <c r="Z812" s="7">
        <f t="shared" ca="1" si="172"/>
        <v>1</v>
      </c>
    </row>
    <row r="813" spans="1:26">
      <c r="A813" s="3" t="s">
        <v>63</v>
      </c>
      <c r="B813" s="4">
        <v>42853</v>
      </c>
      <c r="C813" s="3">
        <v>9847</v>
      </c>
      <c r="D813" s="3">
        <v>9884</v>
      </c>
      <c r="E813" s="3">
        <v>9834</v>
      </c>
      <c r="F813" s="3">
        <v>9857</v>
      </c>
      <c r="G813" s="3">
        <v>107661</v>
      </c>
      <c r="H813" s="3">
        <v>1.0449999999999999</v>
      </c>
      <c r="I813" s="2">
        <f t="shared" si="181"/>
        <v>0</v>
      </c>
      <c r="J813" s="10">
        <f t="shared" si="183"/>
        <v>8</v>
      </c>
      <c r="K813" s="10">
        <f t="shared" si="182"/>
        <v>10</v>
      </c>
      <c r="L813" s="10">
        <f t="shared" ca="1" si="171"/>
        <v>0</v>
      </c>
      <c r="M813" s="10">
        <f t="shared" ca="1" si="173"/>
        <v>1</v>
      </c>
      <c r="N813" s="30">
        <f t="shared" ca="1" si="174"/>
        <v>1969400</v>
      </c>
      <c r="O813" s="10">
        <f t="shared" ca="1" si="175"/>
        <v>1969400</v>
      </c>
      <c r="P813" s="29">
        <f t="shared" ca="1" si="176"/>
        <v>1500</v>
      </c>
      <c r="Q813" s="12">
        <f t="shared" ca="1" si="177"/>
        <v>-365300</v>
      </c>
      <c r="R813" s="10">
        <f t="shared" ca="1" si="178"/>
        <v>7.6165329541992483E-2</v>
      </c>
      <c r="S813" s="10">
        <f t="shared" ca="1" si="184"/>
        <v>-1.3276503128684138</v>
      </c>
      <c r="T813" s="14">
        <f t="shared" ref="T813:T876" ca="1" si="185">(S813-AVERAGE(H544:H813))/(_xlfn.STDEV.S(R544:R813)*SQRT(240))</f>
        <v>-0.26160914061294999</v>
      </c>
      <c r="U813" s="12">
        <f t="shared" ca="1" si="179"/>
        <v>7900</v>
      </c>
      <c r="V813" s="14">
        <f t="shared" ca="1" si="180"/>
        <v>-4724.0506329113923</v>
      </c>
      <c r="W813" s="12">
        <f t="shared" ref="W813:W876" ca="1" si="186">MAX(V574:V813)</f>
        <v>-1774.6835443037974</v>
      </c>
      <c r="X813" s="7">
        <f ca="1">AVERAGE(E813:OFFSET(F813,-$X$5+1,0))</f>
        <v>9793.5</v>
      </c>
      <c r="Y813" s="7">
        <f ca="1">AVERAGE(E813:OFFSET(F813,-$Y$5+1,0))</f>
        <v>9730.7999999999993</v>
      </c>
      <c r="Z813" s="7">
        <f t="shared" ca="1" si="172"/>
        <v>0</v>
      </c>
    </row>
    <row r="814" spans="1:26">
      <c r="A814" s="3" t="s">
        <v>63</v>
      </c>
      <c r="B814" s="4">
        <v>42857</v>
      </c>
      <c r="C814" s="3">
        <v>9899</v>
      </c>
      <c r="D814" s="3">
        <v>9950</v>
      </c>
      <c r="E814" s="3">
        <v>9897</v>
      </c>
      <c r="F814" s="3">
        <v>9932</v>
      </c>
      <c r="G814" s="3">
        <v>104635</v>
      </c>
      <c r="H814" s="3">
        <v>1.0449999999999999</v>
      </c>
      <c r="I814" s="2">
        <f t="shared" si="181"/>
        <v>0</v>
      </c>
      <c r="J814" s="10">
        <f t="shared" si="183"/>
        <v>42</v>
      </c>
      <c r="K814" s="10">
        <f t="shared" si="182"/>
        <v>33</v>
      </c>
      <c r="L814" s="10">
        <f t="shared" ca="1" si="171"/>
        <v>0</v>
      </c>
      <c r="M814" s="10">
        <f t="shared" ca="1" si="173"/>
        <v>1</v>
      </c>
      <c r="N814" s="30">
        <f t="shared" ca="1" si="174"/>
        <v>0</v>
      </c>
      <c r="O814" s="10">
        <f t="shared" ca="1" si="175"/>
        <v>1969400</v>
      </c>
      <c r="P814" s="29">
        <f t="shared" ca="1" si="176"/>
        <v>15000</v>
      </c>
      <c r="Q814" s="12">
        <f t="shared" ca="1" si="177"/>
        <v>-350300</v>
      </c>
      <c r="R814" s="10">
        <f t="shared" ca="1" si="178"/>
        <v>0.76165329541992488</v>
      </c>
      <c r="S814" s="10">
        <f t="shared" ca="1" si="184"/>
        <v>-1.2641697651219734</v>
      </c>
      <c r="T814" s="14">
        <f t="shared" ca="1" si="185"/>
        <v>-0.25380156353132044</v>
      </c>
      <c r="U814" s="12">
        <f t="shared" ca="1" si="179"/>
        <v>7900</v>
      </c>
      <c r="V814" s="14">
        <f t="shared" ca="1" si="180"/>
        <v>-4534.1772151898731</v>
      </c>
      <c r="W814" s="12">
        <f t="shared" ca="1" si="186"/>
        <v>-1774.6835443037974</v>
      </c>
      <c r="X814" s="7">
        <f ca="1">AVERAGE(E814:OFFSET(F814,-$X$5+1,0))</f>
        <v>9837.5</v>
      </c>
      <c r="Y814" s="7">
        <f ca="1">AVERAGE(E814:OFFSET(F814,-$Y$5+1,0))</f>
        <v>9752.15</v>
      </c>
      <c r="Z814" s="7">
        <f t="shared" ca="1" si="172"/>
        <v>0</v>
      </c>
    </row>
    <row r="815" spans="1:26">
      <c r="A815" s="3" t="s">
        <v>63</v>
      </c>
      <c r="B815" s="4">
        <v>42858</v>
      </c>
      <c r="C815" s="3">
        <v>9946</v>
      </c>
      <c r="D815" s="3">
        <v>9966</v>
      </c>
      <c r="E815" s="3">
        <v>9934</v>
      </c>
      <c r="F815" s="3">
        <v>9936</v>
      </c>
      <c r="G815" s="3">
        <v>77543</v>
      </c>
      <c r="H815" s="3">
        <v>1.0449999999999999</v>
      </c>
      <c r="I815" s="2">
        <f t="shared" si="181"/>
        <v>0</v>
      </c>
      <c r="J815" s="10">
        <f t="shared" si="183"/>
        <v>14</v>
      </c>
      <c r="K815" s="10">
        <f t="shared" si="182"/>
        <v>-10</v>
      </c>
      <c r="L815" s="10">
        <f t="shared" ca="1" si="171"/>
        <v>0</v>
      </c>
      <c r="M815" s="10">
        <f t="shared" ca="1" si="173"/>
        <v>1</v>
      </c>
      <c r="N815" s="30">
        <f t="shared" ca="1" si="174"/>
        <v>0</v>
      </c>
      <c r="O815" s="10">
        <f t="shared" ca="1" si="175"/>
        <v>1969400</v>
      </c>
      <c r="P815" s="29">
        <f t="shared" ca="1" si="176"/>
        <v>800</v>
      </c>
      <c r="Q815" s="12">
        <f t="shared" ca="1" si="177"/>
        <v>-349500</v>
      </c>
      <c r="R815" s="10">
        <f t="shared" ca="1" si="178"/>
        <v>4.062150908906266E-2</v>
      </c>
      <c r="S815" s="10">
        <f t="shared" ca="1" si="184"/>
        <v>-1.235150086152172</v>
      </c>
      <c r="T815" s="14">
        <f t="shared" ca="1" si="185"/>
        <v>-0.2505740433070503</v>
      </c>
      <c r="U815" s="12">
        <f t="shared" ca="1" si="179"/>
        <v>7900</v>
      </c>
      <c r="V815" s="14">
        <f t="shared" ca="1" si="180"/>
        <v>-4524.0506329113923</v>
      </c>
      <c r="W815" s="12">
        <f t="shared" ca="1" si="186"/>
        <v>-1774.6835443037974</v>
      </c>
      <c r="X815" s="7">
        <f ca="1">AVERAGE(E815:OFFSET(F815,-$X$5+1,0))</f>
        <v>9870.4</v>
      </c>
      <c r="Y815" s="7">
        <f ca="1">AVERAGE(E815:OFFSET(F815,-$Y$5+1,0))</f>
        <v>9772.75</v>
      </c>
      <c r="Z815" s="7">
        <f t="shared" ca="1" si="172"/>
        <v>0</v>
      </c>
    </row>
    <row r="816" spans="1:26">
      <c r="A816" s="3" t="s">
        <v>63</v>
      </c>
      <c r="B816" s="4">
        <v>42859</v>
      </c>
      <c r="C816" s="3">
        <v>9951</v>
      </c>
      <c r="D816" s="3">
        <v>9965</v>
      </c>
      <c r="E816" s="3">
        <v>9918</v>
      </c>
      <c r="F816" s="3">
        <v>9959</v>
      </c>
      <c r="G816" s="3">
        <v>87102</v>
      </c>
      <c r="H816" s="3">
        <v>1.0449999999999999</v>
      </c>
      <c r="I816" s="2">
        <f t="shared" si="181"/>
        <v>0</v>
      </c>
      <c r="J816" s="10">
        <f t="shared" si="183"/>
        <v>15</v>
      </c>
      <c r="K816" s="10">
        <f t="shared" si="182"/>
        <v>8</v>
      </c>
      <c r="L816" s="10">
        <f t="shared" ca="1" si="171"/>
        <v>0</v>
      </c>
      <c r="M816" s="10">
        <f t="shared" ca="1" si="173"/>
        <v>1</v>
      </c>
      <c r="N816" s="30">
        <f t="shared" ca="1" si="174"/>
        <v>0</v>
      </c>
      <c r="O816" s="10">
        <f t="shared" ca="1" si="175"/>
        <v>1969400</v>
      </c>
      <c r="P816" s="29">
        <f t="shared" ca="1" si="176"/>
        <v>4600</v>
      </c>
      <c r="Q816" s="12">
        <f t="shared" ca="1" si="177"/>
        <v>-344900</v>
      </c>
      <c r="R816" s="10">
        <f t="shared" ca="1" si="178"/>
        <v>0.23357367726211029</v>
      </c>
      <c r="S816" s="10">
        <f t="shared" ca="1" si="184"/>
        <v>-1.1226988301441916</v>
      </c>
      <c r="T816" s="14">
        <f t="shared" ca="1" si="185"/>
        <v>-0.23819113859503122</v>
      </c>
      <c r="U816" s="12">
        <f t="shared" ca="1" si="179"/>
        <v>7900</v>
      </c>
      <c r="V816" s="14">
        <f t="shared" ca="1" si="180"/>
        <v>-4465.8227848101269</v>
      </c>
      <c r="W816" s="12">
        <f t="shared" ca="1" si="186"/>
        <v>-1774.6835443037974</v>
      </c>
      <c r="X816" s="7">
        <f ca="1">AVERAGE(E816:OFFSET(F816,-$X$5+1,0))</f>
        <v>9891.4</v>
      </c>
      <c r="Y816" s="7">
        <f ca="1">AVERAGE(E816:OFFSET(F816,-$Y$5+1,0))</f>
        <v>9803.1</v>
      </c>
      <c r="Z816" s="7">
        <f t="shared" ca="1" si="172"/>
        <v>0</v>
      </c>
    </row>
    <row r="817" spans="1:26">
      <c r="A817" s="3" t="s">
        <v>63</v>
      </c>
      <c r="B817" s="4">
        <v>42860</v>
      </c>
      <c r="C817" s="3">
        <v>9946</v>
      </c>
      <c r="D817" s="3">
        <v>9951</v>
      </c>
      <c r="E817" s="3">
        <v>9879</v>
      </c>
      <c r="F817" s="3">
        <v>9889</v>
      </c>
      <c r="G817" s="3">
        <v>110276</v>
      </c>
      <c r="H817" s="3">
        <v>1.0449999999999999</v>
      </c>
      <c r="I817" s="2">
        <f t="shared" si="181"/>
        <v>0</v>
      </c>
      <c r="J817" s="10">
        <f t="shared" si="183"/>
        <v>-13</v>
      </c>
      <c r="K817" s="10">
        <f t="shared" si="182"/>
        <v>-57</v>
      </c>
      <c r="L817" s="10">
        <f t="shared" ca="1" si="171"/>
        <v>0</v>
      </c>
      <c r="M817" s="10">
        <f t="shared" ca="1" si="173"/>
        <v>1</v>
      </c>
      <c r="N817" s="30">
        <f t="shared" ca="1" si="174"/>
        <v>0</v>
      </c>
      <c r="O817" s="10">
        <f t="shared" ca="1" si="175"/>
        <v>1969400</v>
      </c>
      <c r="P817" s="29">
        <f t="shared" ca="1" si="176"/>
        <v>-14000</v>
      </c>
      <c r="Q817" s="12">
        <f t="shared" ca="1" si="177"/>
        <v>-358900</v>
      </c>
      <c r="R817" s="10">
        <f t="shared" ca="1" si="178"/>
        <v>-0.7108764090585965</v>
      </c>
      <c r="S817" s="10">
        <f t="shared" ca="1" si="184"/>
        <v>-1.3004443638342251</v>
      </c>
      <c r="T817" s="14">
        <f t="shared" ca="1" si="185"/>
        <v>-0.25681078893104758</v>
      </c>
      <c r="U817" s="12">
        <f t="shared" ca="1" si="179"/>
        <v>7900</v>
      </c>
      <c r="V817" s="14">
        <f t="shared" ca="1" si="180"/>
        <v>-4643.0379746835442</v>
      </c>
      <c r="W817" s="12">
        <f t="shared" ca="1" si="186"/>
        <v>-1774.6835443037974</v>
      </c>
      <c r="X817" s="7">
        <f ca="1">AVERAGE(E817:OFFSET(F817,-$X$5+1,0))</f>
        <v>9903.5</v>
      </c>
      <c r="Y817" s="7">
        <f ca="1">AVERAGE(E817:OFFSET(F817,-$Y$5+1,0))</f>
        <v>9831.5499999999993</v>
      </c>
      <c r="Z817" s="7">
        <f t="shared" ca="1" si="172"/>
        <v>0</v>
      </c>
    </row>
    <row r="818" spans="1:26">
      <c r="A818" s="3" t="s">
        <v>63</v>
      </c>
      <c r="B818" s="4">
        <v>42863</v>
      </c>
      <c r="C818" s="3">
        <v>9929</v>
      </c>
      <c r="D818" s="3">
        <v>9959</v>
      </c>
      <c r="E818" s="3">
        <v>9895</v>
      </c>
      <c r="F818" s="3">
        <v>9921</v>
      </c>
      <c r="G818" s="3">
        <v>103607</v>
      </c>
      <c r="H818" s="3">
        <v>1.0449999999999999</v>
      </c>
      <c r="I818" s="2">
        <f t="shared" si="181"/>
        <v>0</v>
      </c>
      <c r="J818" s="10">
        <f t="shared" si="183"/>
        <v>40</v>
      </c>
      <c r="K818" s="10">
        <f t="shared" si="182"/>
        <v>-8</v>
      </c>
      <c r="L818" s="10">
        <f t="shared" ca="1" si="171"/>
        <v>0</v>
      </c>
      <c r="M818" s="10">
        <f t="shared" ca="1" si="173"/>
        <v>1</v>
      </c>
      <c r="N818" s="30">
        <f t="shared" ca="1" si="174"/>
        <v>0</v>
      </c>
      <c r="O818" s="10">
        <f t="shared" ca="1" si="175"/>
        <v>1969400</v>
      </c>
      <c r="P818" s="29">
        <f t="shared" ca="1" si="176"/>
        <v>6400</v>
      </c>
      <c r="Q818" s="12">
        <f t="shared" ca="1" si="177"/>
        <v>-352500</v>
      </c>
      <c r="R818" s="10">
        <f t="shared" ca="1" si="178"/>
        <v>0.32497207271250128</v>
      </c>
      <c r="S818" s="10">
        <f t="shared" ca="1" si="184"/>
        <v>-1.3167679332547384</v>
      </c>
      <c r="T818" s="14">
        <f t="shared" ca="1" si="185"/>
        <v>-0.2583639154910759</v>
      </c>
      <c r="U818" s="12">
        <f t="shared" ca="1" si="179"/>
        <v>7900</v>
      </c>
      <c r="V818" s="14">
        <f t="shared" ca="1" si="180"/>
        <v>-4562.0253164556962</v>
      </c>
      <c r="W818" s="12">
        <f t="shared" ca="1" si="186"/>
        <v>-1774.6835443037974</v>
      </c>
      <c r="X818" s="7">
        <f ca="1">AVERAGE(E818:OFFSET(F818,-$X$5+1,0))</f>
        <v>9916</v>
      </c>
      <c r="Y818" s="7">
        <f ca="1">AVERAGE(E818:OFFSET(F818,-$Y$5+1,0))</f>
        <v>9854.75</v>
      </c>
      <c r="Z818" s="7">
        <f t="shared" ca="1" si="172"/>
        <v>0</v>
      </c>
    </row>
    <row r="819" spans="1:26">
      <c r="A819" s="3" t="s">
        <v>63</v>
      </c>
      <c r="B819" s="4">
        <v>42864</v>
      </c>
      <c r="C819" s="3">
        <v>9916</v>
      </c>
      <c r="D819" s="3">
        <v>9994</v>
      </c>
      <c r="E819" s="3">
        <v>9898</v>
      </c>
      <c r="F819" s="3">
        <v>9904</v>
      </c>
      <c r="G819" s="3">
        <v>165930</v>
      </c>
      <c r="H819" s="3">
        <v>1.0449999999999999</v>
      </c>
      <c r="I819" s="2">
        <f t="shared" si="181"/>
        <v>0</v>
      </c>
      <c r="J819" s="10">
        <f t="shared" si="183"/>
        <v>-5</v>
      </c>
      <c r="K819" s="10">
        <f t="shared" si="182"/>
        <v>-12</v>
      </c>
      <c r="L819" s="10">
        <f t="shared" ca="1" si="171"/>
        <v>0</v>
      </c>
      <c r="M819" s="10">
        <f t="shared" ca="1" si="173"/>
        <v>1</v>
      </c>
      <c r="N819" s="30">
        <f t="shared" ca="1" si="174"/>
        <v>0</v>
      </c>
      <c r="O819" s="10">
        <f t="shared" ca="1" si="175"/>
        <v>1969400</v>
      </c>
      <c r="P819" s="29">
        <f t="shared" ca="1" si="176"/>
        <v>-3400</v>
      </c>
      <c r="Q819" s="12">
        <f t="shared" ca="1" si="177"/>
        <v>-355900</v>
      </c>
      <c r="R819" s="10">
        <f t="shared" ca="1" si="178"/>
        <v>-0.17264141362851629</v>
      </c>
      <c r="S819" s="10">
        <f t="shared" ca="1" si="184"/>
        <v>-1.4654937879749705</v>
      </c>
      <c r="T819" s="14">
        <f t="shared" ca="1" si="185"/>
        <v>-0.27443116376644955</v>
      </c>
      <c r="U819" s="12">
        <f t="shared" ca="1" si="179"/>
        <v>7900</v>
      </c>
      <c r="V819" s="14">
        <f t="shared" ca="1" si="180"/>
        <v>-4605.0632911392404</v>
      </c>
      <c r="W819" s="12">
        <f t="shared" ca="1" si="186"/>
        <v>-1774.6835443037974</v>
      </c>
      <c r="X819" s="7">
        <f ca="1">AVERAGE(E819:OFFSET(F819,-$X$5+1,0))</f>
        <v>9913.2999999999993</v>
      </c>
      <c r="Y819" s="7">
        <f ca="1">AVERAGE(E819:OFFSET(F819,-$Y$5+1,0))</f>
        <v>9875.4</v>
      </c>
      <c r="Z819" s="7">
        <f t="shared" ca="1" si="172"/>
        <v>0</v>
      </c>
    </row>
    <row r="820" spans="1:26">
      <c r="A820" s="3" t="s">
        <v>63</v>
      </c>
      <c r="B820" s="4">
        <v>42865</v>
      </c>
      <c r="C820" s="3">
        <v>9938</v>
      </c>
      <c r="D820" s="3">
        <v>9959</v>
      </c>
      <c r="E820" s="3">
        <v>9918</v>
      </c>
      <c r="F820" s="3">
        <v>9947</v>
      </c>
      <c r="G820" s="3">
        <v>92446</v>
      </c>
      <c r="H820" s="3">
        <v>1.0449999999999999</v>
      </c>
      <c r="I820" s="2">
        <f t="shared" si="181"/>
        <v>0</v>
      </c>
      <c r="J820" s="10">
        <f t="shared" si="183"/>
        <v>34</v>
      </c>
      <c r="K820" s="10">
        <f t="shared" si="182"/>
        <v>9</v>
      </c>
      <c r="L820" s="10">
        <f t="shared" ca="1" si="171"/>
        <v>0</v>
      </c>
      <c r="M820" s="10">
        <f t="shared" ca="1" si="173"/>
        <v>1</v>
      </c>
      <c r="N820" s="30">
        <f t="shared" ca="1" si="174"/>
        <v>0</v>
      </c>
      <c r="O820" s="10">
        <f t="shared" ca="1" si="175"/>
        <v>1969400</v>
      </c>
      <c r="P820" s="29">
        <f t="shared" ca="1" si="176"/>
        <v>8600</v>
      </c>
      <c r="Q820" s="12">
        <f t="shared" ca="1" si="177"/>
        <v>-347300</v>
      </c>
      <c r="R820" s="10">
        <f t="shared" ca="1" si="178"/>
        <v>0.4366812227074236</v>
      </c>
      <c r="S820" s="10">
        <f t="shared" ca="1" si="184"/>
        <v>-1.3095130135122881</v>
      </c>
      <c r="T820" s="14">
        <f t="shared" ca="1" si="185"/>
        <v>-0.25890968695613448</v>
      </c>
      <c r="U820" s="12">
        <f t="shared" ca="1" si="179"/>
        <v>7900</v>
      </c>
      <c r="V820" s="14">
        <f t="shared" ca="1" si="180"/>
        <v>-4496.2025316455693</v>
      </c>
      <c r="W820" s="12">
        <f t="shared" ca="1" si="186"/>
        <v>-1774.6835443037974</v>
      </c>
      <c r="X820" s="7">
        <f ca="1">AVERAGE(E820:OFFSET(F820,-$X$5+1,0))</f>
        <v>9912.7999999999993</v>
      </c>
      <c r="Y820" s="7">
        <f ca="1">AVERAGE(E820:OFFSET(F820,-$Y$5+1,0))</f>
        <v>9891.6</v>
      </c>
      <c r="Z820" s="7">
        <f t="shared" ca="1" si="172"/>
        <v>0</v>
      </c>
    </row>
    <row r="821" spans="1:26">
      <c r="A821" s="3" t="s">
        <v>63</v>
      </c>
      <c r="B821" s="4">
        <v>42866</v>
      </c>
      <c r="C821" s="3">
        <v>9962</v>
      </c>
      <c r="D821" s="3">
        <v>9997</v>
      </c>
      <c r="E821" s="3">
        <v>9946</v>
      </c>
      <c r="F821" s="3">
        <v>9987</v>
      </c>
      <c r="G821" s="3">
        <v>123805</v>
      </c>
      <c r="H821" s="3">
        <v>1.0449999999999999</v>
      </c>
      <c r="I821" s="2">
        <f t="shared" si="181"/>
        <v>0</v>
      </c>
      <c r="J821" s="10">
        <f t="shared" si="183"/>
        <v>15</v>
      </c>
      <c r="K821" s="10">
        <f t="shared" si="182"/>
        <v>25</v>
      </c>
      <c r="L821" s="10">
        <f t="shared" ca="1" si="171"/>
        <v>0</v>
      </c>
      <c r="M821" s="10">
        <f t="shared" ca="1" si="173"/>
        <v>1</v>
      </c>
      <c r="N821" s="30">
        <f t="shared" ca="1" si="174"/>
        <v>0</v>
      </c>
      <c r="O821" s="10">
        <f t="shared" ca="1" si="175"/>
        <v>1969400</v>
      </c>
      <c r="P821" s="29">
        <f t="shared" ca="1" si="176"/>
        <v>8000</v>
      </c>
      <c r="Q821" s="12">
        <f t="shared" ca="1" si="177"/>
        <v>-339300</v>
      </c>
      <c r="R821" s="10">
        <f t="shared" ca="1" si="178"/>
        <v>0.40621509089062657</v>
      </c>
      <c r="S821" s="10">
        <f t="shared" ca="1" si="184"/>
        <v>-1.0773555817538769</v>
      </c>
      <c r="T821" s="14">
        <f t="shared" ca="1" si="185"/>
        <v>-0.2334497752828141</v>
      </c>
      <c r="U821" s="12">
        <f t="shared" ca="1" si="179"/>
        <v>7900</v>
      </c>
      <c r="V821" s="14">
        <f t="shared" ca="1" si="180"/>
        <v>-4394.9367088607596</v>
      </c>
      <c r="W821" s="12">
        <f t="shared" ca="1" si="186"/>
        <v>-1774.6835443037974</v>
      </c>
      <c r="X821" s="7">
        <f ca="1">AVERAGE(E821:OFFSET(F821,-$X$5+1,0))</f>
        <v>9918.4</v>
      </c>
      <c r="Y821" s="7">
        <f ca="1">AVERAGE(E821:OFFSET(F821,-$Y$5+1,0))</f>
        <v>9904.9</v>
      </c>
      <c r="Z821" s="7">
        <f t="shared" ca="1" si="172"/>
        <v>0</v>
      </c>
    </row>
    <row r="822" spans="1:26">
      <c r="A822" s="3" t="s">
        <v>63</v>
      </c>
      <c r="B822" s="4">
        <v>42867</v>
      </c>
      <c r="C822" s="3">
        <v>9982</v>
      </c>
      <c r="D822" s="3">
        <v>9996</v>
      </c>
      <c r="E822" s="3">
        <v>9966</v>
      </c>
      <c r="F822" s="3">
        <v>9981</v>
      </c>
      <c r="G822" s="3">
        <v>86535</v>
      </c>
      <c r="H822" s="3">
        <v>1.0449999999999999</v>
      </c>
      <c r="I822" s="2">
        <f t="shared" si="181"/>
        <v>0</v>
      </c>
      <c r="J822" s="10">
        <f t="shared" si="183"/>
        <v>-5</v>
      </c>
      <c r="K822" s="10">
        <f t="shared" si="182"/>
        <v>-1</v>
      </c>
      <c r="L822" s="10">
        <f t="shared" ca="1" si="171"/>
        <v>0</v>
      </c>
      <c r="M822" s="10">
        <f t="shared" ca="1" si="173"/>
        <v>1</v>
      </c>
      <c r="N822" s="30">
        <f t="shared" ca="1" si="174"/>
        <v>0</v>
      </c>
      <c r="O822" s="10">
        <f t="shared" ca="1" si="175"/>
        <v>1969400</v>
      </c>
      <c r="P822" s="29">
        <f t="shared" ca="1" si="176"/>
        <v>-1200</v>
      </c>
      <c r="Q822" s="12">
        <f t="shared" ca="1" si="177"/>
        <v>-340500</v>
      </c>
      <c r="R822" s="10">
        <f t="shared" ca="1" si="178"/>
        <v>-6.093226363359399E-2</v>
      </c>
      <c r="S822" s="10">
        <f t="shared" ca="1" si="184"/>
        <v>-1.1870862428584383</v>
      </c>
      <c r="T822" s="14">
        <f t="shared" ca="1" si="185"/>
        <v>-0.24669906675857875</v>
      </c>
      <c r="U822" s="12">
        <f t="shared" ca="1" si="179"/>
        <v>7900</v>
      </c>
      <c r="V822" s="14">
        <f t="shared" ca="1" si="180"/>
        <v>-4410.1265822784808</v>
      </c>
      <c r="W822" s="12">
        <f t="shared" ca="1" si="186"/>
        <v>-1774.6835443037974</v>
      </c>
      <c r="X822" s="7">
        <f ca="1">AVERAGE(E822:OFFSET(F822,-$X$5+1,0))</f>
        <v>9936.2999999999993</v>
      </c>
      <c r="Y822" s="7">
        <f ca="1">AVERAGE(E822:OFFSET(F822,-$Y$5+1,0))</f>
        <v>9919.9</v>
      </c>
      <c r="Z822" s="7">
        <f t="shared" ca="1" si="172"/>
        <v>0</v>
      </c>
    </row>
    <row r="823" spans="1:26">
      <c r="A823" s="3" t="s">
        <v>63</v>
      </c>
      <c r="B823" s="4">
        <v>42870</v>
      </c>
      <c r="C823" s="3">
        <v>9990</v>
      </c>
      <c r="D823" s="3">
        <v>10031</v>
      </c>
      <c r="E823" s="3">
        <v>9975</v>
      </c>
      <c r="F823" s="3">
        <v>10028</v>
      </c>
      <c r="G823" s="3">
        <v>118391</v>
      </c>
      <c r="H823" s="3">
        <v>1.0449999999999999</v>
      </c>
      <c r="I823" s="2">
        <f t="shared" si="181"/>
        <v>0</v>
      </c>
      <c r="J823" s="10">
        <f t="shared" si="183"/>
        <v>9</v>
      </c>
      <c r="K823" s="10">
        <f t="shared" si="182"/>
        <v>38</v>
      </c>
      <c r="L823" s="10">
        <f t="shared" ca="1" si="171"/>
        <v>0</v>
      </c>
      <c r="M823" s="10">
        <f t="shared" ca="1" si="173"/>
        <v>1</v>
      </c>
      <c r="N823" s="30">
        <f t="shared" ca="1" si="174"/>
        <v>0</v>
      </c>
      <c r="O823" s="10">
        <f t="shared" ca="1" si="175"/>
        <v>1969400</v>
      </c>
      <c r="P823" s="29">
        <f t="shared" ca="1" si="176"/>
        <v>9400</v>
      </c>
      <c r="Q823" s="12">
        <f t="shared" ca="1" si="177"/>
        <v>-331100</v>
      </c>
      <c r="R823" s="10">
        <f t="shared" ca="1" si="178"/>
        <v>0.47730273179648625</v>
      </c>
      <c r="S823" s="10">
        <f t="shared" ca="1" si="184"/>
        <v>-1.1018409358846468</v>
      </c>
      <c r="T823" s="14">
        <f t="shared" ca="1" si="185"/>
        <v>-0.24208299928289456</v>
      </c>
      <c r="U823" s="12">
        <f t="shared" ca="1" si="179"/>
        <v>7900</v>
      </c>
      <c r="V823" s="14">
        <f t="shared" ca="1" si="180"/>
        <v>-4291.1392405063289</v>
      </c>
      <c r="W823" s="12">
        <f t="shared" ca="1" si="186"/>
        <v>-1774.6835443037974</v>
      </c>
      <c r="X823" s="7">
        <f ca="1">AVERAGE(E823:OFFSET(F823,-$X$5+1,0))</f>
        <v>9955</v>
      </c>
      <c r="Y823" s="7">
        <f ca="1">AVERAGE(E823:OFFSET(F823,-$Y$5+1,0))</f>
        <v>9935.5</v>
      </c>
      <c r="Z823" s="7">
        <f t="shared" ca="1" si="172"/>
        <v>0</v>
      </c>
    </row>
    <row r="824" spans="1:26">
      <c r="A824" s="3" t="s">
        <v>63</v>
      </c>
      <c r="B824" s="4">
        <v>42871</v>
      </c>
      <c r="C824" s="3">
        <v>10040</v>
      </c>
      <c r="D824" s="3">
        <v>10054</v>
      </c>
      <c r="E824" s="3">
        <v>10000</v>
      </c>
      <c r="F824" s="3">
        <v>10022</v>
      </c>
      <c r="G824" s="3">
        <v>112096</v>
      </c>
      <c r="H824" s="3">
        <v>1.0449999999999999</v>
      </c>
      <c r="I824" s="2">
        <f t="shared" si="181"/>
        <v>0</v>
      </c>
      <c r="J824" s="10">
        <f t="shared" si="183"/>
        <v>12</v>
      </c>
      <c r="K824" s="10">
        <f t="shared" si="182"/>
        <v>-18</v>
      </c>
      <c r="L824" s="10">
        <f t="shared" ca="1" si="171"/>
        <v>0</v>
      </c>
      <c r="M824" s="10">
        <f t="shared" ca="1" si="173"/>
        <v>1</v>
      </c>
      <c r="N824" s="30">
        <f t="shared" ca="1" si="174"/>
        <v>0</v>
      </c>
      <c r="O824" s="10">
        <f t="shared" ca="1" si="175"/>
        <v>1969400</v>
      </c>
      <c r="P824" s="29">
        <f t="shared" ca="1" si="176"/>
        <v>-1200</v>
      </c>
      <c r="Q824" s="12">
        <f t="shared" ca="1" si="177"/>
        <v>-332300</v>
      </c>
      <c r="R824" s="10">
        <f t="shared" ca="1" si="178"/>
        <v>-6.093226363359399E-2</v>
      </c>
      <c r="S824" s="10">
        <f t="shared" ca="1" si="184"/>
        <v>-1.1127233154983223</v>
      </c>
      <c r="T824" s="14">
        <f t="shared" ca="1" si="185"/>
        <v>-0.24336377216192487</v>
      </c>
      <c r="U824" s="12">
        <f t="shared" ca="1" si="179"/>
        <v>7900</v>
      </c>
      <c r="V824" s="14">
        <f t="shared" ca="1" si="180"/>
        <v>-4306.3291139240509</v>
      </c>
      <c r="W824" s="12">
        <f t="shared" ca="1" si="186"/>
        <v>-1774.6835443037974</v>
      </c>
      <c r="X824" s="7">
        <f ca="1">AVERAGE(E824:OFFSET(F824,-$X$5+1,0))</f>
        <v>9977</v>
      </c>
      <c r="Y824" s="7">
        <f ca="1">AVERAGE(E824:OFFSET(F824,-$Y$5+1,0))</f>
        <v>9945.15</v>
      </c>
      <c r="Z824" s="7">
        <f t="shared" ca="1" si="172"/>
        <v>0</v>
      </c>
    </row>
    <row r="825" spans="1:26">
      <c r="A825" s="3" t="s">
        <v>63</v>
      </c>
      <c r="B825" s="4">
        <v>42872</v>
      </c>
      <c r="C825" s="3">
        <v>9993</v>
      </c>
      <c r="D825" s="3">
        <v>10022</v>
      </c>
      <c r="E825" s="3">
        <v>9975</v>
      </c>
      <c r="F825" s="3">
        <v>10000</v>
      </c>
      <c r="G825" s="3">
        <v>72780</v>
      </c>
      <c r="H825" s="3">
        <v>1.0449999999999999</v>
      </c>
      <c r="I825" s="2">
        <f t="shared" si="181"/>
        <v>1</v>
      </c>
      <c r="J825" s="10">
        <f t="shared" si="183"/>
        <v>-29</v>
      </c>
      <c r="K825" s="10">
        <f t="shared" si="182"/>
        <v>7</v>
      </c>
      <c r="L825" s="10">
        <f t="shared" ca="1" si="171"/>
        <v>0</v>
      </c>
      <c r="M825" s="10">
        <f t="shared" si="173"/>
        <v>0</v>
      </c>
      <c r="N825" s="30">
        <f t="shared" si="174"/>
        <v>0</v>
      </c>
      <c r="O825" s="10">
        <f t="shared" si="175"/>
        <v>0</v>
      </c>
      <c r="P825" s="29">
        <f t="shared" ca="1" si="176"/>
        <v>-6300</v>
      </c>
      <c r="Q825" s="12">
        <f t="shared" ca="1" si="177"/>
        <v>-338600</v>
      </c>
      <c r="R825" s="10">
        <f t="shared" ca="1" si="178"/>
        <v>-0.31989438407636844</v>
      </c>
      <c r="S825" s="10">
        <f t="shared" ca="1" si="184"/>
        <v>-1.1698558084701187</v>
      </c>
      <c r="T825" s="14">
        <f t="shared" ca="1" si="185"/>
        <v>-0.24996430289055441</v>
      </c>
      <c r="U825" s="12">
        <f t="shared" ca="1" si="179"/>
        <v>7900</v>
      </c>
      <c r="V825" s="14">
        <f t="shared" ca="1" si="180"/>
        <v>-4386.0759493670885</v>
      </c>
      <c r="W825" s="12">
        <f t="shared" ca="1" si="186"/>
        <v>-1774.6835443037974</v>
      </c>
      <c r="X825" s="7">
        <f ca="1">AVERAGE(E825:OFFSET(F825,-$X$5+1,0))</f>
        <v>9988</v>
      </c>
      <c r="Y825" s="7">
        <f ca="1">AVERAGE(E825:OFFSET(F825,-$Y$5+1,0))</f>
        <v>9950.4</v>
      </c>
      <c r="Z825" s="7">
        <f t="shared" ca="1" si="172"/>
        <v>0</v>
      </c>
    </row>
    <row r="826" spans="1:26">
      <c r="A826" s="3" t="s">
        <v>64</v>
      </c>
      <c r="B826" s="4">
        <v>42873</v>
      </c>
      <c r="C826" s="3">
        <v>9903</v>
      </c>
      <c r="D826" s="3">
        <v>9958</v>
      </c>
      <c r="E826" s="3">
        <v>9878</v>
      </c>
      <c r="F826" s="3">
        <v>9951</v>
      </c>
      <c r="G826" s="3">
        <v>130546</v>
      </c>
      <c r="H826" s="3">
        <v>1.0449999999999999</v>
      </c>
      <c r="I826" s="2">
        <f t="shared" si="181"/>
        <v>0</v>
      </c>
      <c r="J826" s="10">
        <f t="shared" si="183"/>
        <v>-97</v>
      </c>
      <c r="K826" s="10">
        <f t="shared" si="182"/>
        <v>48</v>
      </c>
      <c r="L826" s="10">
        <f t="shared" ca="1" si="171"/>
        <v>0</v>
      </c>
      <c r="M826" s="10">
        <f t="shared" ca="1" si="173"/>
        <v>0</v>
      </c>
      <c r="N826" s="30">
        <f t="shared" ca="1" si="174"/>
        <v>0</v>
      </c>
      <c r="O826" s="10">
        <f t="shared" ca="1" si="175"/>
        <v>0</v>
      </c>
      <c r="P826" s="29">
        <f t="shared" ca="1" si="176"/>
        <v>0</v>
      </c>
      <c r="Q826" s="12">
        <f t="shared" ca="1" si="177"/>
        <v>-338600</v>
      </c>
      <c r="R826" s="10">
        <f t="shared" ca="1" si="178"/>
        <v>0</v>
      </c>
      <c r="S826" s="10">
        <f t="shared" ca="1" si="184"/>
        <v>-1.2744092637696023</v>
      </c>
      <c r="T826" s="14">
        <f t="shared" ca="1" si="185"/>
        <v>-0.26179889035296516</v>
      </c>
      <c r="U826" s="12">
        <f t="shared" ca="1" si="179"/>
        <v>7900</v>
      </c>
      <c r="V826" s="14">
        <f t="shared" ca="1" si="180"/>
        <v>-4386.0759493670885</v>
      </c>
      <c r="W826" s="12">
        <f t="shared" ca="1" si="186"/>
        <v>-1774.6835443037974</v>
      </c>
      <c r="X826" s="7">
        <f ca="1">AVERAGE(E826:OFFSET(F826,-$X$5+1,0))</f>
        <v>9977.6</v>
      </c>
      <c r="Y826" s="7">
        <f ca="1">AVERAGE(E826:OFFSET(F826,-$Y$5+1,0))</f>
        <v>9948</v>
      </c>
      <c r="Z826" s="7">
        <f t="shared" ca="1" si="172"/>
        <v>0</v>
      </c>
    </row>
    <row r="827" spans="1:26">
      <c r="A827" s="3" t="s">
        <v>64</v>
      </c>
      <c r="B827" s="4">
        <v>42874</v>
      </c>
      <c r="C827" s="3">
        <v>9968</v>
      </c>
      <c r="D827" s="3">
        <v>9973</v>
      </c>
      <c r="E827" s="3">
        <v>9931</v>
      </c>
      <c r="F827" s="3">
        <v>9932</v>
      </c>
      <c r="G827" s="3">
        <v>75363</v>
      </c>
      <c r="H827" s="3">
        <v>1.0449999999999999</v>
      </c>
      <c r="I827" s="2">
        <f t="shared" si="181"/>
        <v>0</v>
      </c>
      <c r="J827" s="10">
        <f t="shared" si="183"/>
        <v>17</v>
      </c>
      <c r="K827" s="10">
        <f t="shared" si="182"/>
        <v>-36</v>
      </c>
      <c r="L827" s="10">
        <f t="shared" ca="1" si="171"/>
        <v>0</v>
      </c>
      <c r="M827" s="10">
        <f t="shared" ca="1" si="173"/>
        <v>0</v>
      </c>
      <c r="N827" s="30">
        <f t="shared" ca="1" si="174"/>
        <v>0</v>
      </c>
      <c r="O827" s="10">
        <f t="shared" ca="1" si="175"/>
        <v>0</v>
      </c>
      <c r="P827" s="29">
        <f t="shared" ca="1" si="176"/>
        <v>0</v>
      </c>
      <c r="Q827" s="12">
        <f t="shared" ca="1" si="177"/>
        <v>-338600</v>
      </c>
      <c r="R827" s="10">
        <f t="shared" ca="1" si="178"/>
        <v>0</v>
      </c>
      <c r="S827" s="10">
        <f t="shared" ca="1" si="184"/>
        <v>-1.4923300431568602</v>
      </c>
      <c r="T827" s="14">
        <f t="shared" ca="1" si="185"/>
        <v>-0.28627049715675573</v>
      </c>
      <c r="U827" s="12">
        <f t="shared" ca="1" si="179"/>
        <v>7900</v>
      </c>
      <c r="V827" s="14">
        <f t="shared" ca="1" si="180"/>
        <v>-4386.0759493670885</v>
      </c>
      <c r="W827" s="12">
        <f t="shared" ca="1" si="186"/>
        <v>-1774.6835443037974</v>
      </c>
      <c r="X827" s="7">
        <f ca="1">AVERAGE(E827:OFFSET(F827,-$X$5+1,0))</f>
        <v>9969.2000000000007</v>
      </c>
      <c r="Y827" s="7">
        <f ca="1">AVERAGE(E827:OFFSET(F827,-$Y$5+1,0))</f>
        <v>9952.75</v>
      </c>
      <c r="Z827" s="7">
        <f t="shared" ca="1" si="172"/>
        <v>0</v>
      </c>
    </row>
    <row r="828" spans="1:26">
      <c r="A828" s="3" t="s">
        <v>64</v>
      </c>
      <c r="B828" s="4">
        <v>42877</v>
      </c>
      <c r="C828" s="3">
        <v>9965</v>
      </c>
      <c r="D828" s="3">
        <v>9980</v>
      </c>
      <c r="E828" s="3">
        <v>9942</v>
      </c>
      <c r="F828" s="3">
        <v>9975</v>
      </c>
      <c r="G828" s="3">
        <v>84227</v>
      </c>
      <c r="H828" s="3">
        <v>1.0449999999999999</v>
      </c>
      <c r="I828" s="2">
        <f t="shared" si="181"/>
        <v>0</v>
      </c>
      <c r="J828" s="10">
        <f t="shared" si="183"/>
        <v>33</v>
      </c>
      <c r="K828" s="10">
        <f t="shared" si="182"/>
        <v>10</v>
      </c>
      <c r="L828" s="10">
        <f t="shared" ca="1" si="171"/>
        <v>0</v>
      </c>
      <c r="M828" s="10">
        <f t="shared" ca="1" si="173"/>
        <v>0</v>
      </c>
      <c r="N828" s="30">
        <f t="shared" ca="1" si="174"/>
        <v>0</v>
      </c>
      <c r="O828" s="10">
        <f t="shared" ca="1" si="175"/>
        <v>0</v>
      </c>
      <c r="P828" s="29">
        <f t="shared" ca="1" si="176"/>
        <v>0</v>
      </c>
      <c r="Q828" s="12">
        <f t="shared" ca="1" si="177"/>
        <v>-338600</v>
      </c>
      <c r="R828" s="10">
        <f t="shared" ca="1" si="178"/>
        <v>0</v>
      </c>
      <c r="S828" s="10">
        <f t="shared" ca="1" si="184"/>
        <v>-1.4923300431568602</v>
      </c>
      <c r="T828" s="14">
        <f t="shared" ca="1" si="185"/>
        <v>-0.29065857798572009</v>
      </c>
      <c r="U828" s="12">
        <f t="shared" ca="1" si="179"/>
        <v>7900</v>
      </c>
      <c r="V828" s="14">
        <f t="shared" ca="1" si="180"/>
        <v>-4386.0759493670885</v>
      </c>
      <c r="W828" s="12">
        <f t="shared" ca="1" si="186"/>
        <v>-1774.6835443037974</v>
      </c>
      <c r="X828" s="7">
        <f ca="1">AVERAGE(E828:OFFSET(F828,-$X$5+1,0))</f>
        <v>9960.6</v>
      </c>
      <c r="Y828" s="7">
        <f ca="1">AVERAGE(E828:OFFSET(F828,-$Y$5+1,0))</f>
        <v>9957.7999999999993</v>
      </c>
      <c r="Z828" s="7">
        <f t="shared" ca="1" si="172"/>
        <v>0</v>
      </c>
    </row>
    <row r="829" spans="1:26">
      <c r="A829" s="3" t="s">
        <v>64</v>
      </c>
      <c r="B829" s="4">
        <v>42878</v>
      </c>
      <c r="C829" s="3">
        <v>9984</v>
      </c>
      <c r="D829" s="3">
        <v>10017</v>
      </c>
      <c r="E829" s="3">
        <v>9968</v>
      </c>
      <c r="F829" s="3">
        <v>9994</v>
      </c>
      <c r="G829" s="3">
        <v>97438</v>
      </c>
      <c r="H829" s="3">
        <v>1.0449999999999999</v>
      </c>
      <c r="I829" s="2">
        <f t="shared" si="181"/>
        <v>0</v>
      </c>
      <c r="J829" s="10">
        <f t="shared" si="183"/>
        <v>9</v>
      </c>
      <c r="K829" s="10">
        <f t="shared" si="182"/>
        <v>10</v>
      </c>
      <c r="L829" s="10">
        <f t="shared" ref="L829:L892" ca="1" si="187">Z829</f>
        <v>-1</v>
      </c>
      <c r="M829" s="10">
        <f t="shared" ca="1" si="173"/>
        <v>0</v>
      </c>
      <c r="N829" s="30">
        <f t="shared" ca="1" si="174"/>
        <v>0</v>
      </c>
      <c r="O829" s="10">
        <f t="shared" ca="1" si="175"/>
        <v>0</v>
      </c>
      <c r="P829" s="29">
        <f t="shared" ca="1" si="176"/>
        <v>0</v>
      </c>
      <c r="Q829" s="12">
        <f t="shared" ca="1" si="177"/>
        <v>-338600</v>
      </c>
      <c r="R829" s="10">
        <f t="shared" ca="1" si="178"/>
        <v>0</v>
      </c>
      <c r="S829" s="10">
        <f t="shared" ca="1" si="184"/>
        <v>-1.6568388668119471</v>
      </c>
      <c r="T829" s="14">
        <f t="shared" ca="1" si="185"/>
        <v>-0.3094652114676783</v>
      </c>
      <c r="U829" s="12">
        <f t="shared" ca="1" si="179"/>
        <v>7900</v>
      </c>
      <c r="V829" s="14">
        <f t="shared" ca="1" si="180"/>
        <v>-4386.0759493670885</v>
      </c>
      <c r="W829" s="12">
        <f t="shared" ca="1" si="186"/>
        <v>-1774.6835443037974</v>
      </c>
      <c r="X829" s="7">
        <f ca="1">AVERAGE(E829:OFFSET(F829,-$X$5+1,0))</f>
        <v>9954.6</v>
      </c>
      <c r="Y829" s="7">
        <f ca="1">AVERAGE(E829:OFFSET(F829,-$Y$5+1,0))</f>
        <v>9965.7999999999993</v>
      </c>
      <c r="Z829" s="7">
        <f t="shared" ref="Z829:Z892" ca="1" si="188">IF(AND(X828&lt;=Y828,X829&gt;Y829),1,IF(AND(X828&gt;Y828,X829&lt;=Y829),-1,0))</f>
        <v>-1</v>
      </c>
    </row>
    <row r="830" spans="1:26">
      <c r="A830" s="3" t="s">
        <v>64</v>
      </c>
      <c r="B830" s="4">
        <v>42879</v>
      </c>
      <c r="C830" s="3">
        <v>10007</v>
      </c>
      <c r="D830" s="3">
        <v>10030</v>
      </c>
      <c r="E830" s="3">
        <v>9998</v>
      </c>
      <c r="F830" s="3">
        <v>10020</v>
      </c>
      <c r="G830" s="3">
        <v>79667</v>
      </c>
      <c r="H830" s="3">
        <v>1.0449999999999999</v>
      </c>
      <c r="I830" s="2">
        <f t="shared" si="181"/>
        <v>0</v>
      </c>
      <c r="J830" s="10">
        <f t="shared" si="183"/>
        <v>13</v>
      </c>
      <c r="K830" s="10">
        <f t="shared" si="182"/>
        <v>13</v>
      </c>
      <c r="L830" s="10">
        <f t="shared" ca="1" si="187"/>
        <v>0</v>
      </c>
      <c r="M830" s="10">
        <f t="shared" ref="M830:M893" ca="1" si="189">IF(I830=1,0,IF(M829+L829&gt;=$M$5,$M$5,IF(M829+L829&lt;=$M$7,$M$7,M829+L829)))</f>
        <v>-1</v>
      </c>
      <c r="N830" s="30">
        <f t="shared" ref="N830:N893" ca="1" si="190">IF(M830=0,0,IF(M830&gt;M829,(C830+N829*M829)*$S$5,0))</f>
        <v>0</v>
      </c>
      <c r="O830" s="10">
        <f t="shared" ref="O830:O893" ca="1" si="191">IF(M830=0,0,IF(M830=M829,O829,((M830-M829)*C830+N829*M829)*$S$5/M830))</f>
        <v>2001400</v>
      </c>
      <c r="P830" s="29">
        <f t="shared" ref="P830:P893" ca="1" si="192">IF(M829=M830,(M829*J830+M830*K830)*$S$5,(M829*J830+M830*K830)*$S$5-$S$6)</f>
        <v>-3100</v>
      </c>
      <c r="Q830" s="12">
        <f t="shared" ref="Q830:Q893" ca="1" si="193">P830+Q829</f>
        <v>-341700</v>
      </c>
      <c r="R830" s="10">
        <f t="shared" ref="R830:R893" ca="1" si="194">IF(P830=0,0,IF(O830=0,100*P830/O829,100*P830/O830))</f>
        <v>-0.15489157589687219</v>
      </c>
      <c r="S830" s="10">
        <f t="shared" ca="1" si="184"/>
        <v>-1.7882322779130881</v>
      </c>
      <c r="T830" s="14">
        <f t="shared" ca="1" si="185"/>
        <v>-0.32509324985585564</v>
      </c>
      <c r="U830" s="12">
        <f t="shared" ref="U830:U893" ca="1" si="195">IF(Q830&gt;U829,Q830,U829)</f>
        <v>7900</v>
      </c>
      <c r="V830" s="14">
        <f t="shared" ref="V830:V893" ca="1" si="196">IF(U830=0,0,100*(Q830-U830)/U830)</f>
        <v>-4425.3164556962029</v>
      </c>
      <c r="W830" s="12">
        <f t="shared" ca="1" si="186"/>
        <v>-1774.6835443037974</v>
      </c>
      <c r="X830" s="7">
        <f ca="1">AVERAGE(E830:OFFSET(F830,-$X$5+1,0))</f>
        <v>9958.9</v>
      </c>
      <c r="Y830" s="7">
        <f ca="1">AVERAGE(E830:OFFSET(F830,-$Y$5+1,0))</f>
        <v>9973.4500000000007</v>
      </c>
      <c r="Z830" s="7">
        <f t="shared" ca="1" si="188"/>
        <v>0</v>
      </c>
    </row>
    <row r="831" spans="1:26">
      <c r="A831" s="3" t="s">
        <v>64</v>
      </c>
      <c r="B831" s="4">
        <v>42880</v>
      </c>
      <c r="C831" s="3">
        <v>10042</v>
      </c>
      <c r="D831" s="3">
        <v>10110</v>
      </c>
      <c r="E831" s="3">
        <v>10040</v>
      </c>
      <c r="F831" s="3">
        <v>10107</v>
      </c>
      <c r="G831" s="3">
        <v>99562</v>
      </c>
      <c r="H831" s="3">
        <v>1.0449999999999999</v>
      </c>
      <c r="I831" s="2">
        <f t="shared" si="181"/>
        <v>0</v>
      </c>
      <c r="J831" s="10">
        <f t="shared" si="183"/>
        <v>22</v>
      </c>
      <c r="K831" s="10">
        <f t="shared" si="182"/>
        <v>65</v>
      </c>
      <c r="L831" s="10">
        <f t="shared" ca="1" si="187"/>
        <v>1</v>
      </c>
      <c r="M831" s="10">
        <f t="shared" ca="1" si="189"/>
        <v>-1</v>
      </c>
      <c r="N831" s="30">
        <f t="shared" ca="1" si="190"/>
        <v>0</v>
      </c>
      <c r="O831" s="10">
        <f t="shared" ca="1" si="191"/>
        <v>2001400</v>
      </c>
      <c r="P831" s="29">
        <f t="shared" ca="1" si="192"/>
        <v>-17400</v>
      </c>
      <c r="Q831" s="12">
        <f t="shared" ca="1" si="193"/>
        <v>-359100</v>
      </c>
      <c r="R831" s="10">
        <f t="shared" ca="1" si="194"/>
        <v>-0.86939142600179875</v>
      </c>
      <c r="S831" s="10">
        <f t="shared" ca="1" si="184"/>
        <v>-1.9890612314660514</v>
      </c>
      <c r="T831" s="14">
        <f t="shared" ca="1" si="185"/>
        <v>-0.34756688410627717</v>
      </c>
      <c r="U831" s="12">
        <f t="shared" ca="1" si="195"/>
        <v>7900</v>
      </c>
      <c r="V831" s="14">
        <f t="shared" ca="1" si="196"/>
        <v>-4645.5696202531644</v>
      </c>
      <c r="W831" s="12">
        <f t="shared" ca="1" si="186"/>
        <v>-1774.6835443037974</v>
      </c>
      <c r="X831" s="7">
        <f ca="1">AVERAGE(E831:OFFSET(F831,-$X$5+1,0))</f>
        <v>9990.7000000000007</v>
      </c>
      <c r="Y831" s="7">
        <f ca="1">AVERAGE(E831:OFFSET(F831,-$Y$5+1,0))</f>
        <v>9984.15</v>
      </c>
      <c r="Z831" s="7">
        <f t="shared" ca="1" si="188"/>
        <v>1</v>
      </c>
    </row>
    <row r="832" spans="1:26">
      <c r="A832" s="3" t="s">
        <v>64</v>
      </c>
      <c r="B832" s="4">
        <v>42881</v>
      </c>
      <c r="C832" s="3">
        <v>10130</v>
      </c>
      <c r="D832" s="3">
        <v>10131</v>
      </c>
      <c r="E832" s="3">
        <v>10080</v>
      </c>
      <c r="F832" s="3">
        <v>10093</v>
      </c>
      <c r="G832" s="3">
        <v>103748</v>
      </c>
      <c r="H832" s="3">
        <v>1.0449999999999999</v>
      </c>
      <c r="I832" s="2">
        <f t="shared" si="181"/>
        <v>0</v>
      </c>
      <c r="J832" s="10">
        <f t="shared" si="183"/>
        <v>23</v>
      </c>
      <c r="K832" s="10">
        <f t="shared" si="182"/>
        <v>-37</v>
      </c>
      <c r="L832" s="10">
        <f t="shared" ca="1" si="187"/>
        <v>0</v>
      </c>
      <c r="M832" s="10">
        <f t="shared" ca="1" si="189"/>
        <v>0</v>
      </c>
      <c r="N832" s="30">
        <f t="shared" ca="1" si="190"/>
        <v>0</v>
      </c>
      <c r="O832" s="10">
        <f t="shared" ca="1" si="191"/>
        <v>0</v>
      </c>
      <c r="P832" s="29">
        <f t="shared" ca="1" si="192"/>
        <v>-5100</v>
      </c>
      <c r="Q832" s="12">
        <f t="shared" ca="1" si="193"/>
        <v>-364200</v>
      </c>
      <c r="R832" s="10">
        <f t="shared" ca="1" si="194"/>
        <v>-0.25482162486259619</v>
      </c>
      <c r="S832" s="10">
        <f t="shared" ca="1" si="184"/>
        <v>-2.1460923813186343</v>
      </c>
      <c r="T832" s="14">
        <f t="shared" ca="1" si="185"/>
        <v>-0.36530613319900862</v>
      </c>
      <c r="U832" s="12">
        <f t="shared" ca="1" si="195"/>
        <v>7900</v>
      </c>
      <c r="V832" s="14">
        <f t="shared" ca="1" si="196"/>
        <v>-4710.1265822784808</v>
      </c>
      <c r="W832" s="12">
        <f t="shared" ca="1" si="186"/>
        <v>-1774.6835443037974</v>
      </c>
      <c r="X832" s="7">
        <f ca="1">AVERAGE(E832:OFFSET(F832,-$X$5+1,0))</f>
        <v>10021.700000000001</v>
      </c>
      <c r="Y832" s="7">
        <f ca="1">AVERAGE(E832:OFFSET(F832,-$Y$5+1,0))</f>
        <v>9995.4500000000007</v>
      </c>
      <c r="Z832" s="7">
        <f t="shared" ca="1" si="188"/>
        <v>0</v>
      </c>
    </row>
    <row r="833" spans="1:26">
      <c r="A833" s="3" t="s">
        <v>64</v>
      </c>
      <c r="B833" s="4">
        <v>42886</v>
      </c>
      <c r="C833" s="3">
        <v>10085</v>
      </c>
      <c r="D833" s="3">
        <v>10105</v>
      </c>
      <c r="E833" s="3">
        <v>10023</v>
      </c>
      <c r="F833" s="3">
        <v>10031</v>
      </c>
      <c r="G833" s="3">
        <v>111055</v>
      </c>
      <c r="H833" s="3">
        <v>1.0449999999999999</v>
      </c>
      <c r="I833" s="2">
        <f t="shared" si="181"/>
        <v>0</v>
      </c>
      <c r="J833" s="10">
        <f t="shared" si="183"/>
        <v>-8</v>
      </c>
      <c r="K833" s="10">
        <f t="shared" si="182"/>
        <v>-54</v>
      </c>
      <c r="L833" s="10">
        <f t="shared" ca="1" si="187"/>
        <v>0</v>
      </c>
      <c r="M833" s="10">
        <f t="shared" ca="1" si="189"/>
        <v>0</v>
      </c>
      <c r="N833" s="30">
        <f t="shared" ca="1" si="190"/>
        <v>0</v>
      </c>
      <c r="O833" s="10">
        <f t="shared" ca="1" si="191"/>
        <v>0</v>
      </c>
      <c r="P833" s="29">
        <f t="shared" ca="1" si="192"/>
        <v>0</v>
      </c>
      <c r="Q833" s="12">
        <f t="shared" ca="1" si="193"/>
        <v>-364200</v>
      </c>
      <c r="R833" s="10">
        <f t="shared" ca="1" si="194"/>
        <v>0</v>
      </c>
      <c r="S833" s="10">
        <f t="shared" ca="1" si="184"/>
        <v>-2.1225911207964789</v>
      </c>
      <c r="T833" s="14">
        <f t="shared" ca="1" si="185"/>
        <v>-0.36259495464490482</v>
      </c>
      <c r="U833" s="12">
        <f t="shared" ca="1" si="195"/>
        <v>7900</v>
      </c>
      <c r="V833" s="14">
        <f t="shared" ca="1" si="196"/>
        <v>-4710.1265822784808</v>
      </c>
      <c r="W833" s="12">
        <f t="shared" ca="1" si="186"/>
        <v>-1774.6835443037974</v>
      </c>
      <c r="X833" s="7">
        <f ca="1">AVERAGE(E833:OFFSET(F833,-$X$5+1,0))</f>
        <v>10035.4</v>
      </c>
      <c r="Y833" s="7">
        <f ca="1">AVERAGE(E833:OFFSET(F833,-$Y$5+1,0))</f>
        <v>9998</v>
      </c>
      <c r="Z833" s="7">
        <f t="shared" ca="1" si="188"/>
        <v>0</v>
      </c>
    </row>
    <row r="834" spans="1:26">
      <c r="A834" s="3" t="s">
        <v>64</v>
      </c>
      <c r="B834" s="4">
        <v>42887</v>
      </c>
      <c r="C834" s="3">
        <v>10030</v>
      </c>
      <c r="D834" s="3">
        <v>10075</v>
      </c>
      <c r="E834" s="3">
        <v>10023</v>
      </c>
      <c r="F834" s="3">
        <v>10069</v>
      </c>
      <c r="G834" s="3">
        <v>86130</v>
      </c>
      <c r="H834" s="3">
        <v>1.0449999999999999</v>
      </c>
      <c r="I834" s="2">
        <f t="shared" si="181"/>
        <v>0</v>
      </c>
      <c r="J834" s="10">
        <f t="shared" si="183"/>
        <v>-1</v>
      </c>
      <c r="K834" s="10">
        <f t="shared" si="182"/>
        <v>39</v>
      </c>
      <c r="L834" s="10">
        <f t="shared" ca="1" si="187"/>
        <v>0</v>
      </c>
      <c r="M834" s="10">
        <f t="shared" ca="1" si="189"/>
        <v>0</v>
      </c>
      <c r="N834" s="30">
        <f t="shared" ca="1" si="190"/>
        <v>0</v>
      </c>
      <c r="O834" s="10">
        <f t="shared" ca="1" si="191"/>
        <v>0</v>
      </c>
      <c r="P834" s="29">
        <f t="shared" ca="1" si="192"/>
        <v>0</v>
      </c>
      <c r="Q834" s="12">
        <f t="shared" ca="1" si="193"/>
        <v>-364200</v>
      </c>
      <c r="R834" s="10">
        <f t="shared" ca="1" si="194"/>
        <v>0</v>
      </c>
      <c r="S834" s="10">
        <f t="shared" ca="1" si="184"/>
        <v>-2.1525018160064948</v>
      </c>
      <c r="T834" s="14">
        <f t="shared" ca="1" si="185"/>
        <v>-0.36596882717476453</v>
      </c>
      <c r="U834" s="12">
        <f t="shared" ca="1" si="195"/>
        <v>7900</v>
      </c>
      <c r="V834" s="14">
        <f t="shared" ca="1" si="196"/>
        <v>-4710.1265822784808</v>
      </c>
      <c r="W834" s="12">
        <f t="shared" ca="1" si="186"/>
        <v>-1774.6835443037974</v>
      </c>
      <c r="X834" s="7">
        <f ca="1">AVERAGE(E834:OFFSET(F834,-$X$5+1,0))</f>
        <v>10048.4</v>
      </c>
      <c r="Y834" s="7">
        <f ca="1">AVERAGE(E834:OFFSET(F834,-$Y$5+1,0))</f>
        <v>10001.5</v>
      </c>
      <c r="Z834" s="7">
        <f t="shared" ca="1" si="188"/>
        <v>0</v>
      </c>
    </row>
    <row r="835" spans="1:26">
      <c r="A835" s="3" t="s">
        <v>64</v>
      </c>
      <c r="B835" s="4">
        <v>42888</v>
      </c>
      <c r="C835" s="3">
        <v>10113</v>
      </c>
      <c r="D835" s="3">
        <v>10137</v>
      </c>
      <c r="E835" s="3">
        <v>10105</v>
      </c>
      <c r="F835" s="3">
        <v>10135</v>
      </c>
      <c r="G835" s="3">
        <v>93461</v>
      </c>
      <c r="H835" s="3">
        <v>1.0449999999999999</v>
      </c>
      <c r="I835" s="2">
        <f t="shared" si="181"/>
        <v>0</v>
      </c>
      <c r="J835" s="10">
        <f t="shared" si="183"/>
        <v>44</v>
      </c>
      <c r="K835" s="10">
        <f t="shared" si="182"/>
        <v>22</v>
      </c>
      <c r="L835" s="10">
        <f t="shared" ca="1" si="187"/>
        <v>0</v>
      </c>
      <c r="M835" s="10">
        <f t="shared" ca="1" si="189"/>
        <v>0</v>
      </c>
      <c r="N835" s="30">
        <f t="shared" ca="1" si="190"/>
        <v>0</v>
      </c>
      <c r="O835" s="10">
        <f t="shared" ca="1" si="191"/>
        <v>0</v>
      </c>
      <c r="P835" s="29">
        <f t="shared" ca="1" si="192"/>
        <v>0</v>
      </c>
      <c r="Q835" s="12">
        <f t="shared" ca="1" si="193"/>
        <v>-364200</v>
      </c>
      <c r="R835" s="10">
        <f t="shared" ca="1" si="194"/>
        <v>0</v>
      </c>
      <c r="S835" s="10">
        <f t="shared" ca="1" si="184"/>
        <v>-2.1738665982993632</v>
      </c>
      <c r="T835" s="14">
        <f t="shared" ca="1" si="185"/>
        <v>-0.36836909153119013</v>
      </c>
      <c r="U835" s="12">
        <f t="shared" ca="1" si="195"/>
        <v>7900</v>
      </c>
      <c r="V835" s="14">
        <f t="shared" ca="1" si="196"/>
        <v>-4710.1265822784808</v>
      </c>
      <c r="W835" s="12">
        <f t="shared" ca="1" si="186"/>
        <v>-1774.6835443037974</v>
      </c>
      <c r="X835" s="7">
        <f ca="1">AVERAGE(E835:OFFSET(F835,-$X$5+1,0))</f>
        <v>10070.6</v>
      </c>
      <c r="Y835" s="7">
        <f ca="1">AVERAGE(E835:OFFSET(F835,-$Y$5+1,0))</f>
        <v>10014.75</v>
      </c>
      <c r="Z835" s="7">
        <f t="shared" ca="1" si="188"/>
        <v>0</v>
      </c>
    </row>
    <row r="836" spans="1:26">
      <c r="A836" s="3" t="s">
        <v>64</v>
      </c>
      <c r="B836" s="4">
        <v>42889</v>
      </c>
      <c r="C836" s="3">
        <v>10147</v>
      </c>
      <c r="D836" s="3">
        <v>10160</v>
      </c>
      <c r="E836" s="3">
        <v>10137</v>
      </c>
      <c r="F836" s="3">
        <v>10157</v>
      </c>
      <c r="G836" s="3">
        <v>23927</v>
      </c>
      <c r="H836" s="3">
        <v>1.0449999999999999</v>
      </c>
      <c r="I836" s="2">
        <f t="shared" ref="I836:I899" si="197">IF(A836=A837,0,1)</f>
        <v>0</v>
      </c>
      <c r="J836" s="10">
        <f t="shared" si="183"/>
        <v>12</v>
      </c>
      <c r="K836" s="10">
        <f t="shared" ref="K836:K899" si="198">F836-C836</f>
        <v>10</v>
      </c>
      <c r="L836" s="10">
        <f t="shared" ca="1" si="187"/>
        <v>0</v>
      </c>
      <c r="M836" s="10">
        <f t="shared" ca="1" si="189"/>
        <v>0</v>
      </c>
      <c r="N836" s="30">
        <f t="shared" ca="1" si="190"/>
        <v>0</v>
      </c>
      <c r="O836" s="10">
        <f t="shared" ca="1" si="191"/>
        <v>0</v>
      </c>
      <c r="P836" s="29">
        <f t="shared" ca="1" si="192"/>
        <v>0</v>
      </c>
      <c r="Q836" s="12">
        <f t="shared" ca="1" si="193"/>
        <v>-364200</v>
      </c>
      <c r="R836" s="10">
        <f t="shared" ca="1" si="194"/>
        <v>0</v>
      </c>
      <c r="S836" s="10">
        <f t="shared" ca="1" si="184"/>
        <v>-2.1717301200700763</v>
      </c>
      <c r="T836" s="14">
        <f t="shared" ca="1" si="185"/>
        <v>-0.36811719322903774</v>
      </c>
      <c r="U836" s="12">
        <f t="shared" ca="1" si="195"/>
        <v>7900</v>
      </c>
      <c r="V836" s="14">
        <f t="shared" ca="1" si="196"/>
        <v>-4710.1265822784808</v>
      </c>
      <c r="W836" s="12">
        <f t="shared" ca="1" si="186"/>
        <v>-1774.6835443037974</v>
      </c>
      <c r="X836" s="7">
        <f ca="1">AVERAGE(E836:OFFSET(F836,-$X$5+1,0))</f>
        <v>10085.299999999999</v>
      </c>
      <c r="Y836" s="7">
        <f ca="1">AVERAGE(E836:OFFSET(F836,-$Y$5+1,0))</f>
        <v>10038</v>
      </c>
      <c r="Z836" s="7">
        <f t="shared" ca="1" si="188"/>
        <v>0</v>
      </c>
    </row>
    <row r="837" spans="1:26">
      <c r="A837" s="3" t="s">
        <v>64</v>
      </c>
      <c r="B837" s="4">
        <v>42891</v>
      </c>
      <c r="C837" s="3">
        <v>10148</v>
      </c>
      <c r="D837" s="3">
        <v>10207</v>
      </c>
      <c r="E837" s="3">
        <v>10115</v>
      </c>
      <c r="F837" s="3">
        <v>10200</v>
      </c>
      <c r="G837" s="3">
        <v>109207</v>
      </c>
      <c r="H837" s="3">
        <v>1.0449999999999999</v>
      </c>
      <c r="I837" s="2">
        <f t="shared" si="197"/>
        <v>0</v>
      </c>
      <c r="J837" s="10">
        <f t="shared" ref="J837:J900" si="199">C837-F836</f>
        <v>-9</v>
      </c>
      <c r="K837" s="10">
        <f t="shared" si="198"/>
        <v>52</v>
      </c>
      <c r="L837" s="10">
        <f t="shared" ca="1" si="187"/>
        <v>0</v>
      </c>
      <c r="M837" s="10">
        <f t="shared" ca="1" si="189"/>
        <v>0</v>
      </c>
      <c r="N837" s="30">
        <f t="shared" ca="1" si="190"/>
        <v>0</v>
      </c>
      <c r="O837" s="10">
        <f t="shared" ca="1" si="191"/>
        <v>0</v>
      </c>
      <c r="P837" s="29">
        <f t="shared" ca="1" si="192"/>
        <v>0</v>
      </c>
      <c r="Q837" s="12">
        <f t="shared" ca="1" si="193"/>
        <v>-364200</v>
      </c>
      <c r="R837" s="10">
        <f t="shared" ca="1" si="194"/>
        <v>0</v>
      </c>
      <c r="S837" s="10">
        <f t="shared" ca="1" si="184"/>
        <v>-2.366149638935179</v>
      </c>
      <c r="T837" s="14">
        <f t="shared" ca="1" si="185"/>
        <v>-0.39086486595142161</v>
      </c>
      <c r="U837" s="12">
        <f t="shared" ca="1" si="195"/>
        <v>7900</v>
      </c>
      <c r="V837" s="14">
        <f t="shared" ca="1" si="196"/>
        <v>-4710.1265822784808</v>
      </c>
      <c r="W837" s="12">
        <f t="shared" ca="1" si="186"/>
        <v>-1774.6835443037974</v>
      </c>
      <c r="X837" s="7">
        <f ca="1">AVERAGE(E837:OFFSET(F837,-$X$5+1,0))</f>
        <v>10099.5</v>
      </c>
      <c r="Y837" s="7">
        <f ca="1">AVERAGE(E837:OFFSET(F837,-$Y$5+1,0))</f>
        <v>10060.6</v>
      </c>
      <c r="Z837" s="7">
        <f t="shared" ca="1" si="188"/>
        <v>0</v>
      </c>
    </row>
    <row r="838" spans="1:26">
      <c r="A838" s="3" t="s">
        <v>64</v>
      </c>
      <c r="B838" s="4">
        <v>42892</v>
      </c>
      <c r="C838" s="3">
        <v>10196</v>
      </c>
      <c r="D838" s="3">
        <v>10206</v>
      </c>
      <c r="E838" s="3">
        <v>10184</v>
      </c>
      <c r="F838" s="3">
        <v>10185</v>
      </c>
      <c r="G838" s="3">
        <v>63197</v>
      </c>
      <c r="H838" s="3">
        <v>1.0449999999999999</v>
      </c>
      <c r="I838" s="2">
        <f t="shared" si="197"/>
        <v>0</v>
      </c>
      <c r="J838" s="10">
        <f t="shared" si="199"/>
        <v>-4</v>
      </c>
      <c r="K838" s="10">
        <f t="shared" si="198"/>
        <v>-11</v>
      </c>
      <c r="L838" s="10">
        <f t="shared" ca="1" si="187"/>
        <v>0</v>
      </c>
      <c r="M838" s="10">
        <f t="shared" ca="1" si="189"/>
        <v>0</v>
      </c>
      <c r="N838" s="30">
        <f t="shared" ca="1" si="190"/>
        <v>0</v>
      </c>
      <c r="O838" s="10">
        <f t="shared" ca="1" si="191"/>
        <v>0</v>
      </c>
      <c r="P838" s="29">
        <f t="shared" ca="1" si="192"/>
        <v>0</v>
      </c>
      <c r="Q838" s="12">
        <f t="shared" ca="1" si="193"/>
        <v>-364200</v>
      </c>
      <c r="R838" s="10">
        <f t="shared" ca="1" si="194"/>
        <v>0</v>
      </c>
      <c r="S838" s="10">
        <f t="shared" ca="1" si="184"/>
        <v>-2.4772465068580951</v>
      </c>
      <c r="T838" s="14">
        <f t="shared" ca="1" si="185"/>
        <v>-0.40360227404025828</v>
      </c>
      <c r="U838" s="12">
        <f t="shared" ca="1" si="195"/>
        <v>7900</v>
      </c>
      <c r="V838" s="14">
        <f t="shared" ca="1" si="196"/>
        <v>-4710.1265822784808</v>
      </c>
      <c r="W838" s="12">
        <f t="shared" ca="1" si="186"/>
        <v>-1926.5822784810127</v>
      </c>
      <c r="X838" s="7">
        <f ca="1">AVERAGE(E838:OFFSET(F838,-$X$5+1,0))</f>
        <v>10131</v>
      </c>
      <c r="Y838" s="7">
        <f ca="1">AVERAGE(E838:OFFSET(F838,-$Y$5+1,0))</f>
        <v>10083.200000000001</v>
      </c>
      <c r="Z838" s="7">
        <f t="shared" ca="1" si="188"/>
        <v>0</v>
      </c>
    </row>
    <row r="839" spans="1:26">
      <c r="A839" s="3" t="s">
        <v>64</v>
      </c>
      <c r="B839" s="4">
        <v>42893</v>
      </c>
      <c r="C839" s="3">
        <v>10180</v>
      </c>
      <c r="D839" s="3">
        <v>10229</v>
      </c>
      <c r="E839" s="3">
        <v>10165</v>
      </c>
      <c r="F839" s="3">
        <v>10192</v>
      </c>
      <c r="G839" s="3">
        <v>113720</v>
      </c>
      <c r="H839" s="3">
        <v>1.0449999999999999</v>
      </c>
      <c r="I839" s="2">
        <f t="shared" si="197"/>
        <v>0</v>
      </c>
      <c r="J839" s="10">
        <f t="shared" si="199"/>
        <v>-5</v>
      </c>
      <c r="K839" s="10">
        <f t="shared" si="198"/>
        <v>12</v>
      </c>
      <c r="L839" s="10">
        <f t="shared" ca="1" si="187"/>
        <v>0</v>
      </c>
      <c r="M839" s="10">
        <f t="shared" ca="1" si="189"/>
        <v>0</v>
      </c>
      <c r="N839" s="30">
        <f t="shared" ca="1" si="190"/>
        <v>0</v>
      </c>
      <c r="O839" s="10">
        <f t="shared" ca="1" si="191"/>
        <v>0</v>
      </c>
      <c r="P839" s="29">
        <f t="shared" ca="1" si="192"/>
        <v>0</v>
      </c>
      <c r="Q839" s="12">
        <f t="shared" ca="1" si="193"/>
        <v>-364200</v>
      </c>
      <c r="R839" s="10">
        <f t="shared" ca="1" si="194"/>
        <v>0</v>
      </c>
      <c r="S839" s="10">
        <f t="shared" ca="1" si="184"/>
        <v>-2.0649062086057342</v>
      </c>
      <c r="T839" s="14">
        <f t="shared" ca="1" si="185"/>
        <v>-0.36234093925440752</v>
      </c>
      <c r="U839" s="12">
        <f t="shared" ca="1" si="195"/>
        <v>7900</v>
      </c>
      <c r="V839" s="14">
        <f t="shared" ca="1" si="196"/>
        <v>-4710.1265822784808</v>
      </c>
      <c r="W839" s="12">
        <f t="shared" ca="1" si="186"/>
        <v>-1926.5822784810127</v>
      </c>
      <c r="X839" s="7">
        <f ca="1">AVERAGE(E839:OFFSET(F839,-$X$5+1,0))</f>
        <v>10157.5</v>
      </c>
      <c r="Y839" s="7">
        <f ca="1">AVERAGE(E839:OFFSET(F839,-$Y$5+1,0))</f>
        <v>10102.950000000001</v>
      </c>
      <c r="Z839" s="7">
        <f t="shared" ca="1" si="188"/>
        <v>0</v>
      </c>
    </row>
    <row r="840" spans="1:26">
      <c r="A840" s="3" t="s">
        <v>64</v>
      </c>
      <c r="B840" s="4">
        <v>42894</v>
      </c>
      <c r="C840" s="3">
        <v>10204</v>
      </c>
      <c r="D840" s="3">
        <v>10218</v>
      </c>
      <c r="E840" s="3">
        <v>10184</v>
      </c>
      <c r="F840" s="3">
        <v>10211</v>
      </c>
      <c r="G840" s="3">
        <v>72661</v>
      </c>
      <c r="H840" s="3">
        <v>1.0449999999999999</v>
      </c>
      <c r="I840" s="2">
        <f t="shared" si="197"/>
        <v>0</v>
      </c>
      <c r="J840" s="10">
        <f t="shared" si="199"/>
        <v>12</v>
      </c>
      <c r="K840" s="10">
        <f t="shared" si="198"/>
        <v>7</v>
      </c>
      <c r="L840" s="10">
        <f t="shared" ca="1" si="187"/>
        <v>0</v>
      </c>
      <c r="M840" s="10">
        <f t="shared" ca="1" si="189"/>
        <v>0</v>
      </c>
      <c r="N840" s="30">
        <f t="shared" ca="1" si="190"/>
        <v>0</v>
      </c>
      <c r="O840" s="10">
        <f t="shared" ca="1" si="191"/>
        <v>0</v>
      </c>
      <c r="P840" s="29">
        <f t="shared" ca="1" si="192"/>
        <v>0</v>
      </c>
      <c r="Q840" s="12">
        <f t="shared" ca="1" si="193"/>
        <v>-364200</v>
      </c>
      <c r="R840" s="10">
        <f t="shared" ca="1" si="194"/>
        <v>0</v>
      </c>
      <c r="S840" s="10">
        <f t="shared" ca="1" si="184"/>
        <v>-2.1717301200700763</v>
      </c>
      <c r="T840" s="14">
        <f t="shared" ca="1" si="185"/>
        <v>-0.37848889045315559</v>
      </c>
      <c r="U840" s="12">
        <f t="shared" ca="1" si="195"/>
        <v>7900</v>
      </c>
      <c r="V840" s="14">
        <f t="shared" ca="1" si="196"/>
        <v>-4710.1265822784808</v>
      </c>
      <c r="W840" s="12">
        <f t="shared" ca="1" si="186"/>
        <v>-1926.5822784810127</v>
      </c>
      <c r="X840" s="7">
        <f ca="1">AVERAGE(E840:OFFSET(F840,-$X$5+1,0))</f>
        <v>10173</v>
      </c>
      <c r="Y840" s="7">
        <f ca="1">AVERAGE(E840:OFFSET(F840,-$Y$5+1,0))</f>
        <v>10121.799999999999</v>
      </c>
      <c r="Z840" s="7">
        <f t="shared" ca="1" si="188"/>
        <v>0</v>
      </c>
    </row>
    <row r="841" spans="1:26">
      <c r="A841" s="3" t="s">
        <v>64</v>
      </c>
      <c r="B841" s="4">
        <v>42895</v>
      </c>
      <c r="C841" s="3">
        <v>10230</v>
      </c>
      <c r="D841" s="3">
        <v>10252</v>
      </c>
      <c r="E841" s="3">
        <v>10186</v>
      </c>
      <c r="F841" s="3">
        <v>10192</v>
      </c>
      <c r="G841" s="3">
        <v>101940</v>
      </c>
      <c r="H841" s="3">
        <v>1.0449999999999999</v>
      </c>
      <c r="I841" s="2">
        <f t="shared" si="197"/>
        <v>0</v>
      </c>
      <c r="J841" s="10">
        <f t="shared" si="199"/>
        <v>19</v>
      </c>
      <c r="K841" s="10">
        <f t="shared" si="198"/>
        <v>-38</v>
      </c>
      <c r="L841" s="10">
        <f t="shared" ca="1" si="187"/>
        <v>0</v>
      </c>
      <c r="M841" s="10">
        <f t="shared" ca="1" si="189"/>
        <v>0</v>
      </c>
      <c r="N841" s="30">
        <f t="shared" ca="1" si="190"/>
        <v>0</v>
      </c>
      <c r="O841" s="10">
        <f t="shared" ca="1" si="191"/>
        <v>0</v>
      </c>
      <c r="P841" s="29">
        <f t="shared" ca="1" si="192"/>
        <v>0</v>
      </c>
      <c r="Q841" s="12">
        <f t="shared" ca="1" si="193"/>
        <v>-364200</v>
      </c>
      <c r="R841" s="10">
        <f t="shared" ca="1" si="194"/>
        <v>0</v>
      </c>
      <c r="S841" s="10">
        <f t="shared" ca="1" si="184"/>
        <v>-2.1172499252232622</v>
      </c>
      <c r="T841" s="14">
        <f t="shared" ca="1" si="185"/>
        <v>-0.37292179529130298</v>
      </c>
      <c r="U841" s="12">
        <f t="shared" ca="1" si="195"/>
        <v>7900</v>
      </c>
      <c r="V841" s="14">
        <f t="shared" ca="1" si="196"/>
        <v>-4710.1265822784808</v>
      </c>
      <c r="W841" s="12">
        <f t="shared" ca="1" si="186"/>
        <v>-1926.5822784810127</v>
      </c>
      <c r="X841" s="7">
        <f ca="1">AVERAGE(E841:OFFSET(F841,-$X$5+1,0))</f>
        <v>10181.4</v>
      </c>
      <c r="Y841" s="7">
        <f ca="1">AVERAGE(E841:OFFSET(F841,-$Y$5+1,0))</f>
        <v>10133.35</v>
      </c>
      <c r="Z841" s="7">
        <f t="shared" ca="1" si="188"/>
        <v>0</v>
      </c>
    </row>
    <row r="842" spans="1:26">
      <c r="A842" s="3" t="s">
        <v>64</v>
      </c>
      <c r="B842" s="4">
        <v>42898</v>
      </c>
      <c r="C842" s="3">
        <v>10129</v>
      </c>
      <c r="D842" s="3">
        <v>10159</v>
      </c>
      <c r="E842" s="3">
        <v>10110</v>
      </c>
      <c r="F842" s="3">
        <v>10120</v>
      </c>
      <c r="G842" s="3">
        <v>110070</v>
      </c>
      <c r="H842" s="3">
        <v>1.0449999999999999</v>
      </c>
      <c r="I842" s="2">
        <f t="shared" si="197"/>
        <v>0</v>
      </c>
      <c r="J842" s="10">
        <f t="shared" si="199"/>
        <v>-63</v>
      </c>
      <c r="K842" s="10">
        <f t="shared" si="198"/>
        <v>-9</v>
      </c>
      <c r="L842" s="10">
        <f t="shared" ca="1" si="187"/>
        <v>0</v>
      </c>
      <c r="M842" s="10">
        <f t="shared" ca="1" si="189"/>
        <v>0</v>
      </c>
      <c r="N842" s="30">
        <f t="shared" ca="1" si="190"/>
        <v>0</v>
      </c>
      <c r="O842" s="10">
        <f t="shared" ca="1" si="191"/>
        <v>0</v>
      </c>
      <c r="P842" s="29">
        <f t="shared" ca="1" si="192"/>
        <v>0</v>
      </c>
      <c r="Q842" s="12">
        <f t="shared" ca="1" si="193"/>
        <v>-364200</v>
      </c>
      <c r="R842" s="10">
        <f t="shared" ca="1" si="194"/>
        <v>0</v>
      </c>
      <c r="S842" s="10">
        <f t="shared" ca="1" si="184"/>
        <v>-2.1172499252232622</v>
      </c>
      <c r="T842" s="14">
        <f t="shared" ca="1" si="185"/>
        <v>-0.37515189105876967</v>
      </c>
      <c r="U842" s="12">
        <f t="shared" ca="1" si="195"/>
        <v>7900</v>
      </c>
      <c r="V842" s="14">
        <f t="shared" ca="1" si="196"/>
        <v>-4710.1265822784808</v>
      </c>
      <c r="W842" s="12">
        <f t="shared" ca="1" si="186"/>
        <v>-1926.5822784810127</v>
      </c>
      <c r="X842" s="7">
        <f ca="1">AVERAGE(E842:OFFSET(F842,-$X$5+1,0))</f>
        <v>10172.9</v>
      </c>
      <c r="Y842" s="7">
        <f ca="1">AVERAGE(E842:OFFSET(F842,-$Y$5+1,0))</f>
        <v>10136.200000000001</v>
      </c>
      <c r="Z842" s="7">
        <f t="shared" ca="1" si="188"/>
        <v>0</v>
      </c>
    </row>
    <row r="843" spans="1:26">
      <c r="A843" s="3" t="s">
        <v>64</v>
      </c>
      <c r="B843" s="4">
        <v>42899</v>
      </c>
      <c r="C843" s="3">
        <v>10123</v>
      </c>
      <c r="D843" s="3">
        <v>10143</v>
      </c>
      <c r="E843" s="3">
        <v>10106</v>
      </c>
      <c r="F843" s="3">
        <v>10137</v>
      </c>
      <c r="G843" s="3">
        <v>91633</v>
      </c>
      <c r="H843" s="3">
        <v>1.0449999999999999</v>
      </c>
      <c r="I843" s="2">
        <f t="shared" si="197"/>
        <v>0</v>
      </c>
      <c r="J843" s="10">
        <f t="shared" si="199"/>
        <v>3</v>
      </c>
      <c r="K843" s="10">
        <f t="shared" si="198"/>
        <v>14</v>
      </c>
      <c r="L843" s="10">
        <f t="shared" ca="1" si="187"/>
        <v>0</v>
      </c>
      <c r="M843" s="10">
        <f t="shared" ca="1" si="189"/>
        <v>0</v>
      </c>
      <c r="N843" s="30">
        <f t="shared" ca="1" si="190"/>
        <v>0</v>
      </c>
      <c r="O843" s="10">
        <f t="shared" ca="1" si="191"/>
        <v>0</v>
      </c>
      <c r="P843" s="29">
        <f t="shared" ca="1" si="192"/>
        <v>0</v>
      </c>
      <c r="Q843" s="12">
        <f t="shared" ca="1" si="193"/>
        <v>-364200</v>
      </c>
      <c r="R843" s="10">
        <f t="shared" ca="1" si="194"/>
        <v>0</v>
      </c>
      <c r="S843" s="10">
        <f t="shared" ca="1" si="184"/>
        <v>-2.0114942528735633</v>
      </c>
      <c r="T843" s="14">
        <f t="shared" ca="1" si="185"/>
        <v>-0.36305624571712708</v>
      </c>
      <c r="U843" s="12">
        <f t="shared" ca="1" si="195"/>
        <v>7900</v>
      </c>
      <c r="V843" s="14">
        <f t="shared" ca="1" si="196"/>
        <v>-4710.1265822784808</v>
      </c>
      <c r="W843" s="12">
        <f t="shared" ca="1" si="186"/>
        <v>-1926.5822784810127</v>
      </c>
      <c r="X843" s="7">
        <f ca="1">AVERAGE(E843:OFFSET(F843,-$X$5+1,0))</f>
        <v>10160.299999999999</v>
      </c>
      <c r="Y843" s="7">
        <f ca="1">AVERAGE(E843:OFFSET(F843,-$Y$5+1,0))</f>
        <v>10145.65</v>
      </c>
      <c r="Z843" s="7">
        <f t="shared" ca="1" si="188"/>
        <v>0</v>
      </c>
    </row>
    <row r="844" spans="1:26">
      <c r="A844" s="3" t="s">
        <v>64</v>
      </c>
      <c r="B844" s="4">
        <v>42900</v>
      </c>
      <c r="C844" s="3">
        <v>10161</v>
      </c>
      <c r="D844" s="3">
        <v>10165</v>
      </c>
      <c r="E844" s="3">
        <v>10021</v>
      </c>
      <c r="F844" s="3">
        <v>10065</v>
      </c>
      <c r="G844" s="3">
        <v>169231</v>
      </c>
      <c r="H844" s="3">
        <v>1.0449999999999999</v>
      </c>
      <c r="I844" s="2">
        <f t="shared" si="197"/>
        <v>0</v>
      </c>
      <c r="J844" s="10">
        <f t="shared" si="199"/>
        <v>24</v>
      </c>
      <c r="K844" s="10">
        <f t="shared" si="198"/>
        <v>-96</v>
      </c>
      <c r="L844" s="10">
        <f t="shared" ca="1" si="187"/>
        <v>-1</v>
      </c>
      <c r="M844" s="10">
        <f t="shared" ca="1" si="189"/>
        <v>0</v>
      </c>
      <c r="N844" s="30">
        <f t="shared" ca="1" si="190"/>
        <v>0</v>
      </c>
      <c r="O844" s="10">
        <f t="shared" ca="1" si="191"/>
        <v>0</v>
      </c>
      <c r="P844" s="29">
        <f t="shared" ca="1" si="192"/>
        <v>0</v>
      </c>
      <c r="Q844" s="12">
        <f t="shared" ca="1" si="193"/>
        <v>-364200</v>
      </c>
      <c r="R844" s="10">
        <f t="shared" ca="1" si="194"/>
        <v>0</v>
      </c>
      <c r="S844" s="10">
        <f t="shared" ca="1" si="184"/>
        <v>-1.8533948639063369</v>
      </c>
      <c r="T844" s="14">
        <f t="shared" ca="1" si="185"/>
        <v>-0.34485390104600255</v>
      </c>
      <c r="U844" s="12">
        <f t="shared" ca="1" si="195"/>
        <v>7900</v>
      </c>
      <c r="V844" s="14">
        <f t="shared" ca="1" si="196"/>
        <v>-4710.1265822784808</v>
      </c>
      <c r="W844" s="12">
        <f t="shared" ca="1" si="186"/>
        <v>-1926.5822784810127</v>
      </c>
      <c r="X844" s="7">
        <f ca="1">AVERAGE(E844:OFFSET(F844,-$X$5+1,0))</f>
        <v>10133.200000000001</v>
      </c>
      <c r="Y844" s="7">
        <f ca="1">AVERAGE(E844:OFFSET(F844,-$Y$5+1,0))</f>
        <v>10145.35</v>
      </c>
      <c r="Z844" s="7">
        <f t="shared" ca="1" si="188"/>
        <v>-1</v>
      </c>
    </row>
    <row r="845" spans="1:26">
      <c r="A845" s="3" t="s">
        <v>64</v>
      </c>
      <c r="B845" s="4">
        <v>42901</v>
      </c>
      <c r="C845" s="3">
        <v>10051</v>
      </c>
      <c r="D845" s="3">
        <v>10075</v>
      </c>
      <c r="E845" s="3">
        <v>10018</v>
      </c>
      <c r="F845" s="3">
        <v>10073</v>
      </c>
      <c r="G845" s="3">
        <v>114510</v>
      </c>
      <c r="H845" s="3">
        <v>1.0449999999999999</v>
      </c>
      <c r="I845" s="2">
        <f t="shared" si="197"/>
        <v>0</v>
      </c>
      <c r="J845" s="10">
        <f t="shared" si="199"/>
        <v>-14</v>
      </c>
      <c r="K845" s="10">
        <f t="shared" si="198"/>
        <v>22</v>
      </c>
      <c r="L845" s="10">
        <f t="shared" ca="1" si="187"/>
        <v>0</v>
      </c>
      <c r="M845" s="10">
        <f t="shared" ca="1" si="189"/>
        <v>-1</v>
      </c>
      <c r="N845" s="30">
        <f t="shared" ca="1" si="190"/>
        <v>0</v>
      </c>
      <c r="O845" s="10">
        <f t="shared" ca="1" si="191"/>
        <v>2010200</v>
      </c>
      <c r="P845" s="29">
        <f t="shared" ca="1" si="192"/>
        <v>-4900</v>
      </c>
      <c r="Q845" s="12">
        <f t="shared" ca="1" si="193"/>
        <v>-369100</v>
      </c>
      <c r="R845" s="10">
        <f t="shared" ca="1" si="194"/>
        <v>-0.24375684011541141</v>
      </c>
      <c r="S845" s="10">
        <f t="shared" ca="1" si="184"/>
        <v>-1.8181429731231038</v>
      </c>
      <c r="T845" s="14">
        <f t="shared" ca="1" si="185"/>
        <v>-0.34057119360570681</v>
      </c>
      <c r="U845" s="12">
        <f t="shared" ca="1" si="195"/>
        <v>7900</v>
      </c>
      <c r="V845" s="14">
        <f t="shared" ca="1" si="196"/>
        <v>-4772.1518987341769</v>
      </c>
      <c r="W845" s="12">
        <f t="shared" ca="1" si="186"/>
        <v>-1926.5822784810127</v>
      </c>
      <c r="X845" s="7">
        <f ca="1">AVERAGE(E845:OFFSET(F845,-$X$5+1,0))</f>
        <v>10102.799999999999</v>
      </c>
      <c r="Y845" s="7">
        <f ca="1">AVERAGE(E845:OFFSET(F845,-$Y$5+1,0))</f>
        <v>10137.9</v>
      </c>
      <c r="Z845" s="7">
        <f t="shared" ca="1" si="188"/>
        <v>0</v>
      </c>
    </row>
    <row r="846" spans="1:26">
      <c r="A846" s="3" t="s">
        <v>64</v>
      </c>
      <c r="B846" s="4">
        <v>42902</v>
      </c>
      <c r="C846" s="3">
        <v>10078</v>
      </c>
      <c r="D846" s="3">
        <v>10159</v>
      </c>
      <c r="E846" s="3">
        <v>10061</v>
      </c>
      <c r="F846" s="3">
        <v>10146</v>
      </c>
      <c r="G846" s="3">
        <v>133595</v>
      </c>
      <c r="H846" s="3">
        <v>1.0449999999999999</v>
      </c>
      <c r="I846" s="2">
        <f t="shared" si="197"/>
        <v>0</v>
      </c>
      <c r="J846" s="10">
        <f t="shared" si="199"/>
        <v>5</v>
      </c>
      <c r="K846" s="10">
        <f t="shared" si="198"/>
        <v>68</v>
      </c>
      <c r="L846" s="10">
        <f t="shared" ca="1" si="187"/>
        <v>0</v>
      </c>
      <c r="M846" s="10">
        <f t="shared" ca="1" si="189"/>
        <v>-1</v>
      </c>
      <c r="N846" s="30">
        <f t="shared" ca="1" si="190"/>
        <v>0</v>
      </c>
      <c r="O846" s="10">
        <f t="shared" ca="1" si="191"/>
        <v>2010200</v>
      </c>
      <c r="P846" s="29">
        <f t="shared" ca="1" si="192"/>
        <v>-14600</v>
      </c>
      <c r="Q846" s="12">
        <f t="shared" ca="1" si="193"/>
        <v>-383700</v>
      </c>
      <c r="R846" s="10">
        <f t="shared" ca="1" si="194"/>
        <v>-0.72629589095612379</v>
      </c>
      <c r="S846" s="10">
        <f t="shared" ca="1" si="184"/>
        <v>-1.9762423620903302</v>
      </c>
      <c r="T846" s="14">
        <f t="shared" ca="1" si="185"/>
        <v>-0.35859265495716164</v>
      </c>
      <c r="U846" s="12">
        <f t="shared" ca="1" si="195"/>
        <v>7900</v>
      </c>
      <c r="V846" s="14">
        <f t="shared" ca="1" si="196"/>
        <v>-4956.9620253164558</v>
      </c>
      <c r="W846" s="12">
        <f t="shared" ca="1" si="186"/>
        <v>-1926.5822784810127</v>
      </c>
      <c r="X846" s="7">
        <f ca="1">AVERAGE(E846:OFFSET(F846,-$X$5+1,0))</f>
        <v>10085.700000000001</v>
      </c>
      <c r="Y846" s="7">
        <f ca="1">AVERAGE(E846:OFFSET(F846,-$Y$5+1,0))</f>
        <v>10133.549999999999</v>
      </c>
      <c r="Z846" s="7">
        <f t="shared" ca="1" si="188"/>
        <v>0</v>
      </c>
    </row>
    <row r="847" spans="1:26">
      <c r="A847" s="3" t="s">
        <v>64</v>
      </c>
      <c r="B847" s="4">
        <v>42905</v>
      </c>
      <c r="C847" s="3">
        <v>10164</v>
      </c>
      <c r="D847" s="3">
        <v>10251</v>
      </c>
      <c r="E847" s="3">
        <v>10160</v>
      </c>
      <c r="F847" s="3">
        <v>10239</v>
      </c>
      <c r="G847" s="3">
        <v>126148</v>
      </c>
      <c r="H847" s="3">
        <v>1.0449999999999999</v>
      </c>
      <c r="I847" s="2">
        <f t="shared" si="197"/>
        <v>0</v>
      </c>
      <c r="J847" s="10">
        <f t="shared" si="199"/>
        <v>18</v>
      </c>
      <c r="K847" s="10">
        <f t="shared" si="198"/>
        <v>75</v>
      </c>
      <c r="L847" s="10">
        <f t="shared" ca="1" si="187"/>
        <v>0</v>
      </c>
      <c r="M847" s="10">
        <f t="shared" ca="1" si="189"/>
        <v>-1</v>
      </c>
      <c r="N847" s="30">
        <f t="shared" ca="1" si="190"/>
        <v>0</v>
      </c>
      <c r="O847" s="10">
        <f t="shared" ca="1" si="191"/>
        <v>2010200</v>
      </c>
      <c r="P847" s="29">
        <f t="shared" ca="1" si="192"/>
        <v>-18600</v>
      </c>
      <c r="Q847" s="12">
        <f t="shared" ca="1" si="193"/>
        <v>-402300</v>
      </c>
      <c r="R847" s="10">
        <f t="shared" ca="1" si="194"/>
        <v>-0.92528106656054121</v>
      </c>
      <c r="S847" s="10">
        <f t="shared" ca="1" si="184"/>
        <v>-2.17279835918472</v>
      </c>
      <c r="T847" s="14">
        <f t="shared" ca="1" si="185"/>
        <v>-0.38024026080552015</v>
      </c>
      <c r="U847" s="12">
        <f t="shared" ca="1" si="195"/>
        <v>7900</v>
      </c>
      <c r="V847" s="14">
        <f t="shared" ca="1" si="196"/>
        <v>-5192.4050632911394</v>
      </c>
      <c r="W847" s="12">
        <f t="shared" ca="1" si="186"/>
        <v>-1926.5822784810127</v>
      </c>
      <c r="X847" s="7">
        <f ca="1">AVERAGE(E847:OFFSET(F847,-$X$5+1,0))</f>
        <v>10102.6</v>
      </c>
      <c r="Y847" s="7">
        <f ca="1">AVERAGE(E847:OFFSET(F847,-$Y$5+1,0))</f>
        <v>10137.75</v>
      </c>
      <c r="Z847" s="7">
        <f t="shared" ca="1" si="188"/>
        <v>0</v>
      </c>
    </row>
    <row r="848" spans="1:26">
      <c r="A848" s="3" t="s">
        <v>64</v>
      </c>
      <c r="B848" s="4">
        <v>42906</v>
      </c>
      <c r="C848" s="3">
        <v>10276</v>
      </c>
      <c r="D848" s="3">
        <v>10353</v>
      </c>
      <c r="E848" s="3">
        <v>10268</v>
      </c>
      <c r="F848" s="3">
        <v>10322</v>
      </c>
      <c r="G848" s="3">
        <v>134420</v>
      </c>
      <c r="H848" s="3">
        <v>1.0449999999999999</v>
      </c>
      <c r="I848" s="2">
        <f t="shared" si="197"/>
        <v>0</v>
      </c>
      <c r="J848" s="10">
        <f t="shared" si="199"/>
        <v>37</v>
      </c>
      <c r="K848" s="10">
        <f t="shared" si="198"/>
        <v>46</v>
      </c>
      <c r="L848" s="10">
        <f t="shared" ca="1" si="187"/>
        <v>0</v>
      </c>
      <c r="M848" s="10">
        <f t="shared" ca="1" si="189"/>
        <v>-1</v>
      </c>
      <c r="N848" s="30">
        <f t="shared" ca="1" si="190"/>
        <v>0</v>
      </c>
      <c r="O848" s="10">
        <f t="shared" ca="1" si="191"/>
        <v>2010200</v>
      </c>
      <c r="P848" s="29">
        <f t="shared" ca="1" si="192"/>
        <v>-16600</v>
      </c>
      <c r="Q848" s="12">
        <f t="shared" ca="1" si="193"/>
        <v>-418900</v>
      </c>
      <c r="R848" s="10">
        <f t="shared" ca="1" si="194"/>
        <v>-0.8257884787583325</v>
      </c>
      <c r="S848" s="10">
        <f t="shared" ca="1" si="184"/>
        <v>-2.9333846088108362</v>
      </c>
      <c r="T848" s="14">
        <f t="shared" ca="1" si="185"/>
        <v>-0.46877719986019306</v>
      </c>
      <c r="U848" s="12">
        <f t="shared" ca="1" si="195"/>
        <v>7900</v>
      </c>
      <c r="V848" s="14">
        <f t="shared" ca="1" si="196"/>
        <v>-5402.5316455696202</v>
      </c>
      <c r="W848" s="12">
        <f t="shared" ca="1" si="186"/>
        <v>-2149.3670886075947</v>
      </c>
      <c r="X848" s="7">
        <f ca="1">AVERAGE(E848:OFFSET(F848,-$X$5+1,0))</f>
        <v>10137.299999999999</v>
      </c>
      <c r="Y848" s="7">
        <f ca="1">AVERAGE(E848:OFFSET(F848,-$Y$5+1,0))</f>
        <v>10148.799999999999</v>
      </c>
      <c r="Z848" s="7">
        <f t="shared" ca="1" si="188"/>
        <v>0</v>
      </c>
    </row>
    <row r="849" spans="1:26">
      <c r="A849" s="3" t="s">
        <v>64</v>
      </c>
      <c r="B849" s="4">
        <v>42907</v>
      </c>
      <c r="C849" s="3">
        <v>10273</v>
      </c>
      <c r="D849" s="3">
        <v>10371</v>
      </c>
      <c r="E849" s="3">
        <v>10267</v>
      </c>
      <c r="F849" s="3">
        <v>10369</v>
      </c>
      <c r="G849" s="3">
        <v>97063</v>
      </c>
      <c r="H849" s="3">
        <v>1.0449999999999999</v>
      </c>
      <c r="I849" s="2">
        <f t="shared" si="197"/>
        <v>1</v>
      </c>
      <c r="J849" s="10">
        <f t="shared" si="199"/>
        <v>-49</v>
      </c>
      <c r="K849" s="10">
        <f t="shared" si="198"/>
        <v>96</v>
      </c>
      <c r="L849" s="10">
        <f t="shared" ca="1" si="187"/>
        <v>1</v>
      </c>
      <c r="M849" s="10">
        <f t="shared" si="189"/>
        <v>0</v>
      </c>
      <c r="N849" s="30">
        <f t="shared" si="190"/>
        <v>0</v>
      </c>
      <c r="O849" s="10">
        <f t="shared" si="191"/>
        <v>0</v>
      </c>
      <c r="P849" s="29">
        <f t="shared" ca="1" si="192"/>
        <v>9300</v>
      </c>
      <c r="Q849" s="12">
        <f t="shared" ca="1" si="193"/>
        <v>-409600</v>
      </c>
      <c r="R849" s="10">
        <f t="shared" ca="1" si="194"/>
        <v>0.4626405332802706</v>
      </c>
      <c r="S849" s="10">
        <f t="shared" ca="1" si="184"/>
        <v>-2.646028286971756</v>
      </c>
      <c r="T849" s="14">
        <f t="shared" ca="1" si="185"/>
        <v>-0.43603334225722673</v>
      </c>
      <c r="U849" s="12">
        <f t="shared" ca="1" si="195"/>
        <v>7900</v>
      </c>
      <c r="V849" s="14">
        <f t="shared" ca="1" si="196"/>
        <v>-5284.8101265822788</v>
      </c>
      <c r="W849" s="12">
        <f t="shared" ca="1" si="186"/>
        <v>-2278.4810126582279</v>
      </c>
      <c r="X849" s="7">
        <f ca="1">AVERAGE(E849:OFFSET(F849,-$X$5+1,0))</f>
        <v>10192.299999999999</v>
      </c>
      <c r="Y849" s="7">
        <f ca="1">AVERAGE(E849:OFFSET(F849,-$Y$5+1,0))</f>
        <v>10162.75</v>
      </c>
      <c r="Z849" s="7">
        <f t="shared" ca="1" si="188"/>
        <v>1</v>
      </c>
    </row>
    <row r="850" spans="1:26">
      <c r="A850" s="3" t="s">
        <v>65</v>
      </c>
      <c r="B850" s="4">
        <v>42908</v>
      </c>
      <c r="C850" s="3">
        <v>10198</v>
      </c>
      <c r="D850" s="3">
        <v>10234</v>
      </c>
      <c r="E850" s="3">
        <v>10174</v>
      </c>
      <c r="F850" s="3">
        <v>10231</v>
      </c>
      <c r="G850" s="3">
        <v>117671</v>
      </c>
      <c r="H850" s="3">
        <v>1.0449999999999999</v>
      </c>
      <c r="I850" s="2">
        <f t="shared" si="197"/>
        <v>0</v>
      </c>
      <c r="J850" s="10">
        <f t="shared" si="199"/>
        <v>-171</v>
      </c>
      <c r="K850" s="10">
        <f t="shared" si="198"/>
        <v>33</v>
      </c>
      <c r="L850" s="10">
        <f t="shared" ca="1" si="187"/>
        <v>0</v>
      </c>
      <c r="M850" s="10">
        <f t="shared" ca="1" si="189"/>
        <v>1</v>
      </c>
      <c r="N850" s="30">
        <f t="shared" ca="1" si="190"/>
        <v>2039600</v>
      </c>
      <c r="O850" s="10">
        <f t="shared" ca="1" si="191"/>
        <v>2039600</v>
      </c>
      <c r="P850" s="29">
        <f t="shared" ca="1" si="192"/>
        <v>6100</v>
      </c>
      <c r="Q850" s="12">
        <f t="shared" ca="1" si="193"/>
        <v>-403500</v>
      </c>
      <c r="R850" s="10">
        <f t="shared" ca="1" si="194"/>
        <v>0.29907825063737986</v>
      </c>
      <c r="S850" s="10">
        <f t="shared" ca="1" si="184"/>
        <v>-2.0296821275699952</v>
      </c>
      <c r="T850" s="14">
        <f t="shared" ca="1" si="185"/>
        <v>-0.3636106259335754</v>
      </c>
      <c r="U850" s="12">
        <f t="shared" ca="1" si="195"/>
        <v>7900</v>
      </c>
      <c r="V850" s="14">
        <f t="shared" ca="1" si="196"/>
        <v>-5207.5949367088606</v>
      </c>
      <c r="W850" s="12">
        <f t="shared" ca="1" si="186"/>
        <v>-2430.3797468354433</v>
      </c>
      <c r="X850" s="7">
        <f ca="1">AVERAGE(E850:OFFSET(F850,-$X$5+1,0))</f>
        <v>10223.700000000001</v>
      </c>
      <c r="Y850" s="7">
        <f ca="1">AVERAGE(E850:OFFSET(F850,-$Y$5+1,0))</f>
        <v>10163.25</v>
      </c>
      <c r="Z850" s="7">
        <f t="shared" ca="1" si="188"/>
        <v>0</v>
      </c>
    </row>
    <row r="851" spans="1:26">
      <c r="A851" s="3" t="s">
        <v>65</v>
      </c>
      <c r="B851" s="4">
        <v>42909</v>
      </c>
      <c r="C851" s="3">
        <v>10221</v>
      </c>
      <c r="D851" s="3">
        <v>10245</v>
      </c>
      <c r="E851" s="3">
        <v>10193</v>
      </c>
      <c r="F851" s="3">
        <v>10215</v>
      </c>
      <c r="G851" s="3">
        <v>101667</v>
      </c>
      <c r="H851" s="3">
        <v>1.0449999999999999</v>
      </c>
      <c r="I851" s="2">
        <f t="shared" si="197"/>
        <v>0</v>
      </c>
      <c r="J851" s="10">
        <f t="shared" si="199"/>
        <v>-10</v>
      </c>
      <c r="K851" s="10">
        <f t="shared" si="198"/>
        <v>-6</v>
      </c>
      <c r="L851" s="10">
        <f t="shared" ca="1" si="187"/>
        <v>0</v>
      </c>
      <c r="M851" s="10">
        <f t="shared" ca="1" si="189"/>
        <v>1</v>
      </c>
      <c r="N851" s="30">
        <f t="shared" ca="1" si="190"/>
        <v>0</v>
      </c>
      <c r="O851" s="10">
        <f t="shared" ca="1" si="191"/>
        <v>2039600</v>
      </c>
      <c r="P851" s="29">
        <f t="shared" ca="1" si="192"/>
        <v>-3200</v>
      </c>
      <c r="Q851" s="12">
        <f t="shared" ca="1" si="193"/>
        <v>-406700</v>
      </c>
      <c r="R851" s="10">
        <f t="shared" ca="1" si="194"/>
        <v>-0.15689350853108452</v>
      </c>
      <c r="S851" s="10">
        <f t="shared" ca="1" si="184"/>
        <v>-1.9524945617851379</v>
      </c>
      <c r="T851" s="14">
        <f t="shared" ca="1" si="185"/>
        <v>-0.35663644324323568</v>
      </c>
      <c r="U851" s="12">
        <f t="shared" ca="1" si="195"/>
        <v>7900</v>
      </c>
      <c r="V851" s="14">
        <f t="shared" ca="1" si="196"/>
        <v>-5248.1012658227846</v>
      </c>
      <c r="W851" s="12">
        <f t="shared" ca="1" si="186"/>
        <v>-2579.746835443038</v>
      </c>
      <c r="X851" s="7">
        <f ca="1">AVERAGE(E851:OFFSET(F851,-$X$5+1,0))</f>
        <v>10243.799999999999</v>
      </c>
      <c r="Y851" s="7">
        <f ca="1">AVERAGE(E851:OFFSET(F851,-$Y$5+1,0))</f>
        <v>10164.75</v>
      </c>
      <c r="Z851" s="7">
        <f t="shared" ca="1" si="188"/>
        <v>0</v>
      </c>
    </row>
    <row r="852" spans="1:26">
      <c r="A852" s="3" t="s">
        <v>65</v>
      </c>
      <c r="B852" s="4">
        <v>42912</v>
      </c>
      <c r="C852" s="3">
        <v>10207</v>
      </c>
      <c r="D852" s="3">
        <v>10395</v>
      </c>
      <c r="E852" s="3">
        <v>10202</v>
      </c>
      <c r="F852" s="3">
        <v>10381</v>
      </c>
      <c r="G852" s="3">
        <v>188289</v>
      </c>
      <c r="H852" s="3">
        <v>1.0449999999999999</v>
      </c>
      <c r="I852" s="2">
        <f t="shared" si="197"/>
        <v>0</v>
      </c>
      <c r="J852" s="10">
        <f t="shared" si="199"/>
        <v>-8</v>
      </c>
      <c r="K852" s="10">
        <f t="shared" si="198"/>
        <v>174</v>
      </c>
      <c r="L852" s="10">
        <f t="shared" ca="1" si="187"/>
        <v>0</v>
      </c>
      <c r="M852" s="10">
        <f t="shared" ca="1" si="189"/>
        <v>1</v>
      </c>
      <c r="N852" s="30">
        <f t="shared" ca="1" si="190"/>
        <v>0</v>
      </c>
      <c r="O852" s="10">
        <f t="shared" ca="1" si="191"/>
        <v>2039600</v>
      </c>
      <c r="P852" s="29">
        <f t="shared" ca="1" si="192"/>
        <v>33200</v>
      </c>
      <c r="Q852" s="12">
        <f t="shared" ca="1" si="193"/>
        <v>-373500</v>
      </c>
      <c r="R852" s="10">
        <f t="shared" ca="1" si="194"/>
        <v>1.627770151010002</v>
      </c>
      <c r="S852" s="10">
        <f t="shared" ca="1" si="184"/>
        <v>-1.5174373728159427</v>
      </c>
      <c r="T852" s="14">
        <f t="shared" ca="1" si="185"/>
        <v>-0.30067902629755616</v>
      </c>
      <c r="U852" s="12">
        <f t="shared" ca="1" si="195"/>
        <v>7900</v>
      </c>
      <c r="V852" s="14">
        <f t="shared" ca="1" si="196"/>
        <v>-4827.8481012658231</v>
      </c>
      <c r="W852" s="12">
        <f t="shared" ca="1" si="186"/>
        <v>-2579.746835443038</v>
      </c>
      <c r="X852" s="7">
        <f ca="1">AVERAGE(E852:OFFSET(F852,-$X$5+1,0))</f>
        <v>10262.200000000001</v>
      </c>
      <c r="Y852" s="7">
        <f ca="1">AVERAGE(E852:OFFSET(F852,-$Y$5+1,0))</f>
        <v>10182.4</v>
      </c>
      <c r="Z852" s="7">
        <f t="shared" ca="1" si="188"/>
        <v>0</v>
      </c>
    </row>
    <row r="853" spans="1:26">
      <c r="A853" s="3" t="s">
        <v>65</v>
      </c>
      <c r="B853" s="4">
        <v>42913</v>
      </c>
      <c r="C853" s="3">
        <v>10390</v>
      </c>
      <c r="D853" s="3">
        <v>10412</v>
      </c>
      <c r="E853" s="3">
        <v>10353</v>
      </c>
      <c r="F853" s="3">
        <v>10368</v>
      </c>
      <c r="G853" s="3">
        <v>115847</v>
      </c>
      <c r="H853" s="3">
        <v>1.0449999999999999</v>
      </c>
      <c r="I853" s="2">
        <f t="shared" si="197"/>
        <v>0</v>
      </c>
      <c r="J853" s="10">
        <f t="shared" si="199"/>
        <v>9</v>
      </c>
      <c r="K853" s="10">
        <f t="shared" si="198"/>
        <v>-22</v>
      </c>
      <c r="L853" s="10">
        <f t="shared" ca="1" si="187"/>
        <v>0</v>
      </c>
      <c r="M853" s="10">
        <f t="shared" ca="1" si="189"/>
        <v>1</v>
      </c>
      <c r="N853" s="30">
        <f t="shared" ca="1" si="190"/>
        <v>0</v>
      </c>
      <c r="O853" s="10">
        <f t="shared" ca="1" si="191"/>
        <v>2039600</v>
      </c>
      <c r="P853" s="29">
        <f t="shared" ca="1" si="192"/>
        <v>-2600</v>
      </c>
      <c r="Q853" s="12">
        <f t="shared" ca="1" si="193"/>
        <v>-376100</v>
      </c>
      <c r="R853" s="10">
        <f t="shared" ca="1" si="194"/>
        <v>-0.12747597568150618</v>
      </c>
      <c r="S853" s="10">
        <f t="shared" ca="1" si="184"/>
        <v>-1.3507824012350012</v>
      </c>
      <c r="T853" s="14">
        <f t="shared" ca="1" si="185"/>
        <v>-0.28114807390068852</v>
      </c>
      <c r="U853" s="12">
        <f t="shared" ca="1" si="195"/>
        <v>7900</v>
      </c>
      <c r="V853" s="14">
        <f t="shared" ca="1" si="196"/>
        <v>-4860.7594936708865</v>
      </c>
      <c r="W853" s="12">
        <f t="shared" ca="1" si="186"/>
        <v>-2579.746835443038</v>
      </c>
      <c r="X853" s="7">
        <f ca="1">AVERAGE(E853:OFFSET(F853,-$X$5+1,0))</f>
        <v>10275.299999999999</v>
      </c>
      <c r="Y853" s="7">
        <f ca="1">AVERAGE(E853:OFFSET(F853,-$Y$5+1,0))</f>
        <v>10206.299999999999</v>
      </c>
      <c r="Z853" s="7">
        <f t="shared" ca="1" si="188"/>
        <v>0</v>
      </c>
    </row>
    <row r="854" spans="1:26">
      <c r="A854" s="3" t="s">
        <v>65</v>
      </c>
      <c r="B854" s="4">
        <v>42914</v>
      </c>
      <c r="C854" s="3">
        <v>10303</v>
      </c>
      <c r="D854" s="3">
        <v>10342</v>
      </c>
      <c r="E854" s="3">
        <v>10247</v>
      </c>
      <c r="F854" s="3">
        <v>10261</v>
      </c>
      <c r="G854" s="3">
        <v>160947</v>
      </c>
      <c r="H854" s="3">
        <v>1.0449999999999999</v>
      </c>
      <c r="I854" s="2">
        <f t="shared" si="197"/>
        <v>0</v>
      </c>
      <c r="J854" s="10">
        <f t="shared" si="199"/>
        <v>-65</v>
      </c>
      <c r="K854" s="10">
        <f t="shared" si="198"/>
        <v>-42</v>
      </c>
      <c r="L854" s="10">
        <f t="shared" ca="1" si="187"/>
        <v>0</v>
      </c>
      <c r="M854" s="10">
        <f t="shared" ca="1" si="189"/>
        <v>1</v>
      </c>
      <c r="N854" s="30">
        <f t="shared" ca="1" si="190"/>
        <v>0</v>
      </c>
      <c r="O854" s="10">
        <f t="shared" ca="1" si="191"/>
        <v>2039600</v>
      </c>
      <c r="P854" s="29">
        <f t="shared" ca="1" si="192"/>
        <v>-21400</v>
      </c>
      <c r="Q854" s="12">
        <f t="shared" ca="1" si="193"/>
        <v>-397500</v>
      </c>
      <c r="R854" s="10">
        <f t="shared" ca="1" si="194"/>
        <v>-1.0492253383016277</v>
      </c>
      <c r="S854" s="10">
        <f t="shared" ca="1" si="184"/>
        <v>-1.5314714756859167</v>
      </c>
      <c r="T854" s="14">
        <f t="shared" ca="1" si="185"/>
        <v>-0.30036598561470729</v>
      </c>
      <c r="U854" s="12">
        <f t="shared" ca="1" si="195"/>
        <v>7900</v>
      </c>
      <c r="V854" s="14">
        <f t="shared" ca="1" si="196"/>
        <v>-5131.6455696202529</v>
      </c>
      <c r="W854" s="12">
        <f t="shared" ca="1" si="186"/>
        <v>-2579.746835443038</v>
      </c>
      <c r="X854" s="7">
        <f ca="1">AVERAGE(E854:OFFSET(F854,-$X$5+1,0))</f>
        <v>10262.5</v>
      </c>
      <c r="Y854" s="7">
        <f ca="1">AVERAGE(E854:OFFSET(F854,-$Y$5+1,0))</f>
        <v>10227.4</v>
      </c>
      <c r="Z854" s="7">
        <f t="shared" ca="1" si="188"/>
        <v>0</v>
      </c>
    </row>
    <row r="855" spans="1:26">
      <c r="A855" s="3" t="s">
        <v>65</v>
      </c>
      <c r="B855" s="4">
        <v>42915</v>
      </c>
      <c r="C855" s="3">
        <v>10325</v>
      </c>
      <c r="D855" s="3">
        <v>10356</v>
      </c>
      <c r="E855" s="3">
        <v>10260</v>
      </c>
      <c r="F855" s="3">
        <v>10297</v>
      </c>
      <c r="G855" s="3">
        <v>130102</v>
      </c>
      <c r="H855" s="3">
        <v>1.0449999999999999</v>
      </c>
      <c r="I855" s="2">
        <f t="shared" si="197"/>
        <v>0</v>
      </c>
      <c r="J855" s="10">
        <f t="shared" si="199"/>
        <v>64</v>
      </c>
      <c r="K855" s="10">
        <f t="shared" si="198"/>
        <v>-28</v>
      </c>
      <c r="L855" s="10">
        <f t="shared" ca="1" si="187"/>
        <v>0</v>
      </c>
      <c r="M855" s="10">
        <f t="shared" ca="1" si="189"/>
        <v>1</v>
      </c>
      <c r="N855" s="30">
        <f t="shared" ca="1" si="190"/>
        <v>0</v>
      </c>
      <c r="O855" s="10">
        <f t="shared" ca="1" si="191"/>
        <v>2039600</v>
      </c>
      <c r="P855" s="29">
        <f t="shared" ca="1" si="192"/>
        <v>7200</v>
      </c>
      <c r="Q855" s="12">
        <f t="shared" ca="1" si="193"/>
        <v>-390300</v>
      </c>
      <c r="R855" s="10">
        <f t="shared" ca="1" si="194"/>
        <v>0.35301039419494018</v>
      </c>
      <c r="S855" s="10">
        <f t="shared" ca="1" si="184"/>
        <v>-1.5165602413865693</v>
      </c>
      <c r="T855" s="14">
        <f t="shared" ca="1" si="185"/>
        <v>-0.29832777283358092</v>
      </c>
      <c r="U855" s="12">
        <f t="shared" ca="1" si="195"/>
        <v>7900</v>
      </c>
      <c r="V855" s="14">
        <f t="shared" ca="1" si="196"/>
        <v>-5040.506329113924</v>
      </c>
      <c r="W855" s="12">
        <f t="shared" ca="1" si="186"/>
        <v>-2579.746835443038</v>
      </c>
      <c r="X855" s="7">
        <f ca="1">AVERAGE(E855:OFFSET(F855,-$X$5+1,0))</f>
        <v>10277.700000000001</v>
      </c>
      <c r="Y855" s="7">
        <f ca="1">AVERAGE(E855:OFFSET(F855,-$Y$5+1,0))</f>
        <v>10250.700000000001</v>
      </c>
      <c r="Z855" s="7">
        <f t="shared" ca="1" si="188"/>
        <v>0</v>
      </c>
    </row>
    <row r="856" spans="1:26">
      <c r="A856" s="3" t="s">
        <v>65</v>
      </c>
      <c r="B856" s="4">
        <v>42916</v>
      </c>
      <c r="C856" s="3">
        <v>10220</v>
      </c>
      <c r="D856" s="3">
        <v>10263</v>
      </c>
      <c r="E856" s="3">
        <v>10196</v>
      </c>
      <c r="F856" s="3">
        <v>10252</v>
      </c>
      <c r="G856" s="3">
        <v>124850</v>
      </c>
      <c r="H856" s="3">
        <v>1.0449999999999999</v>
      </c>
      <c r="I856" s="2">
        <f t="shared" si="197"/>
        <v>0</v>
      </c>
      <c r="J856" s="10">
        <f t="shared" si="199"/>
        <v>-77</v>
      </c>
      <c r="K856" s="10">
        <f t="shared" si="198"/>
        <v>32</v>
      </c>
      <c r="L856" s="10">
        <f t="shared" ca="1" si="187"/>
        <v>0</v>
      </c>
      <c r="M856" s="10">
        <f t="shared" ca="1" si="189"/>
        <v>1</v>
      </c>
      <c r="N856" s="30">
        <f t="shared" ca="1" si="190"/>
        <v>0</v>
      </c>
      <c r="O856" s="10">
        <f t="shared" ca="1" si="191"/>
        <v>2039600</v>
      </c>
      <c r="P856" s="29">
        <f t="shared" ca="1" si="192"/>
        <v>-9000</v>
      </c>
      <c r="Q856" s="12">
        <f t="shared" ca="1" si="193"/>
        <v>-399300</v>
      </c>
      <c r="R856" s="10">
        <f t="shared" ca="1" si="194"/>
        <v>-0.44126299274367525</v>
      </c>
      <c r="S856" s="10">
        <f t="shared" ca="1" si="184"/>
        <v>-1.5955020700301734</v>
      </c>
      <c r="T856" s="14">
        <f t="shared" ca="1" si="185"/>
        <v>-0.30770441992731629</v>
      </c>
      <c r="U856" s="12">
        <f t="shared" ca="1" si="195"/>
        <v>7900</v>
      </c>
      <c r="V856" s="14">
        <f t="shared" ca="1" si="196"/>
        <v>-5154.4303797468356</v>
      </c>
      <c r="W856" s="12">
        <f t="shared" ca="1" si="186"/>
        <v>-2579.746835443038</v>
      </c>
      <c r="X856" s="7">
        <f ca="1">AVERAGE(E856:OFFSET(F856,-$X$5+1,0))</f>
        <v>10281.700000000001</v>
      </c>
      <c r="Y856" s="7">
        <f ca="1">AVERAGE(E856:OFFSET(F856,-$Y$5+1,0))</f>
        <v>10262.75</v>
      </c>
      <c r="Z856" s="7">
        <f t="shared" ca="1" si="188"/>
        <v>0</v>
      </c>
    </row>
    <row r="857" spans="1:26">
      <c r="A857" s="3" t="s">
        <v>65</v>
      </c>
      <c r="B857" s="4">
        <v>42919</v>
      </c>
      <c r="C857" s="3">
        <v>10260</v>
      </c>
      <c r="D857" s="3">
        <v>10289</v>
      </c>
      <c r="E857" s="3">
        <v>10231</v>
      </c>
      <c r="F857" s="3">
        <v>10289</v>
      </c>
      <c r="G857" s="3">
        <v>106319</v>
      </c>
      <c r="H857" s="3">
        <v>1.0449999999999999</v>
      </c>
      <c r="I857" s="2">
        <f t="shared" si="197"/>
        <v>0</v>
      </c>
      <c r="J857" s="10">
        <f t="shared" si="199"/>
        <v>8</v>
      </c>
      <c r="K857" s="10">
        <f t="shared" si="198"/>
        <v>29</v>
      </c>
      <c r="L857" s="10">
        <f t="shared" ca="1" si="187"/>
        <v>0</v>
      </c>
      <c r="M857" s="10">
        <f t="shared" ca="1" si="189"/>
        <v>1</v>
      </c>
      <c r="N857" s="30">
        <f t="shared" ca="1" si="190"/>
        <v>0</v>
      </c>
      <c r="O857" s="10">
        <f t="shared" ca="1" si="191"/>
        <v>2039600</v>
      </c>
      <c r="P857" s="29">
        <f t="shared" ca="1" si="192"/>
        <v>7400</v>
      </c>
      <c r="Q857" s="12">
        <f t="shared" ca="1" si="193"/>
        <v>-391900</v>
      </c>
      <c r="R857" s="10">
        <f t="shared" ca="1" si="194"/>
        <v>0.36281623847813299</v>
      </c>
      <c r="S857" s="10">
        <f t="shared" ca="1" si="184"/>
        <v>-1.5305943442565435</v>
      </c>
      <c r="T857" s="14">
        <f t="shared" ca="1" si="185"/>
        <v>-0.30275411618759718</v>
      </c>
      <c r="U857" s="12">
        <f t="shared" ca="1" si="195"/>
        <v>7900</v>
      </c>
      <c r="V857" s="14">
        <f t="shared" ca="1" si="196"/>
        <v>-5060.7594936708865</v>
      </c>
      <c r="W857" s="12">
        <f t="shared" ca="1" si="186"/>
        <v>-2579.746835443038</v>
      </c>
      <c r="X857" s="7">
        <f ca="1">AVERAGE(E857:OFFSET(F857,-$X$5+1,0))</f>
        <v>10275.4</v>
      </c>
      <c r="Y857" s="7">
        <f ca="1">AVERAGE(E857:OFFSET(F857,-$Y$5+1,0))</f>
        <v>10268.799999999999</v>
      </c>
      <c r="Z857" s="7">
        <f t="shared" ca="1" si="188"/>
        <v>0</v>
      </c>
    </row>
    <row r="858" spans="1:26">
      <c r="A858" s="3" t="s">
        <v>65</v>
      </c>
      <c r="B858" s="4">
        <v>42920</v>
      </c>
      <c r="C858" s="3">
        <v>10303</v>
      </c>
      <c r="D858" s="3">
        <v>10306</v>
      </c>
      <c r="E858" s="3">
        <v>10210</v>
      </c>
      <c r="F858" s="3">
        <v>10217</v>
      </c>
      <c r="G858" s="3">
        <v>140257</v>
      </c>
      <c r="H858" s="3">
        <v>1.0449999999999999</v>
      </c>
      <c r="I858" s="2">
        <f t="shared" si="197"/>
        <v>0</v>
      </c>
      <c r="J858" s="10">
        <f t="shared" si="199"/>
        <v>14</v>
      </c>
      <c r="K858" s="10">
        <f t="shared" si="198"/>
        <v>-86</v>
      </c>
      <c r="L858" s="10">
        <f t="shared" ca="1" si="187"/>
        <v>-1</v>
      </c>
      <c r="M858" s="10">
        <f t="shared" ca="1" si="189"/>
        <v>1</v>
      </c>
      <c r="N858" s="30">
        <f t="shared" ca="1" si="190"/>
        <v>0</v>
      </c>
      <c r="O858" s="10">
        <f t="shared" ca="1" si="191"/>
        <v>2039600</v>
      </c>
      <c r="P858" s="29">
        <f t="shared" ca="1" si="192"/>
        <v>-14400</v>
      </c>
      <c r="Q858" s="12">
        <f t="shared" ca="1" si="193"/>
        <v>-406300</v>
      </c>
      <c r="R858" s="10">
        <f t="shared" ca="1" si="194"/>
        <v>-0.70602078838988036</v>
      </c>
      <c r="S858" s="10">
        <f t="shared" ca="1" si="184"/>
        <v>-1.6569012700863097</v>
      </c>
      <c r="T858" s="14">
        <f t="shared" ca="1" si="185"/>
        <v>-0.31666675881819534</v>
      </c>
      <c r="U858" s="12">
        <f t="shared" ca="1" si="195"/>
        <v>7900</v>
      </c>
      <c r="V858" s="14">
        <f t="shared" ca="1" si="196"/>
        <v>-5243.0379746835442</v>
      </c>
      <c r="W858" s="12">
        <f t="shared" ca="1" si="186"/>
        <v>-2579.746835443038</v>
      </c>
      <c r="X858" s="7">
        <f ca="1">AVERAGE(E858:OFFSET(F858,-$X$5+1,0))</f>
        <v>10246</v>
      </c>
      <c r="Y858" s="7">
        <f ca="1">AVERAGE(E858:OFFSET(F858,-$Y$5+1,0))</f>
        <v>10260.65</v>
      </c>
      <c r="Z858" s="7">
        <f t="shared" ca="1" si="188"/>
        <v>-1</v>
      </c>
    </row>
    <row r="859" spans="1:26">
      <c r="A859" s="3" t="s">
        <v>65</v>
      </c>
      <c r="B859" s="4">
        <v>42921</v>
      </c>
      <c r="C859" s="3">
        <v>10215</v>
      </c>
      <c r="D859" s="3">
        <v>10304</v>
      </c>
      <c r="E859" s="3">
        <v>10171</v>
      </c>
      <c r="F859" s="3">
        <v>10301</v>
      </c>
      <c r="G859" s="3">
        <v>166870</v>
      </c>
      <c r="H859" s="3">
        <v>1.0449999999999999</v>
      </c>
      <c r="I859" s="2">
        <f t="shared" si="197"/>
        <v>0</v>
      </c>
      <c r="J859" s="10">
        <f t="shared" si="199"/>
        <v>-2</v>
      </c>
      <c r="K859" s="10">
        <f t="shared" si="198"/>
        <v>86</v>
      </c>
      <c r="L859" s="10">
        <f t="shared" ca="1" si="187"/>
        <v>0</v>
      </c>
      <c r="M859" s="10">
        <f t="shared" ca="1" si="189"/>
        <v>0</v>
      </c>
      <c r="N859" s="30">
        <f t="shared" ca="1" si="190"/>
        <v>0</v>
      </c>
      <c r="O859" s="10">
        <f t="shared" ca="1" si="191"/>
        <v>0</v>
      </c>
      <c r="P859" s="29">
        <f t="shared" ca="1" si="192"/>
        <v>-900</v>
      </c>
      <c r="Q859" s="12">
        <f t="shared" ca="1" si="193"/>
        <v>-407200</v>
      </c>
      <c r="R859" s="10">
        <f t="shared" ca="1" si="194"/>
        <v>-4.4126299274367523E-2</v>
      </c>
      <c r="S859" s="10">
        <f t="shared" ca="1" si="184"/>
        <v>-1.6647954529506701</v>
      </c>
      <c r="T859" s="14">
        <f t="shared" ca="1" si="185"/>
        <v>-0.31938527394998317</v>
      </c>
      <c r="U859" s="12">
        <f t="shared" ca="1" si="195"/>
        <v>7900</v>
      </c>
      <c r="V859" s="14">
        <f t="shared" ca="1" si="196"/>
        <v>-5254.4303797468356</v>
      </c>
      <c r="W859" s="12">
        <f t="shared" ca="1" si="186"/>
        <v>-2579.746835443038</v>
      </c>
      <c r="X859" s="7">
        <f ca="1">AVERAGE(E859:OFFSET(F859,-$X$5+1,0))</f>
        <v>10242.4</v>
      </c>
      <c r="Y859" s="7">
        <f ca="1">AVERAGE(E859:OFFSET(F859,-$Y$5+1,0))</f>
        <v>10252.450000000001</v>
      </c>
      <c r="Z859" s="7">
        <f t="shared" ca="1" si="188"/>
        <v>0</v>
      </c>
    </row>
    <row r="860" spans="1:26">
      <c r="A860" s="3" t="s">
        <v>65</v>
      </c>
      <c r="B860" s="4">
        <v>42922</v>
      </c>
      <c r="C860" s="3">
        <v>10323</v>
      </c>
      <c r="D860" s="3">
        <v>10329</v>
      </c>
      <c r="E860" s="3">
        <v>10237</v>
      </c>
      <c r="F860" s="3">
        <v>10267</v>
      </c>
      <c r="G860" s="3">
        <v>130726</v>
      </c>
      <c r="H860" s="3">
        <v>1.0449999999999999</v>
      </c>
      <c r="I860" s="2">
        <f t="shared" si="197"/>
        <v>0</v>
      </c>
      <c r="J860" s="10">
        <f t="shared" si="199"/>
        <v>22</v>
      </c>
      <c r="K860" s="10">
        <f t="shared" si="198"/>
        <v>-56</v>
      </c>
      <c r="L860" s="10">
        <f t="shared" ca="1" si="187"/>
        <v>0</v>
      </c>
      <c r="M860" s="10">
        <f t="shared" ca="1" si="189"/>
        <v>0</v>
      </c>
      <c r="N860" s="30">
        <f t="shared" ca="1" si="190"/>
        <v>0</v>
      </c>
      <c r="O860" s="10">
        <f t="shared" ca="1" si="191"/>
        <v>0</v>
      </c>
      <c r="P860" s="29">
        <f t="shared" ca="1" si="192"/>
        <v>0</v>
      </c>
      <c r="Q860" s="12">
        <f t="shared" ca="1" si="193"/>
        <v>-407200</v>
      </c>
      <c r="R860" s="10">
        <f t="shared" ca="1" si="194"/>
        <v>0</v>
      </c>
      <c r="S860" s="10">
        <f t="shared" ca="1" si="184"/>
        <v>-1.6647954529506701</v>
      </c>
      <c r="T860" s="14">
        <f t="shared" ca="1" si="185"/>
        <v>-0.3200549623641547</v>
      </c>
      <c r="U860" s="12">
        <f t="shared" ca="1" si="195"/>
        <v>7900</v>
      </c>
      <c r="V860" s="14">
        <f t="shared" ca="1" si="196"/>
        <v>-5254.4303797468356</v>
      </c>
      <c r="W860" s="12">
        <f t="shared" ca="1" si="186"/>
        <v>-2579.746835443038</v>
      </c>
      <c r="X860" s="7">
        <f ca="1">AVERAGE(E860:OFFSET(F860,-$X$5+1,0))</f>
        <v>10237.1</v>
      </c>
      <c r="Y860" s="7">
        <f ca="1">AVERAGE(E860:OFFSET(F860,-$Y$5+1,0))</f>
        <v>10257.4</v>
      </c>
      <c r="Z860" s="7">
        <f t="shared" ca="1" si="188"/>
        <v>0</v>
      </c>
    </row>
    <row r="861" spans="1:26">
      <c r="A861" s="3" t="s">
        <v>65</v>
      </c>
      <c r="B861" s="4">
        <v>42923</v>
      </c>
      <c r="C861" s="3">
        <v>10225</v>
      </c>
      <c r="D861" s="3">
        <v>10246</v>
      </c>
      <c r="E861" s="3">
        <v>10195</v>
      </c>
      <c r="F861" s="3">
        <v>10203</v>
      </c>
      <c r="G861" s="3">
        <v>120431</v>
      </c>
      <c r="H861" s="3">
        <v>1.0449999999999999</v>
      </c>
      <c r="I861" s="2">
        <f t="shared" si="197"/>
        <v>0</v>
      </c>
      <c r="J861" s="10">
        <f t="shared" si="199"/>
        <v>-42</v>
      </c>
      <c r="K861" s="10">
        <f t="shared" si="198"/>
        <v>-22</v>
      </c>
      <c r="L861" s="10">
        <f t="shared" ca="1" si="187"/>
        <v>0</v>
      </c>
      <c r="M861" s="10">
        <f t="shared" ca="1" si="189"/>
        <v>0</v>
      </c>
      <c r="N861" s="30">
        <f t="shared" ca="1" si="190"/>
        <v>0</v>
      </c>
      <c r="O861" s="10">
        <f t="shared" ca="1" si="191"/>
        <v>0</v>
      </c>
      <c r="P861" s="29">
        <f t="shared" ca="1" si="192"/>
        <v>0</v>
      </c>
      <c r="Q861" s="12">
        <f t="shared" ca="1" si="193"/>
        <v>-407200</v>
      </c>
      <c r="R861" s="10">
        <f t="shared" ca="1" si="194"/>
        <v>0</v>
      </c>
      <c r="S861" s="10">
        <f t="shared" ca="1" si="184"/>
        <v>-1.6647954529506701</v>
      </c>
      <c r="T861" s="14">
        <f t="shared" ca="1" si="185"/>
        <v>-0.32005004513968632</v>
      </c>
      <c r="U861" s="12">
        <f t="shared" ca="1" si="195"/>
        <v>7900</v>
      </c>
      <c r="V861" s="14">
        <f t="shared" ca="1" si="196"/>
        <v>-5254.4303797468356</v>
      </c>
      <c r="W861" s="12">
        <f t="shared" ca="1" si="186"/>
        <v>-2579.746835443038</v>
      </c>
      <c r="X861" s="7">
        <f ca="1">AVERAGE(E861:OFFSET(F861,-$X$5+1,0))</f>
        <v>10232.1</v>
      </c>
      <c r="Y861" s="7">
        <f ca="1">AVERAGE(E861:OFFSET(F861,-$Y$5+1,0))</f>
        <v>10256.9</v>
      </c>
      <c r="Z861" s="7">
        <f t="shared" ca="1" si="188"/>
        <v>0</v>
      </c>
    </row>
    <row r="862" spans="1:26">
      <c r="A862" s="3" t="s">
        <v>65</v>
      </c>
      <c r="B862" s="4">
        <v>42926</v>
      </c>
      <c r="C862" s="3">
        <v>10226</v>
      </c>
      <c r="D862" s="3">
        <v>10242</v>
      </c>
      <c r="E862" s="3">
        <v>10180</v>
      </c>
      <c r="F862" s="3">
        <v>10210</v>
      </c>
      <c r="G862" s="3">
        <v>111481</v>
      </c>
      <c r="H862" s="3">
        <v>1.0449999999999999</v>
      </c>
      <c r="I862" s="2">
        <f t="shared" si="197"/>
        <v>0</v>
      </c>
      <c r="J862" s="10">
        <f t="shared" si="199"/>
        <v>23</v>
      </c>
      <c r="K862" s="10">
        <f t="shared" si="198"/>
        <v>-16</v>
      </c>
      <c r="L862" s="10">
        <f t="shared" ca="1" si="187"/>
        <v>0</v>
      </c>
      <c r="M862" s="10">
        <f t="shared" ca="1" si="189"/>
        <v>0</v>
      </c>
      <c r="N862" s="30">
        <f t="shared" ca="1" si="190"/>
        <v>0</v>
      </c>
      <c r="O862" s="10">
        <f t="shared" ca="1" si="191"/>
        <v>0</v>
      </c>
      <c r="P862" s="29">
        <f t="shared" ca="1" si="192"/>
        <v>0</v>
      </c>
      <c r="Q862" s="12">
        <f t="shared" ca="1" si="193"/>
        <v>-407200</v>
      </c>
      <c r="R862" s="10">
        <f t="shared" ca="1" si="194"/>
        <v>0</v>
      </c>
      <c r="S862" s="10">
        <f t="shared" ca="1" si="184"/>
        <v>-1.6647954529506701</v>
      </c>
      <c r="T862" s="14">
        <f t="shared" ca="1" si="185"/>
        <v>-0.32078846353298335</v>
      </c>
      <c r="U862" s="12">
        <f t="shared" ca="1" si="195"/>
        <v>7900</v>
      </c>
      <c r="V862" s="14">
        <f t="shared" ca="1" si="196"/>
        <v>-5254.4303797468356</v>
      </c>
      <c r="W862" s="12">
        <f t="shared" ca="1" si="186"/>
        <v>-2579.746835443038</v>
      </c>
      <c r="X862" s="7">
        <f ca="1">AVERAGE(E862:OFFSET(F862,-$X$5+1,0))</f>
        <v>10219.1</v>
      </c>
      <c r="Y862" s="7">
        <f ca="1">AVERAGE(E862:OFFSET(F862,-$Y$5+1,0))</f>
        <v>10247.25</v>
      </c>
      <c r="Z862" s="7">
        <f t="shared" ca="1" si="188"/>
        <v>0</v>
      </c>
    </row>
    <row r="863" spans="1:26">
      <c r="A863" s="3" t="s">
        <v>65</v>
      </c>
      <c r="B863" s="4">
        <v>42927</v>
      </c>
      <c r="C863" s="3">
        <v>10232</v>
      </c>
      <c r="D863" s="3">
        <v>10356</v>
      </c>
      <c r="E863" s="3">
        <v>10228</v>
      </c>
      <c r="F863" s="3">
        <v>10342</v>
      </c>
      <c r="G863" s="3">
        <v>141931</v>
      </c>
      <c r="H863" s="3">
        <v>1.0449999999999999</v>
      </c>
      <c r="I863" s="2">
        <f t="shared" si="197"/>
        <v>0</v>
      </c>
      <c r="J863" s="10">
        <f t="shared" si="199"/>
        <v>22</v>
      </c>
      <c r="K863" s="10">
        <f t="shared" si="198"/>
        <v>110</v>
      </c>
      <c r="L863" s="10">
        <f t="shared" ca="1" si="187"/>
        <v>0</v>
      </c>
      <c r="M863" s="10">
        <f t="shared" ca="1" si="189"/>
        <v>0</v>
      </c>
      <c r="N863" s="30">
        <f t="shared" ca="1" si="190"/>
        <v>0</v>
      </c>
      <c r="O863" s="10">
        <f t="shared" ca="1" si="191"/>
        <v>0</v>
      </c>
      <c r="P863" s="29">
        <f t="shared" ca="1" si="192"/>
        <v>0</v>
      </c>
      <c r="Q863" s="12">
        <f t="shared" ca="1" si="193"/>
        <v>-407200</v>
      </c>
      <c r="R863" s="10">
        <f t="shared" ca="1" si="194"/>
        <v>0</v>
      </c>
      <c r="S863" s="10">
        <f t="shared" ca="1" si="184"/>
        <v>-1.6647954529506701</v>
      </c>
      <c r="T863" s="14">
        <f t="shared" ca="1" si="185"/>
        <v>-0.32076189134080885</v>
      </c>
      <c r="U863" s="12">
        <f t="shared" ca="1" si="195"/>
        <v>7900</v>
      </c>
      <c r="V863" s="14">
        <f t="shared" ca="1" si="196"/>
        <v>-5254.4303797468356</v>
      </c>
      <c r="W863" s="12">
        <f t="shared" ca="1" si="186"/>
        <v>-2579.746835443038</v>
      </c>
      <c r="X863" s="7">
        <f ca="1">AVERAGE(E863:OFFSET(F863,-$X$5+1,0))</f>
        <v>10233.4</v>
      </c>
      <c r="Y863" s="7">
        <f ca="1">AVERAGE(E863:OFFSET(F863,-$Y$5+1,0))</f>
        <v>10239.700000000001</v>
      </c>
      <c r="Z863" s="7">
        <f t="shared" ca="1" si="188"/>
        <v>0</v>
      </c>
    </row>
    <row r="864" spans="1:26">
      <c r="A864" s="3" t="s">
        <v>65</v>
      </c>
      <c r="B864" s="4">
        <v>42928</v>
      </c>
      <c r="C864" s="3">
        <v>10346</v>
      </c>
      <c r="D864" s="3">
        <v>10383</v>
      </c>
      <c r="E864" s="3">
        <v>10330</v>
      </c>
      <c r="F864" s="3">
        <v>10339</v>
      </c>
      <c r="G864" s="3">
        <v>114330</v>
      </c>
      <c r="H864" s="3">
        <v>1.0449999999999999</v>
      </c>
      <c r="I864" s="2">
        <f t="shared" si="197"/>
        <v>0</v>
      </c>
      <c r="J864" s="10">
        <f t="shared" si="199"/>
        <v>4</v>
      </c>
      <c r="K864" s="10">
        <f t="shared" si="198"/>
        <v>-7</v>
      </c>
      <c r="L864" s="10">
        <f t="shared" ca="1" si="187"/>
        <v>1</v>
      </c>
      <c r="M864" s="10">
        <f t="shared" ca="1" si="189"/>
        <v>0</v>
      </c>
      <c r="N864" s="30">
        <f t="shared" ca="1" si="190"/>
        <v>0</v>
      </c>
      <c r="O864" s="10">
        <f t="shared" ca="1" si="191"/>
        <v>0</v>
      </c>
      <c r="P864" s="29">
        <f t="shared" ca="1" si="192"/>
        <v>0</v>
      </c>
      <c r="Q864" s="12">
        <f t="shared" ca="1" si="193"/>
        <v>-407200</v>
      </c>
      <c r="R864" s="10">
        <f t="shared" ca="1" si="194"/>
        <v>0</v>
      </c>
      <c r="S864" s="10">
        <f t="shared" ca="1" si="184"/>
        <v>-1.6647954529506701</v>
      </c>
      <c r="T864" s="14">
        <f t="shared" ca="1" si="185"/>
        <v>-0.32081694728060595</v>
      </c>
      <c r="U864" s="12">
        <f t="shared" ca="1" si="195"/>
        <v>7900</v>
      </c>
      <c r="V864" s="14">
        <f t="shared" ca="1" si="196"/>
        <v>-5254.4303797468356</v>
      </c>
      <c r="W864" s="12">
        <f t="shared" ca="1" si="186"/>
        <v>-2579.746835443038</v>
      </c>
      <c r="X864" s="7">
        <f ca="1">AVERAGE(E864:OFFSET(F864,-$X$5+1,0))</f>
        <v>10253.1</v>
      </c>
      <c r="Y864" s="7">
        <f ca="1">AVERAGE(E864:OFFSET(F864,-$Y$5+1,0))</f>
        <v>10247.75</v>
      </c>
      <c r="Z864" s="7">
        <f t="shared" ca="1" si="188"/>
        <v>1</v>
      </c>
    </row>
    <row r="865" spans="1:26">
      <c r="A865" s="3" t="s">
        <v>65</v>
      </c>
      <c r="B865" s="4">
        <v>42929</v>
      </c>
      <c r="C865" s="3">
        <v>10393</v>
      </c>
      <c r="D865" s="3">
        <v>10442</v>
      </c>
      <c r="E865" s="3">
        <v>10371</v>
      </c>
      <c r="F865" s="3">
        <v>10420</v>
      </c>
      <c r="G865" s="3">
        <v>143543</v>
      </c>
      <c r="H865" s="3">
        <v>1.0449999999999999</v>
      </c>
      <c r="I865" s="2">
        <f t="shared" si="197"/>
        <v>0</v>
      </c>
      <c r="J865" s="10">
        <f t="shared" si="199"/>
        <v>54</v>
      </c>
      <c r="K865" s="10">
        <f t="shared" si="198"/>
        <v>27</v>
      </c>
      <c r="L865" s="10">
        <f t="shared" ca="1" si="187"/>
        <v>0</v>
      </c>
      <c r="M865" s="10">
        <f t="shared" ca="1" si="189"/>
        <v>1</v>
      </c>
      <c r="N865" s="30">
        <f t="shared" ca="1" si="190"/>
        <v>2078600</v>
      </c>
      <c r="O865" s="10">
        <f t="shared" ca="1" si="191"/>
        <v>2078600</v>
      </c>
      <c r="P865" s="29">
        <f t="shared" ca="1" si="192"/>
        <v>4900</v>
      </c>
      <c r="Q865" s="12">
        <f t="shared" ca="1" si="193"/>
        <v>-402300</v>
      </c>
      <c r="R865" s="10">
        <f t="shared" ca="1" si="194"/>
        <v>0.23573559126335034</v>
      </c>
      <c r="S865" s="10">
        <f t="shared" ca="1" si="184"/>
        <v>-1.3717227769782039</v>
      </c>
      <c r="T865" s="14">
        <f t="shared" ca="1" si="185"/>
        <v>-0.28606634880953202</v>
      </c>
      <c r="U865" s="12">
        <f t="shared" ca="1" si="195"/>
        <v>7900</v>
      </c>
      <c r="V865" s="14">
        <f t="shared" ca="1" si="196"/>
        <v>-5192.4050632911394</v>
      </c>
      <c r="W865" s="12">
        <f t="shared" ca="1" si="186"/>
        <v>-2579.746835443038</v>
      </c>
      <c r="X865" s="7">
        <f ca="1">AVERAGE(E865:OFFSET(F865,-$X$5+1,0))</f>
        <v>10281.799999999999</v>
      </c>
      <c r="Y865" s="7">
        <f ca="1">AVERAGE(E865:OFFSET(F865,-$Y$5+1,0))</f>
        <v>10259.450000000001</v>
      </c>
      <c r="Z865" s="7">
        <f t="shared" ca="1" si="188"/>
        <v>0</v>
      </c>
    </row>
    <row r="866" spans="1:26">
      <c r="A866" s="3" t="s">
        <v>65</v>
      </c>
      <c r="B866" s="4">
        <v>42930</v>
      </c>
      <c r="C866" s="3">
        <v>10420</v>
      </c>
      <c r="D866" s="3">
        <v>10424</v>
      </c>
      <c r="E866" s="3">
        <v>10391</v>
      </c>
      <c r="F866" s="3">
        <v>10403</v>
      </c>
      <c r="G866" s="3">
        <v>79383</v>
      </c>
      <c r="H866" s="3">
        <v>1.0449999999999999</v>
      </c>
      <c r="I866" s="2">
        <f t="shared" si="197"/>
        <v>0</v>
      </c>
      <c r="J866" s="10">
        <f t="shared" si="199"/>
        <v>0</v>
      </c>
      <c r="K866" s="10">
        <f t="shared" si="198"/>
        <v>-17</v>
      </c>
      <c r="L866" s="10">
        <f t="shared" ca="1" si="187"/>
        <v>0</v>
      </c>
      <c r="M866" s="10">
        <f t="shared" ca="1" si="189"/>
        <v>1</v>
      </c>
      <c r="N866" s="30">
        <f t="shared" ca="1" si="190"/>
        <v>0</v>
      </c>
      <c r="O866" s="10">
        <f t="shared" ca="1" si="191"/>
        <v>2078600</v>
      </c>
      <c r="P866" s="29">
        <f t="shared" ca="1" si="192"/>
        <v>-3400</v>
      </c>
      <c r="Q866" s="12">
        <f t="shared" ca="1" si="193"/>
        <v>-405700</v>
      </c>
      <c r="R866" s="10">
        <f t="shared" ca="1" si="194"/>
        <v>-0.16357163475416145</v>
      </c>
      <c r="S866" s="10">
        <f t="shared" ca="1" si="184"/>
        <v>-1.3969464516224759</v>
      </c>
      <c r="T866" s="14">
        <f t="shared" ca="1" si="185"/>
        <v>-0.2889896985500281</v>
      </c>
      <c r="U866" s="12">
        <f t="shared" ca="1" si="195"/>
        <v>7900</v>
      </c>
      <c r="V866" s="14">
        <f t="shared" ca="1" si="196"/>
        <v>-5235.4430379746836</v>
      </c>
      <c r="W866" s="12">
        <f t="shared" ca="1" si="186"/>
        <v>-2579.746835443038</v>
      </c>
      <c r="X866" s="7">
        <f ca="1">AVERAGE(E866:OFFSET(F866,-$X$5+1,0))</f>
        <v>10321.4</v>
      </c>
      <c r="Y866" s="7">
        <f ca="1">AVERAGE(E866:OFFSET(F866,-$Y$5+1,0))</f>
        <v>10276.75</v>
      </c>
      <c r="Z866" s="7">
        <f t="shared" ca="1" si="188"/>
        <v>0</v>
      </c>
    </row>
    <row r="867" spans="1:26">
      <c r="A867" s="3" t="s">
        <v>65</v>
      </c>
      <c r="B867" s="4">
        <v>42933</v>
      </c>
      <c r="C867" s="3">
        <v>10458</v>
      </c>
      <c r="D867" s="3">
        <v>10480</v>
      </c>
      <c r="E867" s="3">
        <v>10414</v>
      </c>
      <c r="F867" s="3">
        <v>10436</v>
      </c>
      <c r="G867" s="3">
        <v>137588</v>
      </c>
      <c r="H867" s="3">
        <v>1.0449999999999999</v>
      </c>
      <c r="I867" s="2">
        <f t="shared" si="197"/>
        <v>0</v>
      </c>
      <c r="J867" s="10">
        <f t="shared" si="199"/>
        <v>55</v>
      </c>
      <c r="K867" s="10">
        <f t="shared" si="198"/>
        <v>-22</v>
      </c>
      <c r="L867" s="10">
        <f t="shared" ca="1" si="187"/>
        <v>0</v>
      </c>
      <c r="M867" s="10">
        <f t="shared" ca="1" si="189"/>
        <v>1</v>
      </c>
      <c r="N867" s="30">
        <f t="shared" ca="1" si="190"/>
        <v>0</v>
      </c>
      <c r="O867" s="10">
        <f t="shared" ca="1" si="191"/>
        <v>2078600</v>
      </c>
      <c r="P867" s="29">
        <f t="shared" ca="1" si="192"/>
        <v>6600</v>
      </c>
      <c r="Q867" s="12">
        <f t="shared" ca="1" si="193"/>
        <v>-399100</v>
      </c>
      <c r="R867" s="10">
        <f t="shared" ca="1" si="194"/>
        <v>0.31752140864043105</v>
      </c>
      <c r="S867" s="10">
        <f t="shared" ca="1" si="184"/>
        <v>-1.3479828479012419</v>
      </c>
      <c r="T867" s="14">
        <f t="shared" ca="1" si="185"/>
        <v>-0.28526280631475909</v>
      </c>
      <c r="U867" s="12">
        <f t="shared" ca="1" si="195"/>
        <v>7900</v>
      </c>
      <c r="V867" s="14">
        <f t="shared" ca="1" si="196"/>
        <v>-5151.8987341772154</v>
      </c>
      <c r="W867" s="12">
        <f t="shared" ca="1" si="186"/>
        <v>-2579.746835443038</v>
      </c>
      <c r="X867" s="7">
        <f ca="1">AVERAGE(E867:OFFSET(F867,-$X$5+1,0))</f>
        <v>10367.4</v>
      </c>
      <c r="Y867" s="7">
        <f ca="1">AVERAGE(E867:OFFSET(F867,-$Y$5+1,0))</f>
        <v>10293.25</v>
      </c>
      <c r="Z867" s="7">
        <f t="shared" ca="1" si="188"/>
        <v>0</v>
      </c>
    </row>
    <row r="868" spans="1:26">
      <c r="A868" s="3" t="s">
        <v>65</v>
      </c>
      <c r="B868" s="4">
        <v>42934</v>
      </c>
      <c r="C868" s="3">
        <v>10427</v>
      </c>
      <c r="D868" s="3">
        <v>10466</v>
      </c>
      <c r="E868" s="3">
        <v>10407</v>
      </c>
      <c r="F868" s="3">
        <v>10462</v>
      </c>
      <c r="G868" s="3">
        <v>98247</v>
      </c>
      <c r="H868" s="3">
        <v>1.0449999999999999</v>
      </c>
      <c r="I868" s="2">
        <f t="shared" si="197"/>
        <v>0</v>
      </c>
      <c r="J868" s="10">
        <f t="shared" si="199"/>
        <v>-9</v>
      </c>
      <c r="K868" s="10">
        <f t="shared" si="198"/>
        <v>35</v>
      </c>
      <c r="L868" s="10">
        <f t="shared" ca="1" si="187"/>
        <v>0</v>
      </c>
      <c r="M868" s="10">
        <f t="shared" ca="1" si="189"/>
        <v>1</v>
      </c>
      <c r="N868" s="30">
        <f t="shared" ca="1" si="190"/>
        <v>0</v>
      </c>
      <c r="O868" s="10">
        <f t="shared" ca="1" si="191"/>
        <v>2078600</v>
      </c>
      <c r="P868" s="29">
        <f t="shared" ca="1" si="192"/>
        <v>5200</v>
      </c>
      <c r="Q868" s="12">
        <f t="shared" ca="1" si="193"/>
        <v>-393900</v>
      </c>
      <c r="R868" s="10">
        <f t="shared" ca="1" si="194"/>
        <v>0.25016838256518809</v>
      </c>
      <c r="S868" s="10">
        <f t="shared" ca="1" si="184"/>
        <v>-1.3094054631511789</v>
      </c>
      <c r="T868" s="14">
        <f t="shared" ca="1" si="185"/>
        <v>-0.28129218621413815</v>
      </c>
      <c r="U868" s="12">
        <f t="shared" ca="1" si="195"/>
        <v>7900</v>
      </c>
      <c r="V868" s="14">
        <f t="shared" ca="1" si="196"/>
        <v>-5086.0759493670885</v>
      </c>
      <c r="W868" s="12">
        <f t="shared" ca="1" si="186"/>
        <v>-2579.746835443038</v>
      </c>
      <c r="X868" s="7">
        <f ca="1">AVERAGE(E868:OFFSET(F868,-$X$5+1,0))</f>
        <v>10397.299999999999</v>
      </c>
      <c r="Y868" s="7">
        <f ca="1">AVERAGE(E868:OFFSET(F868,-$Y$5+1,0))</f>
        <v>10315.35</v>
      </c>
      <c r="Z868" s="7">
        <f t="shared" ca="1" si="188"/>
        <v>0</v>
      </c>
    </row>
    <row r="869" spans="1:26">
      <c r="A869" s="3" t="s">
        <v>65</v>
      </c>
      <c r="B869" s="4">
        <v>42935</v>
      </c>
      <c r="C869" s="3">
        <v>10479</v>
      </c>
      <c r="D869" s="3">
        <v>10541</v>
      </c>
      <c r="E869" s="3">
        <v>10471</v>
      </c>
      <c r="F869" s="3">
        <v>10500</v>
      </c>
      <c r="G869" s="3">
        <v>91415</v>
      </c>
      <c r="H869" s="3">
        <v>1.0449999999999999</v>
      </c>
      <c r="I869" s="2">
        <f t="shared" si="197"/>
        <v>1</v>
      </c>
      <c r="J869" s="10">
        <f t="shared" si="199"/>
        <v>17</v>
      </c>
      <c r="K869" s="10">
        <f t="shared" si="198"/>
        <v>21</v>
      </c>
      <c r="L869" s="10">
        <f t="shared" ca="1" si="187"/>
        <v>0</v>
      </c>
      <c r="M869" s="10">
        <f t="shared" si="189"/>
        <v>0</v>
      </c>
      <c r="N869" s="30">
        <f t="shared" si="190"/>
        <v>0</v>
      </c>
      <c r="O869" s="10">
        <f t="shared" si="191"/>
        <v>0</v>
      </c>
      <c r="P869" s="29">
        <f t="shared" ca="1" si="192"/>
        <v>2900</v>
      </c>
      <c r="Q869" s="12">
        <f t="shared" ca="1" si="193"/>
        <v>-391000</v>
      </c>
      <c r="R869" s="10">
        <f t="shared" ca="1" si="194"/>
        <v>0.13951698258443182</v>
      </c>
      <c r="S869" s="10">
        <f t="shared" ca="1" si="184"/>
        <v>-1.2878911524251822</v>
      </c>
      <c r="T869" s="14">
        <f t="shared" ca="1" si="185"/>
        <v>-0.28817389095983498</v>
      </c>
      <c r="U869" s="12">
        <f t="shared" ca="1" si="195"/>
        <v>7900</v>
      </c>
      <c r="V869" s="14">
        <f t="shared" ca="1" si="196"/>
        <v>-5049.3670886075952</v>
      </c>
      <c r="W869" s="12">
        <f t="shared" ca="1" si="186"/>
        <v>-2579.746835443038</v>
      </c>
      <c r="X869" s="7">
        <f ca="1">AVERAGE(E869:OFFSET(F869,-$X$5+1,0))</f>
        <v>10427.5</v>
      </c>
      <c r="Y869" s="7">
        <f ca="1">AVERAGE(E869:OFFSET(F869,-$Y$5+1,0))</f>
        <v>10340.299999999999</v>
      </c>
      <c r="Z869" s="7">
        <f t="shared" ca="1" si="188"/>
        <v>0</v>
      </c>
    </row>
    <row r="870" spans="1:26">
      <c r="A870" s="3" t="s">
        <v>66</v>
      </c>
      <c r="B870" s="4">
        <v>42936</v>
      </c>
      <c r="C870" s="3">
        <v>10411</v>
      </c>
      <c r="D870" s="3">
        <v>10420</v>
      </c>
      <c r="E870" s="3">
        <v>10370</v>
      </c>
      <c r="F870" s="3">
        <v>10390</v>
      </c>
      <c r="G870" s="3">
        <v>93671</v>
      </c>
      <c r="H870" s="3">
        <v>1.0449999999999999</v>
      </c>
      <c r="I870" s="2">
        <f t="shared" si="197"/>
        <v>0</v>
      </c>
      <c r="J870" s="10">
        <f t="shared" si="199"/>
        <v>-89</v>
      </c>
      <c r="K870" s="10">
        <f t="shared" si="198"/>
        <v>-21</v>
      </c>
      <c r="L870" s="10">
        <f t="shared" ca="1" si="187"/>
        <v>0</v>
      </c>
      <c r="M870" s="10">
        <f t="shared" ca="1" si="189"/>
        <v>0</v>
      </c>
      <c r="N870" s="30">
        <f t="shared" ca="1" si="190"/>
        <v>0</v>
      </c>
      <c r="O870" s="10">
        <f t="shared" ca="1" si="191"/>
        <v>0</v>
      </c>
      <c r="P870" s="29">
        <f t="shared" ca="1" si="192"/>
        <v>0</v>
      </c>
      <c r="Q870" s="12">
        <f t="shared" ca="1" si="193"/>
        <v>-391000</v>
      </c>
      <c r="R870" s="10">
        <f t="shared" ca="1" si="194"/>
        <v>0</v>
      </c>
      <c r="S870" s="10">
        <f t="shared" ca="1" si="184"/>
        <v>-1.2878911524251822</v>
      </c>
      <c r="T870" s="14">
        <f t="shared" ca="1" si="185"/>
        <v>-0.28895483656250875</v>
      </c>
      <c r="U870" s="12">
        <f t="shared" ca="1" si="195"/>
        <v>7900</v>
      </c>
      <c r="V870" s="14">
        <f t="shared" ca="1" si="196"/>
        <v>-5049.3670886075952</v>
      </c>
      <c r="W870" s="12">
        <f t="shared" ca="1" si="186"/>
        <v>-2579.746835443038</v>
      </c>
      <c r="X870" s="7">
        <f ca="1">AVERAGE(E870:OFFSET(F870,-$X$5+1,0))</f>
        <v>10424.4</v>
      </c>
      <c r="Y870" s="7">
        <f ca="1">AVERAGE(E870:OFFSET(F870,-$Y$5+1,0))</f>
        <v>10353.1</v>
      </c>
      <c r="Z870" s="7">
        <f t="shared" ca="1" si="188"/>
        <v>0</v>
      </c>
    </row>
    <row r="871" spans="1:26">
      <c r="A871" s="3" t="s">
        <v>66</v>
      </c>
      <c r="B871" s="4">
        <v>42937</v>
      </c>
      <c r="C871" s="3">
        <v>10378</v>
      </c>
      <c r="D871" s="3">
        <v>10383</v>
      </c>
      <c r="E871" s="3">
        <v>10324</v>
      </c>
      <c r="F871" s="3">
        <v>10329</v>
      </c>
      <c r="G871" s="3">
        <v>97427</v>
      </c>
      <c r="H871" s="3">
        <v>1.0449999999999999</v>
      </c>
      <c r="I871" s="2">
        <f t="shared" si="197"/>
        <v>0</v>
      </c>
      <c r="J871" s="10">
        <f t="shared" si="199"/>
        <v>-12</v>
      </c>
      <c r="K871" s="10">
        <f t="shared" si="198"/>
        <v>-49</v>
      </c>
      <c r="L871" s="10">
        <f t="shared" ca="1" si="187"/>
        <v>0</v>
      </c>
      <c r="M871" s="10">
        <f t="shared" ca="1" si="189"/>
        <v>0</v>
      </c>
      <c r="N871" s="30">
        <f t="shared" ca="1" si="190"/>
        <v>0</v>
      </c>
      <c r="O871" s="10">
        <f t="shared" ca="1" si="191"/>
        <v>0</v>
      </c>
      <c r="P871" s="29">
        <f t="shared" ca="1" si="192"/>
        <v>0</v>
      </c>
      <c r="Q871" s="12">
        <f t="shared" ca="1" si="193"/>
        <v>-391000</v>
      </c>
      <c r="R871" s="10">
        <f t="shared" ca="1" si="194"/>
        <v>0</v>
      </c>
      <c r="S871" s="10">
        <f t="shared" ca="1" si="184"/>
        <v>-1.2878911524251822</v>
      </c>
      <c r="T871" s="14">
        <f t="shared" ca="1" si="185"/>
        <v>-0.28904579942370462</v>
      </c>
      <c r="U871" s="12">
        <f t="shared" ca="1" si="195"/>
        <v>7900</v>
      </c>
      <c r="V871" s="14">
        <f t="shared" ca="1" si="196"/>
        <v>-5049.3670886075952</v>
      </c>
      <c r="W871" s="12">
        <f t="shared" ca="1" si="186"/>
        <v>-2579.746835443038</v>
      </c>
      <c r="X871" s="7">
        <f ca="1">AVERAGE(E871:OFFSET(F871,-$X$5+1,0))</f>
        <v>10410.299999999999</v>
      </c>
      <c r="Y871" s="7">
        <f ca="1">AVERAGE(E871:OFFSET(F871,-$Y$5+1,0))</f>
        <v>10365.85</v>
      </c>
      <c r="Z871" s="7">
        <f t="shared" ca="1" si="188"/>
        <v>0</v>
      </c>
    </row>
    <row r="872" spans="1:26">
      <c r="A872" s="3" t="s">
        <v>66</v>
      </c>
      <c r="B872" s="4">
        <v>42940</v>
      </c>
      <c r="C872" s="3">
        <v>10300</v>
      </c>
      <c r="D872" s="3">
        <v>10364</v>
      </c>
      <c r="E872" s="3">
        <v>10285</v>
      </c>
      <c r="F872" s="3">
        <v>10362</v>
      </c>
      <c r="G872" s="3">
        <v>97402</v>
      </c>
      <c r="H872" s="3">
        <v>1.0449999999999999</v>
      </c>
      <c r="I872" s="2">
        <f t="shared" si="197"/>
        <v>0</v>
      </c>
      <c r="J872" s="10">
        <f t="shared" si="199"/>
        <v>-29</v>
      </c>
      <c r="K872" s="10">
        <f t="shared" si="198"/>
        <v>62</v>
      </c>
      <c r="L872" s="10">
        <f t="shared" ca="1" si="187"/>
        <v>0</v>
      </c>
      <c r="M872" s="10">
        <f t="shared" ca="1" si="189"/>
        <v>0</v>
      </c>
      <c r="N872" s="30">
        <f t="shared" ca="1" si="190"/>
        <v>0</v>
      </c>
      <c r="O872" s="10">
        <f t="shared" ca="1" si="191"/>
        <v>0</v>
      </c>
      <c r="P872" s="29">
        <f t="shared" ca="1" si="192"/>
        <v>0</v>
      </c>
      <c r="Q872" s="12">
        <f t="shared" ca="1" si="193"/>
        <v>-391000</v>
      </c>
      <c r="R872" s="10">
        <f t="shared" ca="1" si="194"/>
        <v>0</v>
      </c>
      <c r="S872" s="10">
        <f t="shared" ca="1" si="184"/>
        <v>-1.4473938009110199</v>
      </c>
      <c r="T872" s="14">
        <f t="shared" ca="1" si="185"/>
        <v>-0.30873899086911799</v>
      </c>
      <c r="U872" s="12">
        <f t="shared" ca="1" si="195"/>
        <v>7900</v>
      </c>
      <c r="V872" s="14">
        <f t="shared" ca="1" si="196"/>
        <v>-5049.3670886075952</v>
      </c>
      <c r="W872" s="12">
        <f t="shared" ca="1" si="186"/>
        <v>-2774.6835443037976</v>
      </c>
      <c r="X872" s="7">
        <f ca="1">AVERAGE(E872:OFFSET(F872,-$X$5+1,0))</f>
        <v>10390</v>
      </c>
      <c r="Y872" s="7">
        <f ca="1">AVERAGE(E872:OFFSET(F872,-$Y$5+1,0))</f>
        <v>10378.700000000001</v>
      </c>
      <c r="Z872" s="7">
        <f t="shared" ca="1" si="188"/>
        <v>0</v>
      </c>
    </row>
    <row r="873" spans="1:26">
      <c r="A873" s="3" t="s">
        <v>66</v>
      </c>
      <c r="B873" s="4">
        <v>42941</v>
      </c>
      <c r="C873" s="3">
        <v>10373</v>
      </c>
      <c r="D873" s="3">
        <v>10387</v>
      </c>
      <c r="E873" s="3">
        <v>10338</v>
      </c>
      <c r="F873" s="3">
        <v>10363</v>
      </c>
      <c r="G873" s="3">
        <v>90979</v>
      </c>
      <c r="H873" s="3">
        <v>1.0449999999999999</v>
      </c>
      <c r="I873" s="2">
        <f t="shared" si="197"/>
        <v>0</v>
      </c>
      <c r="J873" s="10">
        <f t="shared" si="199"/>
        <v>11</v>
      </c>
      <c r="K873" s="10">
        <f t="shared" si="198"/>
        <v>-10</v>
      </c>
      <c r="L873" s="10">
        <f t="shared" ca="1" si="187"/>
        <v>-1</v>
      </c>
      <c r="M873" s="10">
        <f t="shared" ca="1" si="189"/>
        <v>0</v>
      </c>
      <c r="N873" s="30">
        <f t="shared" ca="1" si="190"/>
        <v>0</v>
      </c>
      <c r="O873" s="10">
        <f t="shared" ca="1" si="191"/>
        <v>0</v>
      </c>
      <c r="P873" s="29">
        <f t="shared" ca="1" si="192"/>
        <v>0</v>
      </c>
      <c r="Q873" s="12">
        <f t="shared" ca="1" si="193"/>
        <v>-391000</v>
      </c>
      <c r="R873" s="10">
        <f t="shared" ca="1" si="194"/>
        <v>0</v>
      </c>
      <c r="S873" s="10">
        <f t="shared" ca="1" si="184"/>
        <v>-1.2277994569491224</v>
      </c>
      <c r="T873" s="14">
        <f t="shared" ca="1" si="185"/>
        <v>-0.28211259840354458</v>
      </c>
      <c r="U873" s="12">
        <f t="shared" ca="1" si="195"/>
        <v>7900</v>
      </c>
      <c r="V873" s="14">
        <f t="shared" ca="1" si="196"/>
        <v>-5049.3670886075952</v>
      </c>
      <c r="W873" s="12">
        <f t="shared" ca="1" si="186"/>
        <v>-2774.6835443037976</v>
      </c>
      <c r="X873" s="7">
        <f ca="1">AVERAGE(E873:OFFSET(F873,-$X$5+1,0))</f>
        <v>10373.200000000001</v>
      </c>
      <c r="Y873" s="7">
        <f ca="1">AVERAGE(E873:OFFSET(F873,-$Y$5+1,0))</f>
        <v>10385.25</v>
      </c>
      <c r="Z873" s="7">
        <f t="shared" ca="1" si="188"/>
        <v>-1</v>
      </c>
    </row>
    <row r="874" spans="1:26">
      <c r="A874" s="3" t="s">
        <v>66</v>
      </c>
      <c r="B874" s="4">
        <v>42942</v>
      </c>
      <c r="C874" s="3">
        <v>10386</v>
      </c>
      <c r="D874" s="3">
        <v>10421</v>
      </c>
      <c r="E874" s="3">
        <v>10320</v>
      </c>
      <c r="F874" s="3">
        <v>10329</v>
      </c>
      <c r="G874" s="3">
        <v>140086</v>
      </c>
      <c r="H874" s="3">
        <v>1.0449999999999999</v>
      </c>
      <c r="I874" s="2">
        <f t="shared" si="197"/>
        <v>0</v>
      </c>
      <c r="J874" s="10">
        <f t="shared" si="199"/>
        <v>23</v>
      </c>
      <c r="K874" s="10">
        <f t="shared" si="198"/>
        <v>-57</v>
      </c>
      <c r="L874" s="10">
        <f t="shared" ca="1" si="187"/>
        <v>0</v>
      </c>
      <c r="M874" s="10">
        <f t="shared" ca="1" si="189"/>
        <v>-1</v>
      </c>
      <c r="N874" s="30">
        <f t="shared" ca="1" si="190"/>
        <v>0</v>
      </c>
      <c r="O874" s="10">
        <f t="shared" ca="1" si="191"/>
        <v>2077200</v>
      </c>
      <c r="P874" s="29">
        <f t="shared" ca="1" si="192"/>
        <v>10900</v>
      </c>
      <c r="Q874" s="12">
        <f t="shared" ca="1" si="193"/>
        <v>-380100</v>
      </c>
      <c r="R874" s="10">
        <f t="shared" ca="1" si="194"/>
        <v>0.52474484883497019</v>
      </c>
      <c r="S874" s="10">
        <f t="shared" ca="1" si="184"/>
        <v>-1.1832870899298189</v>
      </c>
      <c r="T874" s="14">
        <f t="shared" ca="1" si="185"/>
        <v>-0.2773043657498333</v>
      </c>
      <c r="U874" s="12">
        <f t="shared" ca="1" si="195"/>
        <v>7900</v>
      </c>
      <c r="V874" s="14">
        <f t="shared" ca="1" si="196"/>
        <v>-4911.3924050632913</v>
      </c>
      <c r="W874" s="12">
        <f t="shared" ca="1" si="186"/>
        <v>-2774.6835443037976</v>
      </c>
      <c r="X874" s="7">
        <f ca="1">AVERAGE(E874:OFFSET(F874,-$X$5+1,0))</f>
        <v>10341</v>
      </c>
      <c r="Y874" s="7">
        <f ca="1">AVERAGE(E874:OFFSET(F874,-$Y$5+1,0))</f>
        <v>10384.25</v>
      </c>
      <c r="Z874" s="7">
        <f t="shared" ca="1" si="188"/>
        <v>0</v>
      </c>
    </row>
    <row r="875" spans="1:26">
      <c r="A875" s="3" t="s">
        <v>66</v>
      </c>
      <c r="B875" s="4">
        <v>42943</v>
      </c>
      <c r="C875" s="3">
        <v>10365</v>
      </c>
      <c r="D875" s="3">
        <v>10462</v>
      </c>
      <c r="E875" s="3">
        <v>10362</v>
      </c>
      <c r="F875" s="3">
        <v>10448</v>
      </c>
      <c r="G875" s="3">
        <v>131417</v>
      </c>
      <c r="H875" s="3">
        <v>1.0449999999999999</v>
      </c>
      <c r="I875" s="2">
        <f t="shared" si="197"/>
        <v>0</v>
      </c>
      <c r="J875" s="10">
        <f t="shared" si="199"/>
        <v>36</v>
      </c>
      <c r="K875" s="10">
        <f t="shared" si="198"/>
        <v>83</v>
      </c>
      <c r="L875" s="10">
        <f t="shared" ca="1" si="187"/>
        <v>0</v>
      </c>
      <c r="M875" s="10">
        <f t="shared" ca="1" si="189"/>
        <v>-1</v>
      </c>
      <c r="N875" s="30">
        <f t="shared" ca="1" si="190"/>
        <v>0</v>
      </c>
      <c r="O875" s="10">
        <f t="shared" ca="1" si="191"/>
        <v>2077200</v>
      </c>
      <c r="P875" s="29">
        <f t="shared" ca="1" si="192"/>
        <v>-23800</v>
      </c>
      <c r="Q875" s="12">
        <f t="shared" ca="1" si="193"/>
        <v>-403900</v>
      </c>
      <c r="R875" s="10">
        <f t="shared" ca="1" si="194"/>
        <v>-1.1457731561717697</v>
      </c>
      <c r="S875" s="10">
        <f t="shared" ca="1" si="184"/>
        <v>-1.3598528124397229</v>
      </c>
      <c r="T875" s="14">
        <f t="shared" ca="1" si="185"/>
        <v>-0.29713368402635199</v>
      </c>
      <c r="U875" s="12">
        <f t="shared" ca="1" si="195"/>
        <v>7900</v>
      </c>
      <c r="V875" s="14">
        <f t="shared" ca="1" si="196"/>
        <v>-5212.658227848101</v>
      </c>
      <c r="W875" s="12">
        <f t="shared" ca="1" si="186"/>
        <v>-2774.6835443037976</v>
      </c>
      <c r="X875" s="7">
        <f ca="1">AVERAGE(E875:OFFSET(F875,-$X$5+1,0))</f>
        <v>10346</v>
      </c>
      <c r="Y875" s="7">
        <f ca="1">AVERAGE(E875:OFFSET(F875,-$Y$5+1,0))</f>
        <v>10385.200000000001</v>
      </c>
      <c r="Z875" s="7">
        <f t="shared" ca="1" si="188"/>
        <v>0</v>
      </c>
    </row>
    <row r="876" spans="1:26">
      <c r="A876" s="3" t="s">
        <v>66</v>
      </c>
      <c r="B876" s="4">
        <v>42944</v>
      </c>
      <c r="C876" s="3">
        <v>10395</v>
      </c>
      <c r="D876" s="3">
        <v>10403</v>
      </c>
      <c r="E876" s="3">
        <v>10324</v>
      </c>
      <c r="F876" s="3">
        <v>10340</v>
      </c>
      <c r="G876" s="3">
        <v>128958</v>
      </c>
      <c r="H876" s="3">
        <v>1.0449999999999999</v>
      </c>
      <c r="I876" s="2">
        <f t="shared" si="197"/>
        <v>0</v>
      </c>
      <c r="J876" s="10">
        <f t="shared" si="199"/>
        <v>-53</v>
      </c>
      <c r="K876" s="10">
        <f t="shared" si="198"/>
        <v>-55</v>
      </c>
      <c r="L876" s="10">
        <f t="shared" ca="1" si="187"/>
        <v>0</v>
      </c>
      <c r="M876" s="10">
        <f t="shared" ca="1" si="189"/>
        <v>-1</v>
      </c>
      <c r="N876" s="30">
        <f t="shared" ca="1" si="190"/>
        <v>0</v>
      </c>
      <c r="O876" s="10">
        <f t="shared" ca="1" si="191"/>
        <v>2077200</v>
      </c>
      <c r="P876" s="29">
        <f t="shared" ca="1" si="192"/>
        <v>21600</v>
      </c>
      <c r="Q876" s="12">
        <f t="shared" ca="1" si="193"/>
        <v>-382300</v>
      </c>
      <c r="R876" s="10">
        <f t="shared" ca="1" si="194"/>
        <v>1.0398613518197575</v>
      </c>
      <c r="S876" s="10">
        <f t="shared" ref="S876:S939" ca="1" si="200">100*SUM(P637:P876)/SUM(N637:N876)</f>
        <v>-1.1996082911702302</v>
      </c>
      <c r="T876" s="14">
        <f t="shared" ca="1" si="185"/>
        <v>-0.2751535483119793</v>
      </c>
      <c r="U876" s="12">
        <f t="shared" ca="1" si="195"/>
        <v>7900</v>
      </c>
      <c r="V876" s="14">
        <f t="shared" ca="1" si="196"/>
        <v>-4939.2405063291135</v>
      </c>
      <c r="W876" s="12">
        <f t="shared" ca="1" si="186"/>
        <v>-2774.6835443037976</v>
      </c>
      <c r="X876" s="7">
        <f ca="1">AVERAGE(E876:OFFSET(F876,-$X$5+1,0))</f>
        <v>10347.1</v>
      </c>
      <c r="Y876" s="7">
        <f ca="1">AVERAGE(E876:OFFSET(F876,-$Y$5+1,0))</f>
        <v>10378.700000000001</v>
      </c>
      <c r="Z876" s="7">
        <f t="shared" ca="1" si="188"/>
        <v>0</v>
      </c>
    </row>
    <row r="877" spans="1:26">
      <c r="A877" s="3" t="s">
        <v>66</v>
      </c>
      <c r="B877" s="4">
        <v>42947</v>
      </c>
      <c r="C877" s="3">
        <v>10333</v>
      </c>
      <c r="D877" s="3">
        <v>10363</v>
      </c>
      <c r="E877" s="3">
        <v>10289</v>
      </c>
      <c r="F877" s="3">
        <v>10355</v>
      </c>
      <c r="G877" s="3">
        <v>108339</v>
      </c>
      <c r="H877" s="3">
        <v>1.0449999999999999</v>
      </c>
      <c r="I877" s="2">
        <f t="shared" si="197"/>
        <v>0</v>
      </c>
      <c r="J877" s="10">
        <f t="shared" si="199"/>
        <v>-7</v>
      </c>
      <c r="K877" s="10">
        <f t="shared" si="198"/>
        <v>22</v>
      </c>
      <c r="L877" s="10">
        <f t="shared" ca="1" si="187"/>
        <v>0</v>
      </c>
      <c r="M877" s="10">
        <f t="shared" ca="1" si="189"/>
        <v>-1</v>
      </c>
      <c r="N877" s="30">
        <f t="shared" ca="1" si="190"/>
        <v>0</v>
      </c>
      <c r="O877" s="10">
        <f t="shared" ca="1" si="191"/>
        <v>2077200</v>
      </c>
      <c r="P877" s="29">
        <f t="shared" ca="1" si="192"/>
        <v>-3000</v>
      </c>
      <c r="Q877" s="12">
        <f t="shared" ca="1" si="193"/>
        <v>-385300</v>
      </c>
      <c r="R877" s="10">
        <f t="shared" ca="1" si="194"/>
        <v>-0.14442518775274407</v>
      </c>
      <c r="S877" s="10">
        <f t="shared" ca="1" si="200"/>
        <v>-1.2218644746798819</v>
      </c>
      <c r="T877" s="14">
        <f t="shared" ref="T877:T940" ca="1" si="201">(S877-AVERAGE(H608:H877))/(_xlfn.STDEV.S(R608:R877)*SQRT(240))</f>
        <v>-0.27782298186254867</v>
      </c>
      <c r="U877" s="12">
        <f t="shared" ca="1" si="195"/>
        <v>7900</v>
      </c>
      <c r="V877" s="14">
        <f t="shared" ca="1" si="196"/>
        <v>-4977.2151898734173</v>
      </c>
      <c r="W877" s="12">
        <f t="shared" ref="W877:W940" ca="1" si="202">MAX(V638:V877)</f>
        <v>-2774.6835443037976</v>
      </c>
      <c r="X877" s="7">
        <f ca="1">AVERAGE(E877:OFFSET(F877,-$X$5+1,0))</f>
        <v>10346.799999999999</v>
      </c>
      <c r="Y877" s="7">
        <f ca="1">AVERAGE(E877:OFFSET(F877,-$Y$5+1,0))</f>
        <v>10368.4</v>
      </c>
      <c r="Z877" s="7">
        <f t="shared" ca="1" si="188"/>
        <v>0</v>
      </c>
    </row>
    <row r="878" spans="1:26">
      <c r="A878" s="3" t="s">
        <v>66</v>
      </c>
      <c r="B878" s="4">
        <v>42948</v>
      </c>
      <c r="C878" s="3">
        <v>10368</v>
      </c>
      <c r="D878" s="3">
        <v>10424</v>
      </c>
      <c r="E878" s="3">
        <v>10361</v>
      </c>
      <c r="F878" s="3">
        <v>10367</v>
      </c>
      <c r="G878" s="3">
        <v>124991</v>
      </c>
      <c r="H878" s="3">
        <v>1.0449999999999999</v>
      </c>
      <c r="I878" s="2">
        <f t="shared" si="197"/>
        <v>0</v>
      </c>
      <c r="J878" s="10">
        <f t="shared" si="199"/>
        <v>13</v>
      </c>
      <c r="K878" s="10">
        <f t="shared" si="198"/>
        <v>-1</v>
      </c>
      <c r="L878" s="10">
        <f t="shared" ca="1" si="187"/>
        <v>0</v>
      </c>
      <c r="M878" s="10">
        <f t="shared" ca="1" si="189"/>
        <v>-1</v>
      </c>
      <c r="N878" s="30">
        <f t="shared" ca="1" si="190"/>
        <v>0</v>
      </c>
      <c r="O878" s="10">
        <f t="shared" ca="1" si="191"/>
        <v>2077200</v>
      </c>
      <c r="P878" s="29">
        <f t="shared" ca="1" si="192"/>
        <v>-2400</v>
      </c>
      <c r="Q878" s="12">
        <f t="shared" ca="1" si="193"/>
        <v>-387700</v>
      </c>
      <c r="R878" s="10">
        <f t="shared" ca="1" si="194"/>
        <v>-0.11554015020219527</v>
      </c>
      <c r="S878" s="10">
        <f t="shared" ca="1" si="200"/>
        <v>-1.2396694214876034</v>
      </c>
      <c r="T878" s="14">
        <f t="shared" ca="1" si="201"/>
        <v>-0.30312059914761769</v>
      </c>
      <c r="U878" s="12">
        <f t="shared" ca="1" si="195"/>
        <v>7900</v>
      </c>
      <c r="V878" s="14">
        <f t="shared" ca="1" si="196"/>
        <v>-5007.5949367088606</v>
      </c>
      <c r="W878" s="12">
        <f t="shared" ca="1" si="202"/>
        <v>-2774.6835443037976</v>
      </c>
      <c r="X878" s="7">
        <f ca="1">AVERAGE(E878:OFFSET(F878,-$X$5+1,0))</f>
        <v>10349.5</v>
      </c>
      <c r="Y878" s="7">
        <f ca="1">AVERAGE(E878:OFFSET(F878,-$Y$5+1,0))</f>
        <v>10361.35</v>
      </c>
      <c r="Z878" s="7">
        <f t="shared" ca="1" si="188"/>
        <v>0</v>
      </c>
    </row>
    <row r="879" spans="1:26">
      <c r="A879" s="3" t="s">
        <v>66</v>
      </c>
      <c r="B879" s="4">
        <v>42949</v>
      </c>
      <c r="C879" s="3">
        <v>10420</v>
      </c>
      <c r="D879" s="3">
        <v>10471</v>
      </c>
      <c r="E879" s="3">
        <v>10415</v>
      </c>
      <c r="F879" s="3">
        <v>10453</v>
      </c>
      <c r="G879" s="3">
        <v>119144</v>
      </c>
      <c r="H879" s="3">
        <v>1.0449999999999999</v>
      </c>
      <c r="I879" s="2">
        <f t="shared" si="197"/>
        <v>0</v>
      </c>
      <c r="J879" s="10">
        <f t="shared" si="199"/>
        <v>53</v>
      </c>
      <c r="K879" s="10">
        <f t="shared" si="198"/>
        <v>33</v>
      </c>
      <c r="L879" s="10">
        <f t="shared" ca="1" si="187"/>
        <v>1</v>
      </c>
      <c r="M879" s="10">
        <f t="shared" ca="1" si="189"/>
        <v>-1</v>
      </c>
      <c r="N879" s="30">
        <f t="shared" ca="1" si="190"/>
        <v>0</v>
      </c>
      <c r="O879" s="10">
        <f t="shared" ca="1" si="191"/>
        <v>2077200</v>
      </c>
      <c r="P879" s="29">
        <f t="shared" ca="1" si="192"/>
        <v>-17200</v>
      </c>
      <c r="Q879" s="12">
        <f t="shared" ca="1" si="193"/>
        <v>-404900</v>
      </c>
      <c r="R879" s="10">
        <f t="shared" ca="1" si="194"/>
        <v>-0.82803774311573275</v>
      </c>
      <c r="S879" s="10">
        <f t="shared" ca="1" si="200"/>
        <v>-1.3672715402762734</v>
      </c>
      <c r="T879" s="14">
        <f t="shared" ca="1" si="201"/>
        <v>-0.32101298034320291</v>
      </c>
      <c r="U879" s="12">
        <f t="shared" ca="1" si="195"/>
        <v>7900</v>
      </c>
      <c r="V879" s="14">
        <f t="shared" ca="1" si="196"/>
        <v>-5225.3164556962029</v>
      </c>
      <c r="W879" s="12">
        <f t="shared" ca="1" si="202"/>
        <v>-2774.6835443037976</v>
      </c>
      <c r="X879" s="7">
        <f ca="1">AVERAGE(E879:OFFSET(F879,-$X$5+1,0))</f>
        <v>10371.4</v>
      </c>
      <c r="Y879" s="7">
        <f ca="1">AVERAGE(E879:OFFSET(F879,-$Y$5+1,0))</f>
        <v>10356.200000000001</v>
      </c>
      <c r="Z879" s="7">
        <f t="shared" ca="1" si="188"/>
        <v>1</v>
      </c>
    </row>
    <row r="880" spans="1:26">
      <c r="A880" s="3" t="s">
        <v>66</v>
      </c>
      <c r="B880" s="4">
        <v>42950</v>
      </c>
      <c r="C880" s="3">
        <v>10420</v>
      </c>
      <c r="D880" s="3">
        <v>10430</v>
      </c>
      <c r="E880" s="3">
        <v>9408</v>
      </c>
      <c r="F880" s="3">
        <v>10406</v>
      </c>
      <c r="G880" s="3">
        <v>135087</v>
      </c>
      <c r="H880" s="3">
        <v>1.0449999999999999</v>
      </c>
      <c r="I880" s="2">
        <f t="shared" si="197"/>
        <v>0</v>
      </c>
      <c r="J880" s="10">
        <f t="shared" si="199"/>
        <v>-33</v>
      </c>
      <c r="K880" s="10">
        <f t="shared" si="198"/>
        <v>-14</v>
      </c>
      <c r="L880" s="10">
        <f t="shared" ca="1" si="187"/>
        <v>-1</v>
      </c>
      <c r="M880" s="10">
        <f t="shared" ca="1" si="189"/>
        <v>0</v>
      </c>
      <c r="N880" s="30">
        <f t="shared" ca="1" si="190"/>
        <v>0</v>
      </c>
      <c r="O880" s="10">
        <f t="shared" ca="1" si="191"/>
        <v>0</v>
      </c>
      <c r="P880" s="29">
        <f t="shared" ca="1" si="192"/>
        <v>6100</v>
      </c>
      <c r="Q880" s="12">
        <f t="shared" ca="1" si="193"/>
        <v>-398800</v>
      </c>
      <c r="R880" s="10">
        <f t="shared" ca="1" si="194"/>
        <v>0.29366454843057965</v>
      </c>
      <c r="S880" s="10">
        <f t="shared" ca="1" si="200"/>
        <v>-1.3220173004733149</v>
      </c>
      <c r="T880" s="14">
        <f t="shared" ca="1" si="201"/>
        <v>-0.31545122329021774</v>
      </c>
      <c r="U880" s="12">
        <f t="shared" ca="1" si="195"/>
        <v>7900</v>
      </c>
      <c r="V880" s="14">
        <f t="shared" ca="1" si="196"/>
        <v>-5148.1012658227846</v>
      </c>
      <c r="W880" s="12">
        <f t="shared" ca="1" si="202"/>
        <v>-2774.6835443037976</v>
      </c>
      <c r="X880" s="7">
        <f ca="1">AVERAGE(E880:OFFSET(F880,-$X$5+1,0))</f>
        <v>10271.799999999999</v>
      </c>
      <c r="Y880" s="7">
        <f ca="1">AVERAGE(E880:OFFSET(F880,-$Y$5+1,0))</f>
        <v>10308.9</v>
      </c>
      <c r="Z880" s="7">
        <f t="shared" ca="1" si="188"/>
        <v>-1</v>
      </c>
    </row>
    <row r="881" spans="1:26">
      <c r="A881" s="3" t="s">
        <v>66</v>
      </c>
      <c r="B881" s="4">
        <v>42951</v>
      </c>
      <c r="C881" s="3">
        <v>10401</v>
      </c>
      <c r="D881" s="3">
        <v>10456</v>
      </c>
      <c r="E881" s="3">
        <v>10401</v>
      </c>
      <c r="F881" s="3">
        <v>10439</v>
      </c>
      <c r="G881" s="3">
        <v>82751</v>
      </c>
      <c r="H881" s="3">
        <v>1.0449999999999999</v>
      </c>
      <c r="I881" s="2">
        <f t="shared" si="197"/>
        <v>0</v>
      </c>
      <c r="J881" s="10">
        <f t="shared" si="199"/>
        <v>-5</v>
      </c>
      <c r="K881" s="10">
        <f t="shared" si="198"/>
        <v>38</v>
      </c>
      <c r="L881" s="10">
        <f t="shared" ca="1" si="187"/>
        <v>0</v>
      </c>
      <c r="M881" s="10">
        <f t="shared" ca="1" si="189"/>
        <v>-1</v>
      </c>
      <c r="N881" s="30">
        <f t="shared" ca="1" si="190"/>
        <v>0</v>
      </c>
      <c r="O881" s="10">
        <f t="shared" ca="1" si="191"/>
        <v>2080200</v>
      </c>
      <c r="P881" s="29">
        <f t="shared" ca="1" si="192"/>
        <v>-8100</v>
      </c>
      <c r="Q881" s="12">
        <f t="shared" ca="1" si="193"/>
        <v>-406900</v>
      </c>
      <c r="R881" s="10">
        <f t="shared" ca="1" si="194"/>
        <v>-0.3893856359965388</v>
      </c>
      <c r="S881" s="10">
        <f t="shared" ca="1" si="200"/>
        <v>-1.3821089959493746</v>
      </c>
      <c r="T881" s="14">
        <f t="shared" ca="1" si="201"/>
        <v>-0.32427581831894664</v>
      </c>
      <c r="U881" s="12">
        <f t="shared" ca="1" si="195"/>
        <v>7900</v>
      </c>
      <c r="V881" s="14">
        <f t="shared" ca="1" si="196"/>
        <v>-5250.6329113924048</v>
      </c>
      <c r="W881" s="12">
        <f t="shared" ca="1" si="202"/>
        <v>-2774.6835443037976</v>
      </c>
      <c r="X881" s="7">
        <f ca="1">AVERAGE(E881:OFFSET(F881,-$X$5+1,0))</f>
        <v>10289.4</v>
      </c>
      <c r="Y881" s="7">
        <f ca="1">AVERAGE(E881:OFFSET(F881,-$Y$5+1,0))</f>
        <v>10318.25</v>
      </c>
      <c r="Z881" s="7">
        <f t="shared" ca="1" si="188"/>
        <v>0</v>
      </c>
    </row>
    <row r="882" spans="1:26">
      <c r="A882" s="3" t="s">
        <v>66</v>
      </c>
      <c r="B882" s="4">
        <v>42954</v>
      </c>
      <c r="C882" s="3">
        <v>10476</v>
      </c>
      <c r="D882" s="3">
        <v>10539</v>
      </c>
      <c r="E882" s="3">
        <v>10475</v>
      </c>
      <c r="F882" s="3">
        <v>10529</v>
      </c>
      <c r="G882" s="3">
        <v>91398</v>
      </c>
      <c r="H882" s="3">
        <v>1.0449999999999999</v>
      </c>
      <c r="I882" s="2">
        <f t="shared" si="197"/>
        <v>0</v>
      </c>
      <c r="J882" s="10">
        <f t="shared" si="199"/>
        <v>37</v>
      </c>
      <c r="K882" s="10">
        <f t="shared" si="198"/>
        <v>53</v>
      </c>
      <c r="L882" s="10">
        <f t="shared" ca="1" si="187"/>
        <v>0</v>
      </c>
      <c r="M882" s="10">
        <f t="shared" ca="1" si="189"/>
        <v>-1</v>
      </c>
      <c r="N882" s="30">
        <f t="shared" ca="1" si="190"/>
        <v>0</v>
      </c>
      <c r="O882" s="10">
        <f t="shared" ca="1" si="191"/>
        <v>2080200</v>
      </c>
      <c r="P882" s="29">
        <f t="shared" ca="1" si="192"/>
        <v>-18000</v>
      </c>
      <c r="Q882" s="12">
        <f t="shared" ca="1" si="193"/>
        <v>-424900</v>
      </c>
      <c r="R882" s="10">
        <f t="shared" ca="1" si="194"/>
        <v>-0.86530141332564181</v>
      </c>
      <c r="S882" s="10">
        <f t="shared" ca="1" si="200"/>
        <v>-1.5156460970072851</v>
      </c>
      <c r="T882" s="14">
        <f t="shared" ca="1" si="201"/>
        <v>-0.34263173502113636</v>
      </c>
      <c r="U882" s="12">
        <f t="shared" ca="1" si="195"/>
        <v>7900</v>
      </c>
      <c r="V882" s="14">
        <f t="shared" ca="1" si="196"/>
        <v>-5478.4810126582279</v>
      </c>
      <c r="W882" s="12">
        <f t="shared" ca="1" si="202"/>
        <v>-2774.6835443037976</v>
      </c>
      <c r="X882" s="7">
        <f ca="1">AVERAGE(E882:OFFSET(F882,-$X$5+1,0))</f>
        <v>10325.4</v>
      </c>
      <c r="Y882" s="7">
        <f ca="1">AVERAGE(E882:OFFSET(F882,-$Y$5+1,0))</f>
        <v>10336.1</v>
      </c>
      <c r="Z882" s="7">
        <f t="shared" ca="1" si="188"/>
        <v>0</v>
      </c>
    </row>
    <row r="883" spans="1:26">
      <c r="A883" s="3" t="s">
        <v>66</v>
      </c>
      <c r="B883" s="4">
        <v>42955</v>
      </c>
      <c r="C883" s="3">
        <v>10558</v>
      </c>
      <c r="D883" s="3">
        <v>10567</v>
      </c>
      <c r="E883" s="3">
        <v>10485</v>
      </c>
      <c r="F883" s="3">
        <v>10526</v>
      </c>
      <c r="G883" s="3">
        <v>116754</v>
      </c>
      <c r="H883" s="3">
        <v>1.0449999999999999</v>
      </c>
      <c r="I883" s="2">
        <f t="shared" si="197"/>
        <v>0</v>
      </c>
      <c r="J883" s="10">
        <f t="shared" si="199"/>
        <v>29</v>
      </c>
      <c r="K883" s="10">
        <f t="shared" si="198"/>
        <v>-32</v>
      </c>
      <c r="L883" s="10">
        <f t="shared" ca="1" si="187"/>
        <v>1</v>
      </c>
      <c r="M883" s="10">
        <f t="shared" ca="1" si="189"/>
        <v>-1</v>
      </c>
      <c r="N883" s="30">
        <f t="shared" ca="1" si="190"/>
        <v>0</v>
      </c>
      <c r="O883" s="10">
        <f t="shared" ca="1" si="191"/>
        <v>2080200</v>
      </c>
      <c r="P883" s="29">
        <f t="shared" ca="1" si="192"/>
        <v>600</v>
      </c>
      <c r="Q883" s="12">
        <f t="shared" ca="1" si="193"/>
        <v>-424300</v>
      </c>
      <c r="R883" s="10">
        <f t="shared" ca="1" si="194"/>
        <v>2.884338044418806E-2</v>
      </c>
      <c r="S883" s="10">
        <f t="shared" ca="1" si="200"/>
        <v>-1.5111948603053549</v>
      </c>
      <c r="T883" s="14">
        <f t="shared" ca="1" si="201"/>
        <v>-0.3463365242910626</v>
      </c>
      <c r="U883" s="12">
        <f t="shared" ca="1" si="195"/>
        <v>7900</v>
      </c>
      <c r="V883" s="14">
        <f t="shared" ca="1" si="196"/>
        <v>-5470.8860759493673</v>
      </c>
      <c r="W883" s="12">
        <f t="shared" ca="1" si="202"/>
        <v>-2774.6835443037976</v>
      </c>
      <c r="X883" s="7">
        <f ca="1">AVERAGE(E883:OFFSET(F883,-$X$5+1,0))</f>
        <v>10353.700000000001</v>
      </c>
      <c r="Y883" s="7">
        <f ca="1">AVERAGE(E883:OFFSET(F883,-$Y$5+1,0))</f>
        <v>10351.6</v>
      </c>
      <c r="Z883" s="7">
        <f t="shared" ca="1" si="188"/>
        <v>1</v>
      </c>
    </row>
    <row r="884" spans="1:26">
      <c r="A884" s="3" t="s">
        <v>66</v>
      </c>
      <c r="B884" s="4">
        <v>42956</v>
      </c>
      <c r="C884" s="3">
        <v>10466</v>
      </c>
      <c r="D884" s="3">
        <v>10497</v>
      </c>
      <c r="E884" s="3">
        <v>10436</v>
      </c>
      <c r="F884" s="3">
        <v>10453</v>
      </c>
      <c r="G884" s="3">
        <v>139249</v>
      </c>
      <c r="H884" s="3">
        <v>1.0449999999999999</v>
      </c>
      <c r="I884" s="2">
        <f t="shared" si="197"/>
        <v>0</v>
      </c>
      <c r="J884" s="10">
        <f t="shared" si="199"/>
        <v>-60</v>
      </c>
      <c r="K884" s="10">
        <f t="shared" si="198"/>
        <v>-13</v>
      </c>
      <c r="L884" s="10">
        <f t="shared" ca="1" si="187"/>
        <v>-1</v>
      </c>
      <c r="M884" s="10">
        <f t="shared" ca="1" si="189"/>
        <v>0</v>
      </c>
      <c r="N884" s="30">
        <f t="shared" ca="1" si="190"/>
        <v>0</v>
      </c>
      <c r="O884" s="10">
        <f t="shared" ca="1" si="191"/>
        <v>0</v>
      </c>
      <c r="P884" s="29">
        <f t="shared" ca="1" si="192"/>
        <v>11500</v>
      </c>
      <c r="Q884" s="12">
        <f t="shared" ca="1" si="193"/>
        <v>-412800</v>
      </c>
      <c r="R884" s="10">
        <f t="shared" ca="1" si="194"/>
        <v>0.55283145851360449</v>
      </c>
      <c r="S884" s="10">
        <f t="shared" ca="1" si="200"/>
        <v>-1.4258794901850231</v>
      </c>
      <c r="T884" s="14">
        <f t="shared" ca="1" si="201"/>
        <v>-0.3337821871112982</v>
      </c>
      <c r="U884" s="12">
        <f t="shared" ca="1" si="195"/>
        <v>7900</v>
      </c>
      <c r="V884" s="14">
        <f t="shared" ca="1" si="196"/>
        <v>-5325.3164556962029</v>
      </c>
      <c r="W884" s="12">
        <f t="shared" ca="1" si="202"/>
        <v>-2774.6835443037976</v>
      </c>
      <c r="X884" s="7">
        <f ca="1">AVERAGE(E884:OFFSET(F884,-$X$5+1,0))</f>
        <v>10355.799999999999</v>
      </c>
      <c r="Y884" s="7">
        <f ca="1">AVERAGE(E884:OFFSET(F884,-$Y$5+1,0))</f>
        <v>10363.6</v>
      </c>
      <c r="Z884" s="7">
        <f t="shared" ca="1" si="188"/>
        <v>-1</v>
      </c>
    </row>
    <row r="885" spans="1:26">
      <c r="A885" s="3" t="s">
        <v>66</v>
      </c>
      <c r="B885" s="4">
        <v>42957</v>
      </c>
      <c r="C885" s="3">
        <v>10477</v>
      </c>
      <c r="D885" s="3">
        <v>10484</v>
      </c>
      <c r="E885" s="3">
        <v>10308</v>
      </c>
      <c r="F885" s="3">
        <v>10328</v>
      </c>
      <c r="G885" s="3">
        <v>189091</v>
      </c>
      <c r="H885" s="3">
        <v>1.0449999999999999</v>
      </c>
      <c r="I885" s="2">
        <f t="shared" si="197"/>
        <v>0</v>
      </c>
      <c r="J885" s="10">
        <f t="shared" si="199"/>
        <v>24</v>
      </c>
      <c r="K885" s="10">
        <f t="shared" si="198"/>
        <v>-149</v>
      </c>
      <c r="L885" s="10">
        <f t="shared" ca="1" si="187"/>
        <v>1</v>
      </c>
      <c r="M885" s="10">
        <f t="shared" ca="1" si="189"/>
        <v>-1</v>
      </c>
      <c r="N885" s="30">
        <f t="shared" ca="1" si="190"/>
        <v>0</v>
      </c>
      <c r="O885" s="10">
        <f t="shared" ca="1" si="191"/>
        <v>2095400</v>
      </c>
      <c r="P885" s="29">
        <f t="shared" ca="1" si="192"/>
        <v>29300</v>
      </c>
      <c r="Q885" s="12">
        <f t="shared" ca="1" si="193"/>
        <v>-383500</v>
      </c>
      <c r="R885" s="10">
        <f t="shared" ca="1" si="194"/>
        <v>1.3983010403741529</v>
      </c>
      <c r="S885" s="10">
        <f t="shared" ca="1" si="200"/>
        <v>-1.2085107645740909</v>
      </c>
      <c r="T885" s="14">
        <f t="shared" ca="1" si="201"/>
        <v>-0.29976011056218649</v>
      </c>
      <c r="U885" s="12">
        <f t="shared" ca="1" si="195"/>
        <v>7900</v>
      </c>
      <c r="V885" s="14">
        <f t="shared" ca="1" si="196"/>
        <v>-4954.4303797468356</v>
      </c>
      <c r="W885" s="12">
        <f t="shared" ca="1" si="202"/>
        <v>-2774.6835443037976</v>
      </c>
      <c r="X885" s="7">
        <f ca="1">AVERAGE(E885:OFFSET(F885,-$X$5+1,0))</f>
        <v>10438</v>
      </c>
      <c r="Y885" s="7">
        <f ca="1">AVERAGE(E885:OFFSET(F885,-$Y$5+1,0))</f>
        <v>10354.9</v>
      </c>
      <c r="Z885" s="7">
        <f t="shared" ca="1" si="188"/>
        <v>1</v>
      </c>
    </row>
    <row r="886" spans="1:26">
      <c r="A886" s="3" t="s">
        <v>66</v>
      </c>
      <c r="B886" s="4">
        <v>42958</v>
      </c>
      <c r="C886" s="3">
        <v>10228</v>
      </c>
      <c r="D886" s="3">
        <v>10326</v>
      </c>
      <c r="E886" s="3">
        <v>10225</v>
      </c>
      <c r="F886" s="3">
        <v>10300</v>
      </c>
      <c r="G886" s="3">
        <v>145659</v>
      </c>
      <c r="H886" s="3">
        <v>1.0449999999999999</v>
      </c>
      <c r="I886" s="2">
        <f t="shared" si="197"/>
        <v>0</v>
      </c>
      <c r="J886" s="10">
        <f t="shared" si="199"/>
        <v>-100</v>
      </c>
      <c r="K886" s="10">
        <f t="shared" si="198"/>
        <v>72</v>
      </c>
      <c r="L886" s="10">
        <f t="shared" ca="1" si="187"/>
        <v>0</v>
      </c>
      <c r="M886" s="10">
        <f t="shared" ca="1" si="189"/>
        <v>0</v>
      </c>
      <c r="N886" s="30">
        <f t="shared" ca="1" si="190"/>
        <v>0</v>
      </c>
      <c r="O886" s="10">
        <f t="shared" ca="1" si="191"/>
        <v>0</v>
      </c>
      <c r="P886" s="29">
        <f t="shared" ca="1" si="192"/>
        <v>19500</v>
      </c>
      <c r="Q886" s="12">
        <f t="shared" ca="1" si="193"/>
        <v>-364000</v>
      </c>
      <c r="R886" s="10">
        <f t="shared" ca="1" si="194"/>
        <v>0.93060990741624516</v>
      </c>
      <c r="S886" s="10">
        <f t="shared" ca="1" si="200"/>
        <v>-1.0638455717613544</v>
      </c>
      <c r="T886" s="14">
        <f t="shared" ca="1" si="201"/>
        <v>-0.27848800153907222</v>
      </c>
      <c r="U886" s="12">
        <f t="shared" ca="1" si="195"/>
        <v>7900</v>
      </c>
      <c r="V886" s="14">
        <f t="shared" ca="1" si="196"/>
        <v>-4707.5949367088606</v>
      </c>
      <c r="W886" s="12">
        <f t="shared" ca="1" si="202"/>
        <v>-2774.6835443037976</v>
      </c>
      <c r="X886" s="7">
        <f ca="1">AVERAGE(E886:OFFSET(F886,-$X$5+1,0))</f>
        <v>10406.5</v>
      </c>
      <c r="Y886" s="7">
        <f ca="1">AVERAGE(E886:OFFSET(F886,-$Y$5+1,0))</f>
        <v>10347.950000000001</v>
      </c>
      <c r="Z886" s="7">
        <f t="shared" ca="1" si="188"/>
        <v>0</v>
      </c>
    </row>
    <row r="887" spans="1:26">
      <c r="A887" s="3" t="s">
        <v>66</v>
      </c>
      <c r="B887" s="4">
        <v>42961</v>
      </c>
      <c r="C887" s="3">
        <v>10344</v>
      </c>
      <c r="D887" s="3">
        <v>10357</v>
      </c>
      <c r="E887" s="3">
        <v>10223</v>
      </c>
      <c r="F887" s="3">
        <v>10231</v>
      </c>
      <c r="G887" s="3">
        <v>171611</v>
      </c>
      <c r="H887" s="3">
        <v>1.0449999999999999</v>
      </c>
      <c r="I887" s="2">
        <f t="shared" si="197"/>
        <v>0</v>
      </c>
      <c r="J887" s="10">
        <f t="shared" si="199"/>
        <v>44</v>
      </c>
      <c r="K887" s="10">
        <f t="shared" si="198"/>
        <v>-113</v>
      </c>
      <c r="L887" s="10">
        <f t="shared" ca="1" si="187"/>
        <v>0</v>
      </c>
      <c r="M887" s="10">
        <f t="shared" ca="1" si="189"/>
        <v>0</v>
      </c>
      <c r="N887" s="30">
        <f t="shared" ca="1" si="190"/>
        <v>0</v>
      </c>
      <c r="O887" s="10">
        <f t="shared" ca="1" si="191"/>
        <v>0</v>
      </c>
      <c r="P887" s="29">
        <f t="shared" ca="1" si="192"/>
        <v>0</v>
      </c>
      <c r="Q887" s="12">
        <f t="shared" ca="1" si="193"/>
        <v>-364000</v>
      </c>
      <c r="R887" s="10">
        <f t="shared" ca="1" si="194"/>
        <v>0</v>
      </c>
      <c r="S887" s="10">
        <f t="shared" ca="1" si="200"/>
        <v>-1.0638455717613544</v>
      </c>
      <c r="T887" s="14">
        <f t="shared" ca="1" si="201"/>
        <v>-0.27848800153907222</v>
      </c>
      <c r="U887" s="12">
        <f t="shared" ca="1" si="195"/>
        <v>7900</v>
      </c>
      <c r="V887" s="14">
        <f t="shared" ca="1" si="196"/>
        <v>-4707.5949367088606</v>
      </c>
      <c r="W887" s="12">
        <f t="shared" ca="1" si="202"/>
        <v>-2774.6835443037976</v>
      </c>
      <c r="X887" s="7">
        <f ca="1">AVERAGE(E887:OFFSET(F887,-$X$5+1,0))</f>
        <v>10351.5</v>
      </c>
      <c r="Y887" s="7">
        <f ca="1">AVERAGE(E887:OFFSET(F887,-$Y$5+1,0))</f>
        <v>10338.450000000001</v>
      </c>
      <c r="Z887" s="7">
        <f t="shared" ca="1" si="188"/>
        <v>0</v>
      </c>
    </row>
    <row r="888" spans="1:26">
      <c r="A888" s="3" t="s">
        <v>66</v>
      </c>
      <c r="B888" s="4">
        <v>42962</v>
      </c>
      <c r="C888" s="3">
        <v>10310</v>
      </c>
      <c r="D888" s="3">
        <v>10331</v>
      </c>
      <c r="E888" s="3">
        <v>10261</v>
      </c>
      <c r="F888" s="3">
        <v>10309</v>
      </c>
      <c r="G888" s="3">
        <v>142199</v>
      </c>
      <c r="H888" s="3">
        <v>1.0449999999999999</v>
      </c>
      <c r="I888" s="2">
        <f t="shared" si="197"/>
        <v>0</v>
      </c>
      <c r="J888" s="10">
        <f t="shared" si="199"/>
        <v>79</v>
      </c>
      <c r="K888" s="10">
        <f t="shared" si="198"/>
        <v>-1</v>
      </c>
      <c r="L888" s="10">
        <f t="shared" ca="1" si="187"/>
        <v>-1</v>
      </c>
      <c r="M888" s="10">
        <f t="shared" ca="1" si="189"/>
        <v>0</v>
      </c>
      <c r="N888" s="30">
        <f t="shared" ca="1" si="190"/>
        <v>0</v>
      </c>
      <c r="O888" s="10">
        <f t="shared" ca="1" si="191"/>
        <v>0</v>
      </c>
      <c r="P888" s="29">
        <f t="shared" ca="1" si="192"/>
        <v>0</v>
      </c>
      <c r="Q888" s="12">
        <f t="shared" ca="1" si="193"/>
        <v>-364000</v>
      </c>
      <c r="R888" s="10">
        <f t="shared" ca="1" si="194"/>
        <v>0</v>
      </c>
      <c r="S888" s="10">
        <f t="shared" ca="1" si="200"/>
        <v>-1.1328397406412749</v>
      </c>
      <c r="T888" s="14">
        <f t="shared" ca="1" si="201"/>
        <v>-0.28759917044897509</v>
      </c>
      <c r="U888" s="12">
        <f t="shared" ca="1" si="195"/>
        <v>7900</v>
      </c>
      <c r="V888" s="14">
        <f t="shared" ca="1" si="196"/>
        <v>-4707.5949367088606</v>
      </c>
      <c r="W888" s="12">
        <f t="shared" ca="1" si="202"/>
        <v>-2936.7088607594937</v>
      </c>
      <c r="X888" s="7">
        <f ca="1">AVERAGE(E888:OFFSET(F888,-$X$5+1,0))</f>
        <v>10307.4</v>
      </c>
      <c r="Y888" s="7">
        <f ca="1">AVERAGE(E888:OFFSET(F888,-$Y$5+1,0))</f>
        <v>10330.549999999999</v>
      </c>
      <c r="Z888" s="7">
        <f t="shared" ca="1" si="188"/>
        <v>-1</v>
      </c>
    </row>
    <row r="889" spans="1:26">
      <c r="A889" s="3" t="s">
        <v>66</v>
      </c>
      <c r="B889" s="4">
        <v>42963</v>
      </c>
      <c r="C889" s="3">
        <v>10277</v>
      </c>
      <c r="D889" s="3">
        <v>10319</v>
      </c>
      <c r="E889" s="3">
        <v>10235</v>
      </c>
      <c r="F889" s="3">
        <v>10254</v>
      </c>
      <c r="G889" s="3">
        <v>108128</v>
      </c>
      <c r="H889" s="3">
        <v>1.0449999999999999</v>
      </c>
      <c r="I889" s="2">
        <f t="shared" si="197"/>
        <v>1</v>
      </c>
      <c r="J889" s="10">
        <f t="shared" si="199"/>
        <v>-32</v>
      </c>
      <c r="K889" s="10">
        <f t="shared" si="198"/>
        <v>-23</v>
      </c>
      <c r="L889" s="10">
        <f t="shared" ca="1" si="187"/>
        <v>0</v>
      </c>
      <c r="M889" s="10">
        <f t="shared" si="189"/>
        <v>0</v>
      </c>
      <c r="N889" s="30">
        <f t="shared" si="190"/>
        <v>0</v>
      </c>
      <c r="O889" s="10">
        <f t="shared" si="191"/>
        <v>0</v>
      </c>
      <c r="P889" s="29">
        <f t="shared" ca="1" si="192"/>
        <v>0</v>
      </c>
      <c r="Q889" s="12">
        <f t="shared" ca="1" si="193"/>
        <v>-364000</v>
      </c>
      <c r="R889" s="10">
        <f t="shared" ca="1" si="194"/>
        <v>0</v>
      </c>
      <c r="S889" s="10">
        <f t="shared" ca="1" si="200"/>
        <v>-0.99633514844874405</v>
      </c>
      <c r="T889" s="14">
        <f t="shared" ca="1" si="201"/>
        <v>-0.26957277174551136</v>
      </c>
      <c r="U889" s="12">
        <f t="shared" ca="1" si="195"/>
        <v>7900</v>
      </c>
      <c r="V889" s="14">
        <f t="shared" ca="1" si="196"/>
        <v>-4707.5949367088606</v>
      </c>
      <c r="W889" s="12">
        <f t="shared" ca="1" si="202"/>
        <v>-2936.7088607594937</v>
      </c>
      <c r="X889" s="7">
        <f ca="1">AVERAGE(E889:OFFSET(F889,-$X$5+1,0))</f>
        <v>10267.4</v>
      </c>
      <c r="Y889" s="7">
        <f ca="1">AVERAGE(E889:OFFSET(F889,-$Y$5+1,0))</f>
        <v>10311.6</v>
      </c>
      <c r="Z889" s="7">
        <f t="shared" ca="1" si="188"/>
        <v>0</v>
      </c>
    </row>
    <row r="890" spans="1:26">
      <c r="A890" s="3" t="s">
        <v>67</v>
      </c>
      <c r="B890" s="4">
        <v>42964</v>
      </c>
      <c r="C890" s="3">
        <v>10258</v>
      </c>
      <c r="D890" s="3">
        <v>10324</v>
      </c>
      <c r="E890" s="3">
        <v>10245</v>
      </c>
      <c r="F890" s="3">
        <v>10298</v>
      </c>
      <c r="G890" s="3">
        <v>124653</v>
      </c>
      <c r="H890" s="3">
        <v>1.0449999999999999</v>
      </c>
      <c r="I890" s="2">
        <f t="shared" si="197"/>
        <v>0</v>
      </c>
      <c r="J890" s="10">
        <f t="shared" si="199"/>
        <v>4</v>
      </c>
      <c r="K890" s="10">
        <f t="shared" si="198"/>
        <v>40</v>
      </c>
      <c r="L890" s="10">
        <f t="shared" ca="1" si="187"/>
        <v>0</v>
      </c>
      <c r="M890" s="10">
        <f t="shared" ca="1" si="189"/>
        <v>0</v>
      </c>
      <c r="N890" s="30">
        <f t="shared" ca="1" si="190"/>
        <v>0</v>
      </c>
      <c r="O890" s="10">
        <f t="shared" ca="1" si="191"/>
        <v>0</v>
      </c>
      <c r="P890" s="29">
        <f t="shared" ca="1" si="192"/>
        <v>0</v>
      </c>
      <c r="Q890" s="12">
        <f t="shared" ca="1" si="193"/>
        <v>-364000</v>
      </c>
      <c r="R890" s="10">
        <f t="shared" ca="1" si="194"/>
        <v>0</v>
      </c>
      <c r="S890" s="10">
        <f t="shared" ca="1" si="200"/>
        <v>-1.0378800243334274</v>
      </c>
      <c r="T890" s="14">
        <f t="shared" ca="1" si="201"/>
        <v>-0.2750590670030873</v>
      </c>
      <c r="U890" s="12">
        <f t="shared" ca="1" si="195"/>
        <v>7900</v>
      </c>
      <c r="V890" s="14">
        <f t="shared" ca="1" si="196"/>
        <v>-4707.5949367088606</v>
      </c>
      <c r="W890" s="12">
        <f t="shared" ca="1" si="202"/>
        <v>-3100</v>
      </c>
      <c r="X890" s="7">
        <f ca="1">AVERAGE(E890:OFFSET(F890,-$X$5+1,0))</f>
        <v>10258.1</v>
      </c>
      <c r="Y890" s="7">
        <f ca="1">AVERAGE(E890:OFFSET(F890,-$Y$5+1,0))</f>
        <v>10348.049999999999</v>
      </c>
      <c r="Z890" s="7">
        <f t="shared" ca="1" si="188"/>
        <v>0</v>
      </c>
    </row>
    <row r="891" spans="1:26">
      <c r="A891" s="3" t="s">
        <v>67</v>
      </c>
      <c r="B891" s="4">
        <v>42965</v>
      </c>
      <c r="C891" s="3">
        <v>10230</v>
      </c>
      <c r="D891" s="3">
        <v>10265</v>
      </c>
      <c r="E891" s="3">
        <v>10200</v>
      </c>
      <c r="F891" s="3">
        <v>10259</v>
      </c>
      <c r="G891" s="3">
        <v>142737</v>
      </c>
      <c r="H891" s="3">
        <v>1.0449999999999999</v>
      </c>
      <c r="I891" s="2">
        <f t="shared" si="197"/>
        <v>0</v>
      </c>
      <c r="J891" s="10">
        <f t="shared" si="199"/>
        <v>-68</v>
      </c>
      <c r="K891" s="10">
        <f t="shared" si="198"/>
        <v>29</v>
      </c>
      <c r="L891" s="10">
        <f t="shared" ca="1" si="187"/>
        <v>0</v>
      </c>
      <c r="M891" s="10">
        <f t="shared" ca="1" si="189"/>
        <v>0</v>
      </c>
      <c r="N891" s="30">
        <f t="shared" ca="1" si="190"/>
        <v>0</v>
      </c>
      <c r="O891" s="10">
        <f t="shared" ca="1" si="191"/>
        <v>0</v>
      </c>
      <c r="P891" s="29">
        <f t="shared" ca="1" si="192"/>
        <v>0</v>
      </c>
      <c r="Q891" s="12">
        <f t="shared" ca="1" si="193"/>
        <v>-364000</v>
      </c>
      <c r="R891" s="10">
        <f t="shared" ca="1" si="194"/>
        <v>0</v>
      </c>
      <c r="S891" s="10">
        <f t="shared" ca="1" si="200"/>
        <v>-0.86576553852545368</v>
      </c>
      <c r="T891" s="14">
        <f t="shared" ca="1" si="201"/>
        <v>-0.25233012950741568</v>
      </c>
      <c r="U891" s="12">
        <f t="shared" ca="1" si="195"/>
        <v>7900</v>
      </c>
      <c r="V891" s="14">
        <f t="shared" ca="1" si="196"/>
        <v>-4707.5949367088606</v>
      </c>
      <c r="W891" s="12">
        <f t="shared" ca="1" si="202"/>
        <v>-3100</v>
      </c>
      <c r="X891" s="7">
        <f ca="1">AVERAGE(E891:OFFSET(F891,-$X$5+1,0))</f>
        <v>10251.5</v>
      </c>
      <c r="Y891" s="7">
        <f ca="1">AVERAGE(E891:OFFSET(F891,-$Y$5+1,0))</f>
        <v>10329</v>
      </c>
      <c r="Z891" s="7">
        <f t="shared" ca="1" si="188"/>
        <v>0</v>
      </c>
    </row>
    <row r="892" spans="1:26">
      <c r="A892" s="3" t="s">
        <v>67</v>
      </c>
      <c r="B892" s="4">
        <v>42968</v>
      </c>
      <c r="C892" s="3">
        <v>10259</v>
      </c>
      <c r="D892" s="3">
        <v>10280</v>
      </c>
      <c r="E892" s="3">
        <v>10217</v>
      </c>
      <c r="F892" s="3">
        <v>10269</v>
      </c>
      <c r="G892" s="3">
        <v>108968</v>
      </c>
      <c r="H892" s="3">
        <v>1.0449999999999999</v>
      </c>
      <c r="I892" s="2">
        <f t="shared" si="197"/>
        <v>0</v>
      </c>
      <c r="J892" s="10">
        <f t="shared" si="199"/>
        <v>0</v>
      </c>
      <c r="K892" s="10">
        <f t="shared" si="198"/>
        <v>10</v>
      </c>
      <c r="L892" s="10">
        <f t="shared" ca="1" si="187"/>
        <v>0</v>
      </c>
      <c r="M892" s="10">
        <f t="shared" ca="1" si="189"/>
        <v>0</v>
      </c>
      <c r="N892" s="30">
        <f t="shared" ca="1" si="190"/>
        <v>0</v>
      </c>
      <c r="O892" s="10">
        <f t="shared" ca="1" si="191"/>
        <v>0</v>
      </c>
      <c r="P892" s="29">
        <f t="shared" ca="1" si="192"/>
        <v>0</v>
      </c>
      <c r="Q892" s="12">
        <f t="shared" ca="1" si="193"/>
        <v>-364000</v>
      </c>
      <c r="R892" s="10">
        <f t="shared" ca="1" si="194"/>
        <v>0</v>
      </c>
      <c r="S892" s="10">
        <f t="shared" ca="1" si="200"/>
        <v>-0.85389557398697269</v>
      </c>
      <c r="T892" s="14">
        <f t="shared" ca="1" si="201"/>
        <v>-0.2507626165766797</v>
      </c>
      <c r="U892" s="12">
        <f t="shared" ca="1" si="195"/>
        <v>7900</v>
      </c>
      <c r="V892" s="14">
        <f t="shared" ca="1" si="196"/>
        <v>-4707.5949367088606</v>
      </c>
      <c r="W892" s="12">
        <f t="shared" ca="1" si="202"/>
        <v>-3100</v>
      </c>
      <c r="X892" s="7">
        <f ca="1">AVERAGE(E892:OFFSET(F892,-$X$5+1,0))</f>
        <v>10254.700000000001</v>
      </c>
      <c r="Y892" s="7">
        <f ca="1">AVERAGE(E892:OFFSET(F892,-$Y$5+1,0))</f>
        <v>10303.1</v>
      </c>
      <c r="Z892" s="7">
        <f t="shared" ca="1" si="188"/>
        <v>0</v>
      </c>
    </row>
    <row r="893" spans="1:26">
      <c r="A893" s="3" t="s">
        <v>67</v>
      </c>
      <c r="B893" s="4">
        <v>42969</v>
      </c>
      <c r="C893" s="3">
        <v>10316</v>
      </c>
      <c r="D893" s="3">
        <v>10369</v>
      </c>
      <c r="E893" s="3">
        <v>10305</v>
      </c>
      <c r="F893" s="3">
        <v>10350</v>
      </c>
      <c r="G893" s="3">
        <v>111527</v>
      </c>
      <c r="H893" s="3">
        <v>1.0449999999999999</v>
      </c>
      <c r="I893" s="2">
        <f t="shared" si="197"/>
        <v>0</v>
      </c>
      <c r="J893" s="10">
        <f t="shared" si="199"/>
        <v>47</v>
      </c>
      <c r="K893" s="10">
        <f t="shared" si="198"/>
        <v>34</v>
      </c>
      <c r="L893" s="10">
        <f t="shared" ref="L893:L956" ca="1" si="203">Z893</f>
        <v>0</v>
      </c>
      <c r="M893" s="10">
        <f t="shared" ca="1" si="189"/>
        <v>0</v>
      </c>
      <c r="N893" s="30">
        <f t="shared" ca="1" si="190"/>
        <v>0</v>
      </c>
      <c r="O893" s="10">
        <f t="shared" ca="1" si="191"/>
        <v>0</v>
      </c>
      <c r="P893" s="29">
        <f t="shared" ca="1" si="192"/>
        <v>0</v>
      </c>
      <c r="Q893" s="12">
        <f t="shared" ca="1" si="193"/>
        <v>-364000</v>
      </c>
      <c r="R893" s="10">
        <f t="shared" ca="1" si="194"/>
        <v>0</v>
      </c>
      <c r="S893" s="10">
        <f t="shared" ca="1" si="200"/>
        <v>-0.91027790554475718</v>
      </c>
      <c r="T893" s="14">
        <f t="shared" ca="1" si="201"/>
        <v>-0.25820830299767561</v>
      </c>
      <c r="U893" s="12">
        <f t="shared" ca="1" si="195"/>
        <v>7900</v>
      </c>
      <c r="V893" s="14">
        <f t="shared" ca="1" si="196"/>
        <v>-4707.5949367088606</v>
      </c>
      <c r="W893" s="12">
        <f t="shared" ca="1" si="202"/>
        <v>-3100</v>
      </c>
      <c r="X893" s="7">
        <f ca="1">AVERAGE(E893:OFFSET(F893,-$X$5+1,0))</f>
        <v>10263.200000000001</v>
      </c>
      <c r="Y893" s="7">
        <f ca="1">AVERAGE(E893:OFFSET(F893,-$Y$5+1,0))</f>
        <v>10285.299999999999</v>
      </c>
      <c r="Z893" s="7">
        <f t="shared" ref="Z893:Z956" ca="1" si="204">IF(AND(X892&lt;=Y892,X893&gt;Y893),1,IF(AND(X892&gt;Y892,X893&lt;=Y893),-1,0))</f>
        <v>0</v>
      </c>
    </row>
    <row r="894" spans="1:26">
      <c r="A894" s="3" t="s">
        <v>67</v>
      </c>
      <c r="B894" s="4">
        <v>42970</v>
      </c>
      <c r="C894" s="3">
        <v>10401</v>
      </c>
      <c r="D894" s="3">
        <v>10414</v>
      </c>
      <c r="E894" s="3">
        <v>10341</v>
      </c>
      <c r="F894" s="3">
        <v>10361</v>
      </c>
      <c r="G894" s="3">
        <v>133332</v>
      </c>
      <c r="H894" s="3">
        <v>1.0449999999999999</v>
      </c>
      <c r="I894" s="2">
        <f t="shared" si="197"/>
        <v>0</v>
      </c>
      <c r="J894" s="10">
        <f t="shared" si="199"/>
        <v>51</v>
      </c>
      <c r="K894" s="10">
        <f t="shared" si="198"/>
        <v>-40</v>
      </c>
      <c r="L894" s="10">
        <f t="shared" ca="1" si="203"/>
        <v>1</v>
      </c>
      <c r="M894" s="10">
        <f t="shared" ref="M894:M957" ca="1" si="205">IF(I894=1,0,IF(M893+L893&gt;=$M$5,$M$5,IF(M893+L893&lt;=$M$7,$M$7,M893+L893)))</f>
        <v>0</v>
      </c>
      <c r="N894" s="30">
        <f t="shared" ref="N894:N957" ca="1" si="206">IF(M894=0,0,IF(M894&gt;M893,(C894+N893*M893)*$S$5,0))</f>
        <v>0</v>
      </c>
      <c r="O894" s="10">
        <f t="shared" ref="O894:O957" ca="1" si="207">IF(M894=0,0,IF(M894=M893,O893,((M894-M893)*C894+N893*M893)*$S$5/M894))</f>
        <v>0</v>
      </c>
      <c r="P894" s="29">
        <f t="shared" ref="P894:P957" ca="1" si="208">IF(M893=M894,(M893*J894+M894*K894)*$S$5,(M893*J894+M894*K894)*$S$5-$S$6)</f>
        <v>0</v>
      </c>
      <c r="Q894" s="12">
        <f t="shared" ref="Q894:Q957" ca="1" si="209">P894+Q893</f>
        <v>-364000</v>
      </c>
      <c r="R894" s="10">
        <f t="shared" ref="R894:R957" ca="1" si="210">IF(P894=0,0,IF(O894=0,100*P894/O893,100*P894/O894))</f>
        <v>0</v>
      </c>
      <c r="S894" s="10">
        <f t="shared" ca="1" si="200"/>
        <v>-0.91918037894861793</v>
      </c>
      <c r="T894" s="14">
        <f t="shared" ca="1" si="201"/>
        <v>-0.2593839376957276</v>
      </c>
      <c r="U894" s="12">
        <f t="shared" ref="U894:U957" ca="1" si="211">IF(Q894&gt;U893,Q894,U893)</f>
        <v>7900</v>
      </c>
      <c r="V894" s="14">
        <f t="shared" ref="V894:V957" ca="1" si="212">IF(U894=0,0,100*(Q894-U894)/U894)</f>
        <v>-4707.5949367088606</v>
      </c>
      <c r="W894" s="12">
        <f t="shared" ca="1" si="202"/>
        <v>-3100</v>
      </c>
      <c r="X894" s="7">
        <f ca="1">AVERAGE(E894:OFFSET(F894,-$X$5+1,0))</f>
        <v>10284.5</v>
      </c>
      <c r="Y894" s="7">
        <f ca="1">AVERAGE(E894:OFFSET(F894,-$Y$5+1,0))</f>
        <v>10275.950000000001</v>
      </c>
      <c r="Z894" s="7">
        <f t="shared" ca="1" si="204"/>
        <v>1</v>
      </c>
    </row>
    <row r="895" spans="1:26">
      <c r="A895" s="3" t="s">
        <v>67</v>
      </c>
      <c r="B895" s="4">
        <v>42971</v>
      </c>
      <c r="C895" s="3">
        <v>10372</v>
      </c>
      <c r="D895" s="3">
        <v>10460</v>
      </c>
      <c r="E895" s="3">
        <v>10365</v>
      </c>
      <c r="F895" s="3">
        <v>10449</v>
      </c>
      <c r="G895" s="3">
        <v>117763</v>
      </c>
      <c r="H895" s="3">
        <v>1.0449999999999999</v>
      </c>
      <c r="I895" s="2">
        <f t="shared" si="197"/>
        <v>0</v>
      </c>
      <c r="J895" s="10">
        <f t="shared" si="199"/>
        <v>11</v>
      </c>
      <c r="K895" s="10">
        <f t="shared" si="198"/>
        <v>77</v>
      </c>
      <c r="L895" s="10">
        <f t="shared" ca="1" si="203"/>
        <v>0</v>
      </c>
      <c r="M895" s="10">
        <f t="shared" ca="1" si="205"/>
        <v>1</v>
      </c>
      <c r="N895" s="30">
        <f t="shared" ca="1" si="206"/>
        <v>2074400</v>
      </c>
      <c r="O895" s="10">
        <f t="shared" ca="1" si="207"/>
        <v>2074400</v>
      </c>
      <c r="P895" s="29">
        <f t="shared" ca="1" si="208"/>
        <v>14900</v>
      </c>
      <c r="Q895" s="12">
        <f t="shared" ca="1" si="209"/>
        <v>-349100</v>
      </c>
      <c r="R895" s="10">
        <f t="shared" ca="1" si="210"/>
        <v>0.71827998457385267</v>
      </c>
      <c r="S895" s="10">
        <f t="shared" ca="1" si="200"/>
        <v>-0.72072419601640758</v>
      </c>
      <c r="T895" s="14">
        <f t="shared" ca="1" si="201"/>
        <v>-0.23217057683880185</v>
      </c>
      <c r="U895" s="12">
        <f t="shared" ca="1" si="211"/>
        <v>7900</v>
      </c>
      <c r="V895" s="14">
        <f t="shared" ca="1" si="212"/>
        <v>-4518.9873417721519</v>
      </c>
      <c r="W895" s="12">
        <f t="shared" ca="1" si="202"/>
        <v>-3100</v>
      </c>
      <c r="X895" s="7">
        <f ca="1">AVERAGE(E895:OFFSET(F895,-$X$5+1,0))</f>
        <v>10311.6</v>
      </c>
      <c r="Y895" s="7">
        <f ca="1">AVERAGE(E895:OFFSET(F895,-$Y$5+1,0))</f>
        <v>10284.85</v>
      </c>
      <c r="Z895" s="7">
        <f t="shared" ca="1" si="204"/>
        <v>0</v>
      </c>
    </row>
    <row r="896" spans="1:26">
      <c r="A896" s="3" t="s">
        <v>67</v>
      </c>
      <c r="B896" s="4">
        <v>42972</v>
      </c>
      <c r="C896" s="3">
        <v>10471</v>
      </c>
      <c r="D896" s="3">
        <v>10490</v>
      </c>
      <c r="E896" s="3">
        <v>10431</v>
      </c>
      <c r="F896" s="3">
        <v>10487</v>
      </c>
      <c r="G896" s="3">
        <v>106737</v>
      </c>
      <c r="H896" s="3">
        <v>1.0449999999999999</v>
      </c>
      <c r="I896" s="2">
        <f t="shared" si="197"/>
        <v>0</v>
      </c>
      <c r="J896" s="10">
        <f t="shared" si="199"/>
        <v>22</v>
      </c>
      <c r="K896" s="10">
        <f t="shared" si="198"/>
        <v>16</v>
      </c>
      <c r="L896" s="10">
        <f t="shared" ca="1" si="203"/>
        <v>0</v>
      </c>
      <c r="M896" s="10">
        <f t="shared" ca="1" si="205"/>
        <v>1</v>
      </c>
      <c r="N896" s="30">
        <f t="shared" ca="1" si="206"/>
        <v>0</v>
      </c>
      <c r="O896" s="10">
        <f t="shared" ca="1" si="207"/>
        <v>2074400</v>
      </c>
      <c r="P896" s="29">
        <f t="shared" ca="1" si="208"/>
        <v>7600</v>
      </c>
      <c r="Q896" s="12">
        <f t="shared" ca="1" si="209"/>
        <v>-341500</v>
      </c>
      <c r="R896" s="10">
        <f t="shared" ca="1" si="210"/>
        <v>0.36637099884303898</v>
      </c>
      <c r="S896" s="10">
        <f t="shared" ca="1" si="200"/>
        <v>-0.67186153865936293</v>
      </c>
      <c r="T896" s="14">
        <f t="shared" ca="1" si="201"/>
        <v>-0.22547765330603109</v>
      </c>
      <c r="U896" s="12">
        <f t="shared" ca="1" si="211"/>
        <v>7900</v>
      </c>
      <c r="V896" s="14">
        <f t="shared" ca="1" si="212"/>
        <v>-4422.7848101265827</v>
      </c>
      <c r="W896" s="12">
        <f t="shared" ca="1" si="202"/>
        <v>-3100</v>
      </c>
      <c r="X896" s="7">
        <f ca="1">AVERAGE(E896:OFFSET(F896,-$X$5+1,0))</f>
        <v>10357.5</v>
      </c>
      <c r="Y896" s="7">
        <f ca="1">AVERAGE(E896:OFFSET(F896,-$Y$5+1,0))</f>
        <v>10304.5</v>
      </c>
      <c r="Z896" s="7">
        <f t="shared" ca="1" si="204"/>
        <v>0</v>
      </c>
    </row>
    <row r="897" spans="1:26">
      <c r="A897" s="3" t="s">
        <v>67</v>
      </c>
      <c r="B897" s="4">
        <v>42975</v>
      </c>
      <c r="C897" s="3">
        <v>10466</v>
      </c>
      <c r="D897" s="3">
        <v>10515</v>
      </c>
      <c r="E897" s="3">
        <v>10457</v>
      </c>
      <c r="F897" s="3">
        <v>10490</v>
      </c>
      <c r="G897" s="3">
        <v>104313</v>
      </c>
      <c r="H897" s="3">
        <v>1.0449999999999999</v>
      </c>
      <c r="I897" s="2">
        <f t="shared" si="197"/>
        <v>0</v>
      </c>
      <c r="J897" s="10">
        <f t="shared" si="199"/>
        <v>-21</v>
      </c>
      <c r="K897" s="10">
        <f t="shared" si="198"/>
        <v>24</v>
      </c>
      <c r="L897" s="10">
        <f t="shared" ca="1" si="203"/>
        <v>0</v>
      </c>
      <c r="M897" s="10">
        <f t="shared" ca="1" si="205"/>
        <v>1</v>
      </c>
      <c r="N897" s="30">
        <f t="shared" ca="1" si="206"/>
        <v>0</v>
      </c>
      <c r="O897" s="10">
        <f t="shared" ca="1" si="207"/>
        <v>2074400</v>
      </c>
      <c r="P897" s="29">
        <f t="shared" ca="1" si="208"/>
        <v>600</v>
      </c>
      <c r="Q897" s="12">
        <f t="shared" ca="1" si="209"/>
        <v>-340900</v>
      </c>
      <c r="R897" s="10">
        <f t="shared" ca="1" si="210"/>
        <v>2.8924026224450443E-2</v>
      </c>
      <c r="S897" s="10">
        <f t="shared" ca="1" si="200"/>
        <v>-0.66800396044696475</v>
      </c>
      <c r="T897" s="14">
        <f t="shared" ca="1" si="201"/>
        <v>-0.22496692048957909</v>
      </c>
      <c r="U897" s="12">
        <f t="shared" ca="1" si="211"/>
        <v>7900</v>
      </c>
      <c r="V897" s="14">
        <f t="shared" ca="1" si="212"/>
        <v>-4415.1898734177212</v>
      </c>
      <c r="W897" s="12">
        <f t="shared" ca="1" si="202"/>
        <v>-3263.2911392405063</v>
      </c>
      <c r="X897" s="7">
        <f ca="1">AVERAGE(E897:OFFSET(F897,-$X$5+1,0))</f>
        <v>10403.6</v>
      </c>
      <c r="Y897" s="7">
        <f ca="1">AVERAGE(E897:OFFSET(F897,-$Y$5+1,0))</f>
        <v>10329.15</v>
      </c>
      <c r="Z897" s="7">
        <f t="shared" ca="1" si="204"/>
        <v>0</v>
      </c>
    </row>
    <row r="898" spans="1:26">
      <c r="A898" s="3" t="s">
        <v>67</v>
      </c>
      <c r="B898" s="4">
        <v>42976</v>
      </c>
      <c r="C898" s="3">
        <v>10451</v>
      </c>
      <c r="D898" s="3">
        <v>10478</v>
      </c>
      <c r="E898" s="3">
        <v>10421</v>
      </c>
      <c r="F898" s="3">
        <v>10463</v>
      </c>
      <c r="G898" s="3">
        <v>124977</v>
      </c>
      <c r="H898" s="3">
        <v>1.0449999999999999</v>
      </c>
      <c r="I898" s="2">
        <f t="shared" si="197"/>
        <v>0</v>
      </c>
      <c r="J898" s="10">
        <f t="shared" si="199"/>
        <v>-39</v>
      </c>
      <c r="K898" s="10">
        <f t="shared" si="198"/>
        <v>12</v>
      </c>
      <c r="L898" s="10">
        <f t="shared" ca="1" si="203"/>
        <v>0</v>
      </c>
      <c r="M898" s="10">
        <f t="shared" ca="1" si="205"/>
        <v>1</v>
      </c>
      <c r="N898" s="30">
        <f t="shared" ca="1" si="206"/>
        <v>0</v>
      </c>
      <c r="O898" s="10">
        <f t="shared" ca="1" si="207"/>
        <v>2074400</v>
      </c>
      <c r="P898" s="29">
        <f t="shared" ca="1" si="208"/>
        <v>-5400</v>
      </c>
      <c r="Q898" s="12">
        <f t="shared" ca="1" si="209"/>
        <v>-346300</v>
      </c>
      <c r="R898" s="10">
        <f t="shared" ca="1" si="210"/>
        <v>-0.26031623602005399</v>
      </c>
      <c r="S898" s="10">
        <f t="shared" ca="1" si="200"/>
        <v>-0.61978423279198658</v>
      </c>
      <c r="T898" s="14">
        <f t="shared" ca="1" si="201"/>
        <v>-0.21854401729170508</v>
      </c>
      <c r="U898" s="12">
        <f t="shared" ca="1" si="211"/>
        <v>7900</v>
      </c>
      <c r="V898" s="14">
        <f t="shared" ca="1" si="212"/>
        <v>-4483.5443037974683</v>
      </c>
      <c r="W898" s="12">
        <f t="shared" ca="1" si="202"/>
        <v>-3486.0759493670885</v>
      </c>
      <c r="X898" s="7">
        <f ca="1">AVERAGE(E898:OFFSET(F898,-$X$5+1,0))</f>
        <v>10426.5</v>
      </c>
      <c r="Y898" s="7">
        <f ca="1">AVERAGE(E898:OFFSET(F898,-$Y$5+1,0))</f>
        <v>10344.85</v>
      </c>
      <c r="Z898" s="7">
        <f t="shared" ca="1" si="204"/>
        <v>0</v>
      </c>
    </row>
    <row r="899" spans="1:26">
      <c r="A899" s="3" t="s">
        <v>67</v>
      </c>
      <c r="B899" s="4">
        <v>42977</v>
      </c>
      <c r="C899" s="3">
        <v>10508</v>
      </c>
      <c r="D899" s="3">
        <v>10552</v>
      </c>
      <c r="E899" s="3">
        <v>10493</v>
      </c>
      <c r="F899" s="3">
        <v>10531</v>
      </c>
      <c r="G899" s="3">
        <v>133868</v>
      </c>
      <c r="H899" s="3">
        <v>1.0449999999999999</v>
      </c>
      <c r="I899" s="2">
        <f t="shared" si="197"/>
        <v>0</v>
      </c>
      <c r="J899" s="10">
        <f t="shared" si="199"/>
        <v>45</v>
      </c>
      <c r="K899" s="10">
        <f t="shared" si="198"/>
        <v>23</v>
      </c>
      <c r="L899" s="10">
        <f t="shared" ca="1" si="203"/>
        <v>0</v>
      </c>
      <c r="M899" s="10">
        <f t="shared" ca="1" si="205"/>
        <v>1</v>
      </c>
      <c r="N899" s="30">
        <f t="shared" ca="1" si="206"/>
        <v>0</v>
      </c>
      <c r="O899" s="10">
        <f t="shared" ca="1" si="207"/>
        <v>2074400</v>
      </c>
      <c r="P899" s="29">
        <f t="shared" ca="1" si="208"/>
        <v>13600</v>
      </c>
      <c r="Q899" s="12">
        <f t="shared" ca="1" si="209"/>
        <v>-332700</v>
      </c>
      <c r="R899" s="10">
        <f t="shared" ca="1" si="210"/>
        <v>0.65561126108754342</v>
      </c>
      <c r="S899" s="10">
        <f t="shared" ca="1" si="200"/>
        <v>-0.41919016574727719</v>
      </c>
      <c r="T899" s="14">
        <f t="shared" ca="1" si="201"/>
        <v>-0.19152865853003309</v>
      </c>
      <c r="U899" s="12">
        <f t="shared" ca="1" si="211"/>
        <v>7900</v>
      </c>
      <c r="V899" s="14">
        <f t="shared" ca="1" si="212"/>
        <v>-4311.3924050632913</v>
      </c>
      <c r="W899" s="12">
        <f t="shared" ca="1" si="202"/>
        <v>-3746.8354430379745</v>
      </c>
      <c r="X899" s="7">
        <f ca="1">AVERAGE(E899:OFFSET(F899,-$X$5+1,0))</f>
        <v>10458.700000000001</v>
      </c>
      <c r="Y899" s="7">
        <f ca="1">AVERAGE(E899:OFFSET(F899,-$Y$5+1,0))</f>
        <v>10371.6</v>
      </c>
      <c r="Z899" s="7">
        <f t="shared" ca="1" si="204"/>
        <v>0</v>
      </c>
    </row>
    <row r="900" spans="1:26">
      <c r="A900" s="3" t="s">
        <v>67</v>
      </c>
      <c r="B900" s="4">
        <v>42978</v>
      </c>
      <c r="C900" s="3">
        <v>10560</v>
      </c>
      <c r="D900" s="3">
        <v>10581</v>
      </c>
      <c r="E900" s="3">
        <v>10532</v>
      </c>
      <c r="F900" s="3">
        <v>10551</v>
      </c>
      <c r="G900" s="3">
        <v>118821</v>
      </c>
      <c r="H900" s="3">
        <v>1.0449999999999999</v>
      </c>
      <c r="I900" s="2">
        <f t="shared" ref="I900:I963" si="213">IF(A900=A901,0,1)</f>
        <v>0</v>
      </c>
      <c r="J900" s="10">
        <f t="shared" si="199"/>
        <v>29</v>
      </c>
      <c r="K900" s="10">
        <f t="shared" ref="K900:K963" si="214">F900-C900</f>
        <v>-9</v>
      </c>
      <c r="L900" s="10">
        <f t="shared" ca="1" si="203"/>
        <v>0</v>
      </c>
      <c r="M900" s="10">
        <f t="shared" ca="1" si="205"/>
        <v>1</v>
      </c>
      <c r="N900" s="30">
        <f t="shared" ca="1" si="206"/>
        <v>0</v>
      </c>
      <c r="O900" s="10">
        <f t="shared" ca="1" si="207"/>
        <v>2074400</v>
      </c>
      <c r="P900" s="29">
        <f t="shared" ca="1" si="208"/>
        <v>4000</v>
      </c>
      <c r="Q900" s="12">
        <f t="shared" ca="1" si="209"/>
        <v>-328700</v>
      </c>
      <c r="R900" s="10">
        <f t="shared" ca="1" si="210"/>
        <v>0.19282684149633628</v>
      </c>
      <c r="S900" s="10">
        <f t="shared" ca="1" si="200"/>
        <v>-0.2610294590389487</v>
      </c>
      <c r="T900" s="14">
        <f t="shared" ca="1" si="201"/>
        <v>-0.17077898724799578</v>
      </c>
      <c r="U900" s="12">
        <f t="shared" ca="1" si="211"/>
        <v>7900</v>
      </c>
      <c r="V900" s="14">
        <f t="shared" ca="1" si="212"/>
        <v>-4260.7594936708865</v>
      </c>
      <c r="W900" s="12">
        <f t="shared" ca="1" si="202"/>
        <v>-3748.1012658227846</v>
      </c>
      <c r="X900" s="7">
        <f ca="1">AVERAGE(E900:OFFSET(F900,-$X$5+1,0))</f>
        <v>10485.6</v>
      </c>
      <c r="Y900" s="7">
        <f ca="1">AVERAGE(E900:OFFSET(F900,-$Y$5+1,0))</f>
        <v>10398.6</v>
      </c>
      <c r="Z900" s="7">
        <f t="shared" ca="1" si="204"/>
        <v>0</v>
      </c>
    </row>
    <row r="901" spans="1:26">
      <c r="A901" s="3" t="s">
        <v>67</v>
      </c>
      <c r="B901" s="4">
        <v>42979</v>
      </c>
      <c r="C901" s="3">
        <v>10571</v>
      </c>
      <c r="D901" s="3">
        <v>10598</v>
      </c>
      <c r="E901" s="3">
        <v>10540</v>
      </c>
      <c r="F901" s="3">
        <v>10576</v>
      </c>
      <c r="G901" s="3">
        <v>100581</v>
      </c>
      <c r="H901" s="3">
        <v>1.0449999999999999</v>
      </c>
      <c r="I901" s="2">
        <f t="shared" si="213"/>
        <v>0</v>
      </c>
      <c r="J901" s="10">
        <f t="shared" ref="J901:J964" si="215">C901-F900</f>
        <v>20</v>
      </c>
      <c r="K901" s="10">
        <f t="shared" si="214"/>
        <v>5</v>
      </c>
      <c r="L901" s="10">
        <f t="shared" ca="1" si="203"/>
        <v>0</v>
      </c>
      <c r="M901" s="10">
        <f t="shared" ca="1" si="205"/>
        <v>1</v>
      </c>
      <c r="N901" s="30">
        <f t="shared" ca="1" si="206"/>
        <v>0</v>
      </c>
      <c r="O901" s="10">
        <f t="shared" ca="1" si="207"/>
        <v>2074400</v>
      </c>
      <c r="P901" s="29">
        <f t="shared" ca="1" si="208"/>
        <v>5000</v>
      </c>
      <c r="Q901" s="12">
        <f t="shared" ca="1" si="209"/>
        <v>-323700</v>
      </c>
      <c r="R901" s="10">
        <f t="shared" ca="1" si="210"/>
        <v>0.24103355187042036</v>
      </c>
      <c r="S901" s="10">
        <f t="shared" ca="1" si="200"/>
        <v>-0.2282400442335635</v>
      </c>
      <c r="T901" s="14">
        <f t="shared" ca="1" si="201"/>
        <v>-0.16640302127747855</v>
      </c>
      <c r="U901" s="12">
        <f t="shared" ca="1" si="211"/>
        <v>7900</v>
      </c>
      <c r="V901" s="14">
        <f t="shared" ca="1" si="212"/>
        <v>-4197.4683544303798</v>
      </c>
      <c r="W901" s="12">
        <f t="shared" ca="1" si="202"/>
        <v>-3748.1012658227846</v>
      </c>
      <c r="X901" s="7">
        <f ca="1">AVERAGE(E901:OFFSET(F901,-$X$5+1,0))</f>
        <v>10505.4</v>
      </c>
      <c r="Y901" s="7">
        <f ca="1">AVERAGE(E901:OFFSET(F901,-$Y$5+1,0))</f>
        <v>10431.450000000001</v>
      </c>
      <c r="Z901" s="7">
        <f t="shared" ca="1" si="204"/>
        <v>0</v>
      </c>
    </row>
    <row r="902" spans="1:26">
      <c r="A902" s="3" t="s">
        <v>67</v>
      </c>
      <c r="B902" s="4">
        <v>42982</v>
      </c>
      <c r="C902" s="3">
        <v>10550</v>
      </c>
      <c r="D902" s="3">
        <v>10579</v>
      </c>
      <c r="E902" s="3">
        <v>10533</v>
      </c>
      <c r="F902" s="3">
        <v>10552</v>
      </c>
      <c r="G902" s="3">
        <v>93022</v>
      </c>
      <c r="H902" s="3">
        <v>1.0449999999999999</v>
      </c>
      <c r="I902" s="2">
        <f t="shared" si="213"/>
        <v>0</v>
      </c>
      <c r="J902" s="10">
        <f t="shared" si="215"/>
        <v>-26</v>
      </c>
      <c r="K902" s="10">
        <f t="shared" si="214"/>
        <v>2</v>
      </c>
      <c r="L902" s="10">
        <f t="shared" ca="1" si="203"/>
        <v>0</v>
      </c>
      <c r="M902" s="10">
        <f t="shared" ca="1" si="205"/>
        <v>1</v>
      </c>
      <c r="N902" s="30">
        <f t="shared" ca="1" si="206"/>
        <v>0</v>
      </c>
      <c r="O902" s="10">
        <f t="shared" ca="1" si="207"/>
        <v>2074400</v>
      </c>
      <c r="P902" s="29">
        <f t="shared" ca="1" si="208"/>
        <v>-4800</v>
      </c>
      <c r="Q902" s="12">
        <f t="shared" ca="1" si="209"/>
        <v>-328500</v>
      </c>
      <c r="R902" s="10">
        <f t="shared" ca="1" si="210"/>
        <v>-0.23139220979560354</v>
      </c>
      <c r="S902" s="10">
        <f t="shared" ca="1" si="200"/>
        <v>-0.25910066993274955</v>
      </c>
      <c r="T902" s="14">
        <f t="shared" ca="1" si="201"/>
        <v>-0.17234664197360625</v>
      </c>
      <c r="U902" s="12">
        <f t="shared" ca="1" si="211"/>
        <v>7900</v>
      </c>
      <c r="V902" s="14">
        <f t="shared" ca="1" si="212"/>
        <v>-4258.2278481012654</v>
      </c>
      <c r="W902" s="12">
        <f t="shared" ca="1" si="202"/>
        <v>-3748.1012658227846</v>
      </c>
      <c r="X902" s="7">
        <f ca="1">AVERAGE(E902:OFFSET(F902,-$X$5+1,0))</f>
        <v>10519.2</v>
      </c>
      <c r="Y902" s="7">
        <f ca="1">AVERAGE(E902:OFFSET(F902,-$Y$5+1,0))</f>
        <v>10461.4</v>
      </c>
      <c r="Z902" s="7">
        <f t="shared" ca="1" si="204"/>
        <v>0</v>
      </c>
    </row>
    <row r="903" spans="1:26">
      <c r="A903" s="3" t="s">
        <v>67</v>
      </c>
      <c r="B903" s="4">
        <v>42983</v>
      </c>
      <c r="C903" s="3">
        <v>10575</v>
      </c>
      <c r="D903" s="3">
        <v>10590</v>
      </c>
      <c r="E903" s="3">
        <v>10528</v>
      </c>
      <c r="F903" s="3">
        <v>10582</v>
      </c>
      <c r="G903" s="3">
        <v>111648</v>
      </c>
      <c r="H903" s="3">
        <v>1.0449999999999999</v>
      </c>
      <c r="I903" s="2">
        <f t="shared" si="213"/>
        <v>0</v>
      </c>
      <c r="J903" s="10">
        <f t="shared" si="215"/>
        <v>23</v>
      </c>
      <c r="K903" s="10">
        <f t="shared" si="214"/>
        <v>7</v>
      </c>
      <c r="L903" s="10">
        <f t="shared" ca="1" si="203"/>
        <v>0</v>
      </c>
      <c r="M903" s="10">
        <f t="shared" ca="1" si="205"/>
        <v>1</v>
      </c>
      <c r="N903" s="30">
        <f t="shared" ca="1" si="206"/>
        <v>0</v>
      </c>
      <c r="O903" s="10">
        <f t="shared" ca="1" si="207"/>
        <v>2074400</v>
      </c>
      <c r="P903" s="29">
        <f t="shared" ca="1" si="208"/>
        <v>6000</v>
      </c>
      <c r="Q903" s="12">
        <f t="shared" ca="1" si="209"/>
        <v>-322500</v>
      </c>
      <c r="R903" s="10">
        <f t="shared" ca="1" si="210"/>
        <v>0.28924026224450444</v>
      </c>
      <c r="S903" s="10">
        <f t="shared" ca="1" si="200"/>
        <v>-0.220524887808767</v>
      </c>
      <c r="T903" s="14">
        <f t="shared" ca="1" si="201"/>
        <v>-0.17063425787903119</v>
      </c>
      <c r="U903" s="12">
        <f t="shared" ca="1" si="211"/>
        <v>7900</v>
      </c>
      <c r="V903" s="14">
        <f t="shared" ca="1" si="212"/>
        <v>-4182.2784810126586</v>
      </c>
      <c r="W903" s="12">
        <f t="shared" ca="1" si="202"/>
        <v>-3748.1012658227846</v>
      </c>
      <c r="X903" s="7">
        <f ca="1">AVERAGE(E903:OFFSET(F903,-$X$5+1,0))</f>
        <v>10541.8</v>
      </c>
      <c r="Y903" s="7">
        <f ca="1">AVERAGE(E903:OFFSET(F903,-$Y$5+1,0))</f>
        <v>10484.15</v>
      </c>
      <c r="Z903" s="7">
        <f t="shared" ca="1" si="204"/>
        <v>0</v>
      </c>
    </row>
    <row r="904" spans="1:26">
      <c r="A904" s="3" t="s">
        <v>67</v>
      </c>
      <c r="B904" s="4">
        <v>42984</v>
      </c>
      <c r="C904" s="3">
        <v>10540</v>
      </c>
      <c r="D904" s="3">
        <v>10570</v>
      </c>
      <c r="E904" s="3">
        <v>10483</v>
      </c>
      <c r="F904" s="3">
        <v>10519</v>
      </c>
      <c r="G904" s="3">
        <v>151864</v>
      </c>
      <c r="H904" s="3">
        <v>1.0449999999999999</v>
      </c>
      <c r="I904" s="2">
        <f t="shared" si="213"/>
        <v>0</v>
      </c>
      <c r="J904" s="10">
        <f t="shared" si="215"/>
        <v>-42</v>
      </c>
      <c r="K904" s="10">
        <f t="shared" si="214"/>
        <v>-21</v>
      </c>
      <c r="L904" s="10">
        <f t="shared" ca="1" si="203"/>
        <v>0</v>
      </c>
      <c r="M904" s="10">
        <f t="shared" ca="1" si="205"/>
        <v>1</v>
      </c>
      <c r="N904" s="30">
        <f t="shared" ca="1" si="206"/>
        <v>0</v>
      </c>
      <c r="O904" s="10">
        <f t="shared" ca="1" si="207"/>
        <v>2074400</v>
      </c>
      <c r="P904" s="29">
        <f t="shared" ca="1" si="208"/>
        <v>-12600</v>
      </c>
      <c r="Q904" s="12">
        <f t="shared" ca="1" si="209"/>
        <v>-335100</v>
      </c>
      <c r="R904" s="10">
        <f t="shared" ca="1" si="210"/>
        <v>-0.60740455071345933</v>
      </c>
      <c r="S904" s="10">
        <f t="shared" ca="1" si="200"/>
        <v>-0.30153403026913039</v>
      </c>
      <c r="T904" s="14">
        <f t="shared" ca="1" si="201"/>
        <v>-0.18118406816123103</v>
      </c>
      <c r="U904" s="12">
        <f t="shared" ca="1" si="211"/>
        <v>7900</v>
      </c>
      <c r="V904" s="14">
        <f t="shared" ca="1" si="212"/>
        <v>-4341.7721518987346</v>
      </c>
      <c r="W904" s="12">
        <f t="shared" ca="1" si="202"/>
        <v>-3748.1012658227846</v>
      </c>
      <c r="X904" s="7">
        <f ca="1">AVERAGE(E904:OFFSET(F904,-$X$5+1,0))</f>
        <v>10539.6</v>
      </c>
      <c r="Y904" s="7">
        <f ca="1">AVERAGE(E904:OFFSET(F904,-$Y$5+1,0))</f>
        <v>10499.15</v>
      </c>
      <c r="Z904" s="7">
        <f t="shared" ca="1" si="204"/>
        <v>0</v>
      </c>
    </row>
    <row r="905" spans="1:26">
      <c r="A905" s="3" t="s">
        <v>67</v>
      </c>
      <c r="B905" s="4">
        <v>42985</v>
      </c>
      <c r="C905" s="3">
        <v>10551</v>
      </c>
      <c r="D905" s="3">
        <v>10568</v>
      </c>
      <c r="E905" s="3">
        <v>10477</v>
      </c>
      <c r="F905" s="3">
        <v>10490</v>
      </c>
      <c r="G905" s="3">
        <v>135940</v>
      </c>
      <c r="H905" s="3">
        <v>1.0449999999999999</v>
      </c>
      <c r="I905" s="2">
        <f t="shared" si="213"/>
        <v>0</v>
      </c>
      <c r="J905" s="10">
        <f t="shared" si="215"/>
        <v>32</v>
      </c>
      <c r="K905" s="10">
        <f t="shared" si="214"/>
        <v>-61</v>
      </c>
      <c r="L905" s="10">
        <f t="shared" ca="1" si="203"/>
        <v>0</v>
      </c>
      <c r="M905" s="10">
        <f t="shared" ca="1" si="205"/>
        <v>1</v>
      </c>
      <c r="N905" s="30">
        <f t="shared" ca="1" si="206"/>
        <v>0</v>
      </c>
      <c r="O905" s="10">
        <f t="shared" ca="1" si="207"/>
        <v>2074400</v>
      </c>
      <c r="P905" s="29">
        <f t="shared" ca="1" si="208"/>
        <v>-5800</v>
      </c>
      <c r="Q905" s="12">
        <f t="shared" ca="1" si="209"/>
        <v>-340900</v>
      </c>
      <c r="R905" s="10">
        <f t="shared" ca="1" si="210"/>
        <v>-0.27959892016968763</v>
      </c>
      <c r="S905" s="10">
        <f t="shared" ca="1" si="200"/>
        <v>-0.33882395298898016</v>
      </c>
      <c r="T905" s="14">
        <f t="shared" ca="1" si="201"/>
        <v>-0.18610549302192442</v>
      </c>
      <c r="U905" s="12">
        <f t="shared" ca="1" si="211"/>
        <v>7900</v>
      </c>
      <c r="V905" s="14">
        <f t="shared" ca="1" si="212"/>
        <v>-4415.1898734177212</v>
      </c>
      <c r="W905" s="12">
        <f t="shared" ca="1" si="202"/>
        <v>-3774.6835443037976</v>
      </c>
      <c r="X905" s="7">
        <f ca="1">AVERAGE(E905:OFFSET(F905,-$X$5+1,0))</f>
        <v>10528</v>
      </c>
      <c r="Y905" s="7">
        <f ca="1">AVERAGE(E905:OFFSET(F905,-$Y$5+1,0))</f>
        <v>10506.8</v>
      </c>
      <c r="Z905" s="7">
        <f t="shared" ca="1" si="204"/>
        <v>0</v>
      </c>
    </row>
    <row r="906" spans="1:26">
      <c r="A906" s="3" t="s">
        <v>67</v>
      </c>
      <c r="B906" s="4">
        <v>42986</v>
      </c>
      <c r="C906" s="3">
        <v>10501</v>
      </c>
      <c r="D906" s="3">
        <v>10571</v>
      </c>
      <c r="E906" s="3">
        <v>10495</v>
      </c>
      <c r="F906" s="3">
        <v>10556</v>
      </c>
      <c r="G906" s="3">
        <v>135862</v>
      </c>
      <c r="H906" s="3">
        <v>1.0449999999999999</v>
      </c>
      <c r="I906" s="2">
        <f t="shared" si="213"/>
        <v>0</v>
      </c>
      <c r="J906" s="10">
        <f t="shared" si="215"/>
        <v>11</v>
      </c>
      <c r="K906" s="10">
        <f t="shared" si="214"/>
        <v>55</v>
      </c>
      <c r="L906" s="10">
        <f t="shared" ca="1" si="203"/>
        <v>0</v>
      </c>
      <c r="M906" s="10">
        <f t="shared" ca="1" si="205"/>
        <v>1</v>
      </c>
      <c r="N906" s="30">
        <f t="shared" ca="1" si="206"/>
        <v>0</v>
      </c>
      <c r="O906" s="10">
        <f t="shared" ca="1" si="207"/>
        <v>2074400</v>
      </c>
      <c r="P906" s="29">
        <f t="shared" ca="1" si="208"/>
        <v>13200</v>
      </c>
      <c r="Q906" s="12">
        <f t="shared" ca="1" si="209"/>
        <v>-327700</v>
      </c>
      <c r="R906" s="10">
        <f t="shared" ca="1" si="210"/>
        <v>0.63632857693790978</v>
      </c>
      <c r="S906" s="10">
        <f t="shared" ca="1" si="200"/>
        <v>-0.24045570857282464</v>
      </c>
      <c r="T906" s="14">
        <f t="shared" ca="1" si="201"/>
        <v>-0.172270840219206</v>
      </c>
      <c r="U906" s="12">
        <f t="shared" ca="1" si="211"/>
        <v>7900</v>
      </c>
      <c r="V906" s="14">
        <f t="shared" ca="1" si="212"/>
        <v>-4248.1012658227846</v>
      </c>
      <c r="W906" s="12">
        <f t="shared" ca="1" si="202"/>
        <v>-4182.2784810126586</v>
      </c>
      <c r="X906" s="7">
        <f ca="1">AVERAGE(E906:OFFSET(F906,-$X$5+1,0))</f>
        <v>10521.5</v>
      </c>
      <c r="Y906" s="7">
        <f ca="1">AVERAGE(E906:OFFSET(F906,-$Y$5+1,0))</f>
        <v>10513.45</v>
      </c>
      <c r="Z906" s="7">
        <f t="shared" ca="1" si="204"/>
        <v>0</v>
      </c>
    </row>
    <row r="907" spans="1:26">
      <c r="A907" s="3" t="s">
        <v>67</v>
      </c>
      <c r="B907" s="4">
        <v>42989</v>
      </c>
      <c r="C907" s="3">
        <v>10628</v>
      </c>
      <c r="D907" s="3">
        <v>10635</v>
      </c>
      <c r="E907" s="3">
        <v>10535</v>
      </c>
      <c r="F907" s="3">
        <v>10565</v>
      </c>
      <c r="G907" s="3">
        <v>149476</v>
      </c>
      <c r="H907" s="3">
        <v>1.0449999999999999</v>
      </c>
      <c r="I907" s="2">
        <f t="shared" si="213"/>
        <v>0</v>
      </c>
      <c r="J907" s="10">
        <f t="shared" si="215"/>
        <v>72</v>
      </c>
      <c r="K907" s="10">
        <f t="shared" si="214"/>
        <v>-63</v>
      </c>
      <c r="L907" s="10">
        <f t="shared" ca="1" si="203"/>
        <v>0</v>
      </c>
      <c r="M907" s="10">
        <f t="shared" ca="1" si="205"/>
        <v>1</v>
      </c>
      <c r="N907" s="30">
        <f t="shared" ca="1" si="206"/>
        <v>0</v>
      </c>
      <c r="O907" s="10">
        <f t="shared" ca="1" si="207"/>
        <v>2074400</v>
      </c>
      <c r="P907" s="29">
        <f t="shared" ca="1" si="208"/>
        <v>1800</v>
      </c>
      <c r="Q907" s="12">
        <f t="shared" ca="1" si="209"/>
        <v>-325900</v>
      </c>
      <c r="R907" s="10">
        <f t="shared" ca="1" si="210"/>
        <v>8.6772078673351336E-2</v>
      </c>
      <c r="S907" s="10">
        <f t="shared" ca="1" si="200"/>
        <v>0.12730008100914247</v>
      </c>
      <c r="T907" s="14">
        <f t="shared" ca="1" si="201"/>
        <v>-0.12297449206876543</v>
      </c>
      <c r="U907" s="12">
        <f t="shared" ca="1" si="211"/>
        <v>7900</v>
      </c>
      <c r="V907" s="14">
        <f t="shared" ca="1" si="212"/>
        <v>-4225.3164556962029</v>
      </c>
      <c r="W907" s="12">
        <f t="shared" ca="1" si="202"/>
        <v>-4182.2784810126586</v>
      </c>
      <c r="X907" s="7">
        <f ca="1">AVERAGE(E907:OFFSET(F907,-$X$5+1,0))</f>
        <v>10523</v>
      </c>
      <c r="Y907" s="7">
        <f ca="1">AVERAGE(E907:OFFSET(F907,-$Y$5+1,0))</f>
        <v>10521.1</v>
      </c>
      <c r="Z907" s="7">
        <f t="shared" ca="1" si="204"/>
        <v>0</v>
      </c>
    </row>
    <row r="908" spans="1:26">
      <c r="A908" s="3" t="s">
        <v>67</v>
      </c>
      <c r="B908" s="4">
        <v>42990</v>
      </c>
      <c r="C908" s="3">
        <v>10604</v>
      </c>
      <c r="D908" s="3">
        <v>10614</v>
      </c>
      <c r="E908" s="3">
        <v>10564</v>
      </c>
      <c r="F908" s="3">
        <v>10590</v>
      </c>
      <c r="G908" s="3">
        <v>108726</v>
      </c>
      <c r="H908" s="3">
        <v>1.0449999999999999</v>
      </c>
      <c r="I908" s="2">
        <f t="shared" si="213"/>
        <v>0</v>
      </c>
      <c r="J908" s="10">
        <f t="shared" si="215"/>
        <v>39</v>
      </c>
      <c r="K908" s="10">
        <f t="shared" si="214"/>
        <v>-14</v>
      </c>
      <c r="L908" s="10">
        <f t="shared" ca="1" si="203"/>
        <v>-1</v>
      </c>
      <c r="M908" s="10">
        <f t="shared" ca="1" si="205"/>
        <v>1</v>
      </c>
      <c r="N908" s="30">
        <f t="shared" ca="1" si="206"/>
        <v>0</v>
      </c>
      <c r="O908" s="10">
        <f t="shared" ca="1" si="207"/>
        <v>2074400</v>
      </c>
      <c r="P908" s="29">
        <f t="shared" ca="1" si="208"/>
        <v>5000</v>
      </c>
      <c r="Q908" s="12">
        <f t="shared" ca="1" si="209"/>
        <v>-320900</v>
      </c>
      <c r="R908" s="10">
        <f t="shared" ca="1" si="210"/>
        <v>0.24103355187042036</v>
      </c>
      <c r="S908" s="10">
        <f t="shared" ca="1" si="200"/>
        <v>0.14658797207113375</v>
      </c>
      <c r="T908" s="14">
        <f t="shared" ca="1" si="201"/>
        <v>-0.12032330044720885</v>
      </c>
      <c r="U908" s="12">
        <f t="shared" ca="1" si="211"/>
        <v>7900</v>
      </c>
      <c r="V908" s="14">
        <f t="shared" ca="1" si="212"/>
        <v>-4162.0253164556962</v>
      </c>
      <c r="W908" s="12">
        <f t="shared" ca="1" si="202"/>
        <v>-4162.0253164556962</v>
      </c>
      <c r="X908" s="7">
        <f ca="1">AVERAGE(E908:OFFSET(F908,-$X$5+1,0))</f>
        <v>10527.4</v>
      </c>
      <c r="Y908" s="7">
        <f ca="1">AVERAGE(E908:OFFSET(F908,-$Y$5+1,0))</f>
        <v>10534.6</v>
      </c>
      <c r="Z908" s="7">
        <f t="shared" ca="1" si="204"/>
        <v>-1</v>
      </c>
    </row>
    <row r="909" spans="1:26">
      <c r="A909" s="3" t="s">
        <v>67</v>
      </c>
      <c r="B909" s="4">
        <v>42991</v>
      </c>
      <c r="C909" s="3">
        <v>10595</v>
      </c>
      <c r="D909" s="3">
        <v>10603</v>
      </c>
      <c r="E909" s="3">
        <v>10510</v>
      </c>
      <c r="F909" s="3">
        <v>10521</v>
      </c>
      <c r="G909" s="3">
        <v>137962</v>
      </c>
      <c r="H909" s="3">
        <v>1.0449999999999999</v>
      </c>
      <c r="I909" s="2">
        <f t="shared" si="213"/>
        <v>0</v>
      </c>
      <c r="J909" s="10">
        <f t="shared" si="215"/>
        <v>5</v>
      </c>
      <c r="K909" s="10">
        <f t="shared" si="214"/>
        <v>-74</v>
      </c>
      <c r="L909" s="10">
        <f t="shared" ca="1" si="203"/>
        <v>0</v>
      </c>
      <c r="M909" s="10">
        <f t="shared" ca="1" si="205"/>
        <v>0</v>
      </c>
      <c r="N909" s="30">
        <f t="shared" ca="1" si="206"/>
        <v>0</v>
      </c>
      <c r="O909" s="10">
        <f t="shared" ca="1" si="207"/>
        <v>0</v>
      </c>
      <c r="P909" s="29">
        <f t="shared" ca="1" si="208"/>
        <v>500</v>
      </c>
      <c r="Q909" s="12">
        <f t="shared" ca="1" si="209"/>
        <v>-320400</v>
      </c>
      <c r="R909" s="10">
        <f t="shared" ca="1" si="210"/>
        <v>2.4103355187042035E-2</v>
      </c>
      <c r="S909" s="10">
        <f t="shared" ca="1" si="200"/>
        <v>0.13758695624220449</v>
      </c>
      <c r="T909" s="14">
        <f t="shared" ca="1" si="201"/>
        <v>-0.12152718701969445</v>
      </c>
      <c r="U909" s="12">
        <f t="shared" ca="1" si="211"/>
        <v>7900</v>
      </c>
      <c r="V909" s="14">
        <f t="shared" ca="1" si="212"/>
        <v>-4155.6962025316452</v>
      </c>
      <c r="W909" s="12">
        <f t="shared" ca="1" si="202"/>
        <v>-4155.6962025316452</v>
      </c>
      <c r="X909" s="7">
        <f ca="1">AVERAGE(E909:OFFSET(F909,-$X$5+1,0))</f>
        <v>10530.3</v>
      </c>
      <c r="Y909" s="7">
        <f ca="1">AVERAGE(E909:OFFSET(F909,-$Y$5+1,0))</f>
        <v>10534.95</v>
      </c>
      <c r="Z909" s="7">
        <f t="shared" ca="1" si="204"/>
        <v>0</v>
      </c>
    </row>
    <row r="910" spans="1:26">
      <c r="A910" s="3" t="s">
        <v>67</v>
      </c>
      <c r="B910" s="4">
        <v>42992</v>
      </c>
      <c r="C910" s="3">
        <v>10520</v>
      </c>
      <c r="D910" s="3">
        <v>10545</v>
      </c>
      <c r="E910" s="3">
        <v>10486</v>
      </c>
      <c r="F910" s="3">
        <v>10529</v>
      </c>
      <c r="G910" s="3">
        <v>112018</v>
      </c>
      <c r="H910" s="3">
        <v>1.0449999999999999</v>
      </c>
      <c r="I910" s="2">
        <f t="shared" si="213"/>
        <v>0</v>
      </c>
      <c r="J910" s="10">
        <f t="shared" si="215"/>
        <v>-1</v>
      </c>
      <c r="K910" s="10">
        <f t="shared" si="214"/>
        <v>9</v>
      </c>
      <c r="L910" s="10">
        <f t="shared" ca="1" si="203"/>
        <v>1</v>
      </c>
      <c r="M910" s="10">
        <f t="shared" ca="1" si="205"/>
        <v>0</v>
      </c>
      <c r="N910" s="30">
        <f t="shared" ca="1" si="206"/>
        <v>0</v>
      </c>
      <c r="O910" s="10">
        <f t="shared" ca="1" si="207"/>
        <v>0</v>
      </c>
      <c r="P910" s="29">
        <f t="shared" ca="1" si="208"/>
        <v>0</v>
      </c>
      <c r="Q910" s="12">
        <f t="shared" ca="1" si="209"/>
        <v>-320400</v>
      </c>
      <c r="R910" s="10">
        <f t="shared" ca="1" si="210"/>
        <v>0</v>
      </c>
      <c r="S910" s="10">
        <f t="shared" ca="1" si="200"/>
        <v>0.13758695624220449</v>
      </c>
      <c r="T910" s="14">
        <f t="shared" ca="1" si="201"/>
        <v>-0.12152718701969445</v>
      </c>
      <c r="U910" s="12">
        <f t="shared" ca="1" si="211"/>
        <v>7900</v>
      </c>
      <c r="V910" s="14">
        <f t="shared" ca="1" si="212"/>
        <v>-4155.6962025316452</v>
      </c>
      <c r="W910" s="12">
        <f t="shared" ca="1" si="202"/>
        <v>-4155.6962025316452</v>
      </c>
      <c r="X910" s="7">
        <f ca="1">AVERAGE(E910:OFFSET(F910,-$X$5+1,0))</f>
        <v>10535.1</v>
      </c>
      <c r="Y910" s="7">
        <f ca="1">AVERAGE(E910:OFFSET(F910,-$Y$5+1,0))</f>
        <v>10531.55</v>
      </c>
      <c r="Z910" s="7">
        <f t="shared" ca="1" si="204"/>
        <v>1</v>
      </c>
    </row>
    <row r="911" spans="1:26">
      <c r="A911" s="3" t="s">
        <v>67</v>
      </c>
      <c r="B911" s="4">
        <v>42993</v>
      </c>
      <c r="C911" s="3">
        <v>10528</v>
      </c>
      <c r="D911" s="3">
        <v>10570</v>
      </c>
      <c r="E911" s="3">
        <v>10491</v>
      </c>
      <c r="F911" s="3">
        <v>10566</v>
      </c>
      <c r="G911" s="3">
        <v>139760</v>
      </c>
      <c r="H911" s="3">
        <v>1.0449999999999999</v>
      </c>
      <c r="I911" s="2">
        <f t="shared" si="213"/>
        <v>0</v>
      </c>
      <c r="J911" s="10">
        <f t="shared" si="215"/>
        <v>-1</v>
      </c>
      <c r="K911" s="10">
        <f t="shared" si="214"/>
        <v>38</v>
      </c>
      <c r="L911" s="10">
        <f t="shared" ca="1" si="203"/>
        <v>0</v>
      </c>
      <c r="M911" s="10">
        <f t="shared" ca="1" si="205"/>
        <v>1</v>
      </c>
      <c r="N911" s="30">
        <f t="shared" ca="1" si="206"/>
        <v>2105600</v>
      </c>
      <c r="O911" s="10">
        <f t="shared" ca="1" si="207"/>
        <v>2105600</v>
      </c>
      <c r="P911" s="29">
        <f t="shared" ca="1" si="208"/>
        <v>7100</v>
      </c>
      <c r="Q911" s="12">
        <f t="shared" ca="1" si="209"/>
        <v>-313300</v>
      </c>
      <c r="R911" s="10">
        <f t="shared" ca="1" si="210"/>
        <v>0.33719604863221886</v>
      </c>
      <c r="S911" s="10">
        <f t="shared" ca="1" si="200"/>
        <v>0.1808684213854774</v>
      </c>
      <c r="T911" s="14">
        <f t="shared" ca="1" si="201"/>
        <v>-0.11561202661971808</v>
      </c>
      <c r="U911" s="12">
        <f t="shared" ca="1" si="211"/>
        <v>7900</v>
      </c>
      <c r="V911" s="14">
        <f t="shared" ca="1" si="212"/>
        <v>-4065.8227848101264</v>
      </c>
      <c r="W911" s="12">
        <f t="shared" ca="1" si="202"/>
        <v>-4065.8227848101264</v>
      </c>
      <c r="X911" s="7">
        <f ca="1">AVERAGE(E911:OFFSET(F911,-$X$5+1,0))</f>
        <v>10535.7</v>
      </c>
      <c r="Y911" s="7">
        <f ca="1">AVERAGE(E911:OFFSET(F911,-$Y$5+1,0))</f>
        <v>10528.6</v>
      </c>
      <c r="Z911" s="7">
        <f t="shared" ca="1" si="204"/>
        <v>0</v>
      </c>
    </row>
    <row r="912" spans="1:26">
      <c r="A912" s="3" t="s">
        <v>67</v>
      </c>
      <c r="B912" s="4">
        <v>42996</v>
      </c>
      <c r="C912" s="3">
        <v>10605</v>
      </c>
      <c r="D912" s="3">
        <v>10649</v>
      </c>
      <c r="E912" s="3">
        <v>10582</v>
      </c>
      <c r="F912" s="3">
        <v>10636</v>
      </c>
      <c r="G912" s="3">
        <v>136401</v>
      </c>
      <c r="H912" s="3">
        <v>1.0449999999999999</v>
      </c>
      <c r="I912" s="2">
        <f t="shared" si="213"/>
        <v>0</v>
      </c>
      <c r="J912" s="10">
        <f t="shared" si="215"/>
        <v>39</v>
      </c>
      <c r="K912" s="10">
        <f t="shared" si="214"/>
        <v>31</v>
      </c>
      <c r="L912" s="10">
        <f t="shared" ca="1" si="203"/>
        <v>0</v>
      </c>
      <c r="M912" s="10">
        <f t="shared" ca="1" si="205"/>
        <v>1</v>
      </c>
      <c r="N912" s="30">
        <f t="shared" ca="1" si="206"/>
        <v>0</v>
      </c>
      <c r="O912" s="10">
        <f t="shared" ca="1" si="207"/>
        <v>2105600</v>
      </c>
      <c r="P912" s="29">
        <f t="shared" ca="1" si="208"/>
        <v>14000</v>
      </c>
      <c r="Q912" s="12">
        <f t="shared" ca="1" si="209"/>
        <v>-299300</v>
      </c>
      <c r="R912" s="10">
        <f t="shared" ca="1" si="210"/>
        <v>0.66489361702127658</v>
      </c>
      <c r="S912" s="10">
        <f t="shared" ca="1" si="200"/>
        <v>0.37312016999101982</v>
      </c>
      <c r="T912" s="14">
        <f t="shared" ca="1" si="201"/>
        <v>-8.9556398322522449E-2</v>
      </c>
      <c r="U912" s="12">
        <f t="shared" ca="1" si="211"/>
        <v>7900</v>
      </c>
      <c r="V912" s="14">
        <f t="shared" ca="1" si="212"/>
        <v>-3888.6075949367087</v>
      </c>
      <c r="W912" s="12">
        <f t="shared" ca="1" si="202"/>
        <v>-3888.6075949367087</v>
      </c>
      <c r="X912" s="7">
        <f ca="1">AVERAGE(E912:OFFSET(F912,-$X$5+1,0))</f>
        <v>10547.5</v>
      </c>
      <c r="Y912" s="7">
        <f ca="1">AVERAGE(E912:OFFSET(F912,-$Y$5+1,0))</f>
        <v>10535.25</v>
      </c>
      <c r="Z912" s="7">
        <f t="shared" ca="1" si="204"/>
        <v>0</v>
      </c>
    </row>
    <row r="913" spans="1:26">
      <c r="A913" s="3" t="s">
        <v>67</v>
      </c>
      <c r="B913" s="4">
        <v>42997</v>
      </c>
      <c r="C913" s="3">
        <v>10647</v>
      </c>
      <c r="D913" s="3">
        <v>10658</v>
      </c>
      <c r="E913" s="3">
        <v>10568</v>
      </c>
      <c r="F913" s="3">
        <v>10580</v>
      </c>
      <c r="G913" s="3">
        <v>146041</v>
      </c>
      <c r="H913" s="3">
        <v>1.0449999999999999</v>
      </c>
      <c r="I913" s="2">
        <f t="shared" si="213"/>
        <v>0</v>
      </c>
      <c r="J913" s="10">
        <f t="shared" si="215"/>
        <v>11</v>
      </c>
      <c r="K913" s="10">
        <f t="shared" si="214"/>
        <v>-67</v>
      </c>
      <c r="L913" s="10">
        <f t="shared" ca="1" si="203"/>
        <v>0</v>
      </c>
      <c r="M913" s="10">
        <f t="shared" ca="1" si="205"/>
        <v>1</v>
      </c>
      <c r="N913" s="30">
        <f t="shared" ca="1" si="206"/>
        <v>0</v>
      </c>
      <c r="O913" s="10">
        <f t="shared" ca="1" si="207"/>
        <v>2105600</v>
      </c>
      <c r="P913" s="29">
        <f t="shared" ca="1" si="208"/>
        <v>-11200</v>
      </c>
      <c r="Q913" s="12">
        <f t="shared" ca="1" si="209"/>
        <v>-310500</v>
      </c>
      <c r="R913" s="10">
        <f t="shared" ca="1" si="210"/>
        <v>-0.53191489361702127</v>
      </c>
      <c r="S913" s="10">
        <f t="shared" ca="1" si="200"/>
        <v>0.17707397897878907</v>
      </c>
      <c r="T913" s="14">
        <f t="shared" ca="1" si="201"/>
        <v>-0.11544819277095203</v>
      </c>
      <c r="U913" s="12">
        <f t="shared" ca="1" si="211"/>
        <v>7900</v>
      </c>
      <c r="V913" s="14">
        <f t="shared" ca="1" si="212"/>
        <v>-4030.3797468354433</v>
      </c>
      <c r="W913" s="12">
        <f t="shared" ca="1" si="202"/>
        <v>-3888.6075949367087</v>
      </c>
      <c r="X913" s="7">
        <f ca="1">AVERAGE(E913:OFFSET(F913,-$X$5+1,0))</f>
        <v>10546.9</v>
      </c>
      <c r="Y913" s="7">
        <f ca="1">AVERAGE(E913:OFFSET(F913,-$Y$5+1,0))</f>
        <v>10537.15</v>
      </c>
      <c r="Z913" s="7">
        <f t="shared" ca="1" si="204"/>
        <v>0</v>
      </c>
    </row>
    <row r="914" spans="1:26">
      <c r="A914" s="3" t="s">
        <v>67</v>
      </c>
      <c r="B914" s="4">
        <v>42998</v>
      </c>
      <c r="C914" s="3">
        <v>10572</v>
      </c>
      <c r="D914" s="3">
        <v>10585</v>
      </c>
      <c r="E914" s="3">
        <v>10490</v>
      </c>
      <c r="F914" s="3">
        <v>10510</v>
      </c>
      <c r="G914" s="3">
        <v>112339</v>
      </c>
      <c r="H914" s="3">
        <v>1.0449999999999999</v>
      </c>
      <c r="I914" s="2">
        <f t="shared" si="213"/>
        <v>1</v>
      </c>
      <c r="J914" s="10">
        <f t="shared" si="215"/>
        <v>-8</v>
      </c>
      <c r="K914" s="10">
        <f t="shared" si="214"/>
        <v>-62</v>
      </c>
      <c r="L914" s="10">
        <f t="shared" ca="1" si="203"/>
        <v>0</v>
      </c>
      <c r="M914" s="10">
        <f t="shared" si="205"/>
        <v>0</v>
      </c>
      <c r="N914" s="30">
        <f t="shared" si="206"/>
        <v>0</v>
      </c>
      <c r="O914" s="10">
        <f t="shared" si="207"/>
        <v>0</v>
      </c>
      <c r="P914" s="29">
        <f t="shared" ca="1" si="208"/>
        <v>-2100</v>
      </c>
      <c r="Q914" s="12">
        <f t="shared" ca="1" si="209"/>
        <v>-312600</v>
      </c>
      <c r="R914" s="10">
        <f t="shared" ca="1" si="210"/>
        <v>-9.9734042553191488E-2</v>
      </c>
      <c r="S914" s="10">
        <f t="shared" ca="1" si="200"/>
        <v>0.32189519750072726</v>
      </c>
      <c r="T914" s="14">
        <f t="shared" ca="1" si="201"/>
        <v>-9.6180209234062786E-2</v>
      </c>
      <c r="U914" s="12">
        <f t="shared" ca="1" si="211"/>
        <v>7900</v>
      </c>
      <c r="V914" s="14">
        <f t="shared" ca="1" si="212"/>
        <v>-4056.9620253164558</v>
      </c>
      <c r="W914" s="12">
        <f t="shared" ca="1" si="202"/>
        <v>-3888.6075949367087</v>
      </c>
      <c r="X914" s="7">
        <f ca="1">AVERAGE(E914:OFFSET(F914,-$X$5+1,0))</f>
        <v>10543.8</v>
      </c>
      <c r="Y914" s="7">
        <f ca="1">AVERAGE(E914:OFFSET(F914,-$Y$5+1,0))</f>
        <v>10537.05</v>
      </c>
      <c r="Z914" s="7">
        <f t="shared" ca="1" si="204"/>
        <v>0</v>
      </c>
    </row>
    <row r="915" spans="1:26">
      <c r="A915" s="3" t="s">
        <v>68</v>
      </c>
      <c r="B915" s="4">
        <v>42999</v>
      </c>
      <c r="C915" s="3">
        <v>10505</v>
      </c>
      <c r="D915" s="3">
        <v>10583</v>
      </c>
      <c r="E915" s="3">
        <v>10473</v>
      </c>
      <c r="F915" s="3">
        <v>10575</v>
      </c>
      <c r="G915" s="3">
        <v>135327</v>
      </c>
      <c r="H915" s="3">
        <v>1.0449999999999999</v>
      </c>
      <c r="I915" s="2">
        <f t="shared" si="213"/>
        <v>0</v>
      </c>
      <c r="J915" s="10">
        <f t="shared" si="215"/>
        <v>-5</v>
      </c>
      <c r="K915" s="10">
        <f t="shared" si="214"/>
        <v>70</v>
      </c>
      <c r="L915" s="10">
        <f t="shared" ca="1" si="203"/>
        <v>0</v>
      </c>
      <c r="M915" s="10">
        <f t="shared" ca="1" si="205"/>
        <v>0</v>
      </c>
      <c r="N915" s="30">
        <f t="shared" ca="1" si="206"/>
        <v>0</v>
      </c>
      <c r="O915" s="10">
        <f t="shared" ca="1" si="207"/>
        <v>0</v>
      </c>
      <c r="P915" s="29">
        <f t="shared" ca="1" si="208"/>
        <v>0</v>
      </c>
      <c r="Q915" s="12">
        <f t="shared" ca="1" si="209"/>
        <v>-312600</v>
      </c>
      <c r="R915" s="10">
        <f t="shared" ca="1" si="210"/>
        <v>0</v>
      </c>
      <c r="S915" s="10">
        <f t="shared" ca="1" si="200"/>
        <v>0.23841746455358384</v>
      </c>
      <c r="T915" s="14">
        <f t="shared" ca="1" si="201"/>
        <v>-0.10728358704802717</v>
      </c>
      <c r="U915" s="12">
        <f t="shared" ca="1" si="211"/>
        <v>7900</v>
      </c>
      <c r="V915" s="14">
        <f t="shared" ca="1" si="212"/>
        <v>-4056.9620253164558</v>
      </c>
      <c r="W915" s="12">
        <f t="shared" ca="1" si="202"/>
        <v>-3888.6075949367087</v>
      </c>
      <c r="X915" s="7">
        <f ca="1">AVERAGE(E915:OFFSET(F915,-$X$5+1,0))</f>
        <v>10547.1</v>
      </c>
      <c r="Y915" s="7">
        <f ca="1">AVERAGE(E915:OFFSET(F915,-$Y$5+1,0))</f>
        <v>10541.1</v>
      </c>
      <c r="Z915" s="7">
        <f t="shared" ca="1" si="204"/>
        <v>0</v>
      </c>
    </row>
    <row r="916" spans="1:26">
      <c r="A916" s="3" t="s">
        <v>68</v>
      </c>
      <c r="B916" s="4">
        <v>43000</v>
      </c>
      <c r="C916" s="3">
        <v>10554</v>
      </c>
      <c r="D916" s="3">
        <v>10568</v>
      </c>
      <c r="E916" s="3">
        <v>10427</v>
      </c>
      <c r="F916" s="3">
        <v>10433</v>
      </c>
      <c r="G916" s="3">
        <v>168874</v>
      </c>
      <c r="H916" s="3">
        <v>1.0449999999999999</v>
      </c>
      <c r="I916" s="2">
        <f t="shared" si="213"/>
        <v>0</v>
      </c>
      <c r="J916" s="10">
        <f t="shared" si="215"/>
        <v>-21</v>
      </c>
      <c r="K916" s="10">
        <f t="shared" si="214"/>
        <v>-121</v>
      </c>
      <c r="L916" s="10">
        <f t="shared" ca="1" si="203"/>
        <v>-1</v>
      </c>
      <c r="M916" s="10">
        <f t="shared" ca="1" si="205"/>
        <v>0</v>
      </c>
      <c r="N916" s="30">
        <f t="shared" ca="1" si="206"/>
        <v>0</v>
      </c>
      <c r="O916" s="10">
        <f t="shared" ca="1" si="207"/>
        <v>0</v>
      </c>
      <c r="P916" s="29">
        <f t="shared" ca="1" si="208"/>
        <v>0</v>
      </c>
      <c r="Q916" s="12">
        <f t="shared" ca="1" si="209"/>
        <v>-312600</v>
      </c>
      <c r="R916" s="10">
        <f t="shared" ca="1" si="210"/>
        <v>0</v>
      </c>
      <c r="S916" s="10">
        <f t="shared" ca="1" si="200"/>
        <v>0.17138231536875656</v>
      </c>
      <c r="T916" s="14">
        <f t="shared" ca="1" si="201"/>
        <v>-0.11619993589863489</v>
      </c>
      <c r="U916" s="12">
        <f t="shared" ca="1" si="211"/>
        <v>7900</v>
      </c>
      <c r="V916" s="14">
        <f t="shared" ca="1" si="212"/>
        <v>-4056.9620253164558</v>
      </c>
      <c r="W916" s="12">
        <f t="shared" ca="1" si="202"/>
        <v>-3888.6075949367087</v>
      </c>
      <c r="X916" s="7">
        <f ca="1">AVERAGE(E916:OFFSET(F916,-$X$5+1,0))</f>
        <v>10527.4</v>
      </c>
      <c r="Y916" s="7">
        <f ca="1">AVERAGE(E916:OFFSET(F916,-$Y$5+1,0))</f>
        <v>10531.55</v>
      </c>
      <c r="Z916" s="7">
        <f t="shared" ca="1" si="204"/>
        <v>-1</v>
      </c>
    </row>
    <row r="917" spans="1:26">
      <c r="A917" s="3" t="s">
        <v>68</v>
      </c>
      <c r="B917" s="4">
        <v>43003</v>
      </c>
      <c r="C917" s="3">
        <v>10426</v>
      </c>
      <c r="D917" s="3">
        <v>10453</v>
      </c>
      <c r="E917" s="3">
        <v>10315</v>
      </c>
      <c r="F917" s="3">
        <v>10333</v>
      </c>
      <c r="G917" s="3">
        <v>167936</v>
      </c>
      <c r="H917" s="3">
        <v>1.0449999999999999</v>
      </c>
      <c r="I917" s="2">
        <f t="shared" si="213"/>
        <v>0</v>
      </c>
      <c r="J917" s="10">
        <f t="shared" si="215"/>
        <v>-7</v>
      </c>
      <c r="K917" s="10">
        <f t="shared" si="214"/>
        <v>-93</v>
      </c>
      <c r="L917" s="10">
        <f t="shared" ca="1" si="203"/>
        <v>0</v>
      </c>
      <c r="M917" s="10">
        <f t="shared" ca="1" si="205"/>
        <v>-1</v>
      </c>
      <c r="N917" s="30">
        <f t="shared" ca="1" si="206"/>
        <v>0</v>
      </c>
      <c r="O917" s="10">
        <f t="shared" ca="1" si="207"/>
        <v>2085200</v>
      </c>
      <c r="P917" s="29">
        <f t="shared" ca="1" si="208"/>
        <v>18100</v>
      </c>
      <c r="Q917" s="12">
        <f t="shared" ca="1" si="209"/>
        <v>-294500</v>
      </c>
      <c r="R917" s="10">
        <f t="shared" ca="1" si="210"/>
        <v>0.86802225206215233</v>
      </c>
      <c r="S917" s="10">
        <f t="shared" ca="1" si="200"/>
        <v>0.29470169358612752</v>
      </c>
      <c r="T917" s="14">
        <f t="shared" ca="1" si="201"/>
        <v>-9.9183165201849097E-2</v>
      </c>
      <c r="U917" s="12">
        <f t="shared" ca="1" si="211"/>
        <v>7900</v>
      </c>
      <c r="V917" s="14">
        <f t="shared" ca="1" si="212"/>
        <v>-3827.8481012658226</v>
      </c>
      <c r="W917" s="12">
        <f t="shared" ca="1" si="202"/>
        <v>-3827.8481012658226</v>
      </c>
      <c r="X917" s="7">
        <f ca="1">AVERAGE(E917:OFFSET(F917,-$X$5+1,0))</f>
        <v>10470.4</v>
      </c>
      <c r="Y917" s="7">
        <f ca="1">AVERAGE(E917:OFFSET(F917,-$Y$5+1,0))</f>
        <v>10508.95</v>
      </c>
      <c r="Z917" s="7">
        <f t="shared" ca="1" si="204"/>
        <v>0</v>
      </c>
    </row>
    <row r="918" spans="1:26">
      <c r="A918" s="3" t="s">
        <v>68</v>
      </c>
      <c r="B918" s="4">
        <v>43004</v>
      </c>
      <c r="C918" s="3">
        <v>10299</v>
      </c>
      <c r="D918" s="3">
        <v>10369</v>
      </c>
      <c r="E918" s="3">
        <v>10261</v>
      </c>
      <c r="F918" s="3">
        <v>10264</v>
      </c>
      <c r="G918" s="3">
        <v>167202</v>
      </c>
      <c r="H918" s="3">
        <v>1.0449999999999999</v>
      </c>
      <c r="I918" s="2">
        <f t="shared" si="213"/>
        <v>0</v>
      </c>
      <c r="J918" s="10">
        <f t="shared" si="215"/>
        <v>-34</v>
      </c>
      <c r="K918" s="10">
        <f t="shared" si="214"/>
        <v>-35</v>
      </c>
      <c r="L918" s="10">
        <f t="shared" ca="1" si="203"/>
        <v>0</v>
      </c>
      <c r="M918" s="10">
        <f t="shared" ca="1" si="205"/>
        <v>-1</v>
      </c>
      <c r="N918" s="30">
        <f t="shared" ca="1" si="206"/>
        <v>0</v>
      </c>
      <c r="O918" s="10">
        <f t="shared" ca="1" si="207"/>
        <v>2085200</v>
      </c>
      <c r="P918" s="29">
        <f t="shared" ca="1" si="208"/>
        <v>13800</v>
      </c>
      <c r="Q918" s="12">
        <f t="shared" ca="1" si="209"/>
        <v>-280700</v>
      </c>
      <c r="R918" s="10">
        <f t="shared" ca="1" si="210"/>
        <v>0.66180702090926535</v>
      </c>
      <c r="S918" s="10">
        <f t="shared" ca="1" si="200"/>
        <v>0.3617368427709548</v>
      </c>
      <c r="T918" s="14">
        <f t="shared" ca="1" si="201"/>
        <v>-9.0200511622067742E-2</v>
      </c>
      <c r="U918" s="12">
        <f t="shared" ca="1" si="211"/>
        <v>7900</v>
      </c>
      <c r="V918" s="14">
        <f t="shared" ca="1" si="212"/>
        <v>-3653.1645569620255</v>
      </c>
      <c r="W918" s="12">
        <f t="shared" ca="1" si="202"/>
        <v>-3653.1645569620255</v>
      </c>
      <c r="X918" s="7">
        <f ca="1">AVERAGE(E918:OFFSET(F918,-$X$5+1,0))</f>
        <v>10408.1</v>
      </c>
      <c r="Y918" s="7">
        <f ca="1">AVERAGE(E918:OFFSET(F918,-$Y$5+1,0))</f>
        <v>10477.5</v>
      </c>
      <c r="Z918" s="7">
        <f t="shared" ca="1" si="204"/>
        <v>0</v>
      </c>
    </row>
    <row r="919" spans="1:26">
      <c r="A919" s="3" t="s">
        <v>68</v>
      </c>
      <c r="B919" s="4">
        <v>43005</v>
      </c>
      <c r="C919" s="3">
        <v>10300</v>
      </c>
      <c r="D919" s="3">
        <v>10340</v>
      </c>
      <c r="E919" s="3">
        <v>10290</v>
      </c>
      <c r="F919" s="3">
        <v>10319</v>
      </c>
      <c r="G919" s="3">
        <v>130608</v>
      </c>
      <c r="H919" s="3">
        <v>1.0449999999999999</v>
      </c>
      <c r="I919" s="2">
        <f t="shared" si="213"/>
        <v>0</v>
      </c>
      <c r="J919" s="10">
        <f t="shared" si="215"/>
        <v>36</v>
      </c>
      <c r="K919" s="10">
        <f t="shared" si="214"/>
        <v>19</v>
      </c>
      <c r="L919" s="10">
        <f t="shared" ca="1" si="203"/>
        <v>0</v>
      </c>
      <c r="M919" s="10">
        <f t="shared" ca="1" si="205"/>
        <v>-1</v>
      </c>
      <c r="N919" s="30">
        <f t="shared" ca="1" si="206"/>
        <v>0</v>
      </c>
      <c r="O919" s="10">
        <f t="shared" ca="1" si="207"/>
        <v>2085200</v>
      </c>
      <c r="P919" s="29">
        <f t="shared" ca="1" si="208"/>
        <v>-11000</v>
      </c>
      <c r="Q919" s="12">
        <f t="shared" ca="1" si="209"/>
        <v>-291700</v>
      </c>
      <c r="R919" s="10">
        <f t="shared" ca="1" si="210"/>
        <v>-0.5275273355073854</v>
      </c>
      <c r="S919" s="10">
        <f t="shared" ca="1" si="200"/>
        <v>0.29596650772169031</v>
      </c>
      <c r="T919" s="14">
        <f t="shared" ca="1" si="201"/>
        <v>-9.9475953807016987E-2</v>
      </c>
      <c r="U919" s="12">
        <f t="shared" ca="1" si="211"/>
        <v>7900</v>
      </c>
      <c r="V919" s="14">
        <f t="shared" ca="1" si="212"/>
        <v>-3792.4050632911394</v>
      </c>
      <c r="W919" s="12">
        <f t="shared" ca="1" si="202"/>
        <v>-3653.1645569620255</v>
      </c>
      <c r="X919" s="7">
        <f ca="1">AVERAGE(E919:OFFSET(F919,-$X$5+1,0))</f>
        <v>10369</v>
      </c>
      <c r="Y919" s="7">
        <f ca="1">AVERAGE(E919:OFFSET(F919,-$Y$5+1,0))</f>
        <v>10456.4</v>
      </c>
      <c r="Z919" s="7">
        <f t="shared" ca="1" si="204"/>
        <v>0</v>
      </c>
    </row>
    <row r="920" spans="1:26">
      <c r="A920" s="3" t="s">
        <v>68</v>
      </c>
      <c r="B920" s="4">
        <v>43006</v>
      </c>
      <c r="C920" s="3">
        <v>10349</v>
      </c>
      <c r="D920" s="3">
        <v>10350</v>
      </c>
      <c r="E920" s="3">
        <v>10266</v>
      </c>
      <c r="F920" s="3">
        <v>10299</v>
      </c>
      <c r="G920" s="3">
        <v>161794</v>
      </c>
      <c r="H920" s="3">
        <v>1.0449999999999999</v>
      </c>
      <c r="I920" s="2">
        <f t="shared" si="213"/>
        <v>0</v>
      </c>
      <c r="J920" s="10">
        <f t="shared" si="215"/>
        <v>30</v>
      </c>
      <c r="K920" s="10">
        <f t="shared" si="214"/>
        <v>-50</v>
      </c>
      <c r="L920" s="10">
        <f t="shared" ca="1" si="203"/>
        <v>0</v>
      </c>
      <c r="M920" s="10">
        <f t="shared" ca="1" si="205"/>
        <v>-1</v>
      </c>
      <c r="N920" s="30">
        <f t="shared" ca="1" si="206"/>
        <v>0</v>
      </c>
      <c r="O920" s="10">
        <f t="shared" ca="1" si="207"/>
        <v>2085200</v>
      </c>
      <c r="P920" s="29">
        <f t="shared" ca="1" si="208"/>
        <v>4000</v>
      </c>
      <c r="Q920" s="12">
        <f t="shared" ca="1" si="209"/>
        <v>-287700</v>
      </c>
      <c r="R920" s="10">
        <f t="shared" ca="1" si="210"/>
        <v>0.19182812200268559</v>
      </c>
      <c r="S920" s="10">
        <f t="shared" ca="1" si="200"/>
        <v>0.39968126683783817</v>
      </c>
      <c r="T920" s="14">
        <f t="shared" ca="1" si="201"/>
        <v>-8.5745922632862015E-2</v>
      </c>
      <c r="U920" s="12">
        <f t="shared" ca="1" si="211"/>
        <v>7900</v>
      </c>
      <c r="V920" s="14">
        <f t="shared" ca="1" si="212"/>
        <v>-3741.7721518987341</v>
      </c>
      <c r="W920" s="12">
        <f t="shared" ca="1" si="202"/>
        <v>-3653.1645569620255</v>
      </c>
      <c r="X920" s="7">
        <f ca="1">AVERAGE(E920:OFFSET(F920,-$X$5+1,0))</f>
        <v>10320.700000000001</v>
      </c>
      <c r="Y920" s="7">
        <f ca="1">AVERAGE(E920:OFFSET(F920,-$Y$5+1,0))</f>
        <v>10433.9</v>
      </c>
      <c r="Z920" s="7">
        <f t="shared" ca="1" si="204"/>
        <v>0</v>
      </c>
    </row>
    <row r="921" spans="1:26">
      <c r="A921" s="3" t="s">
        <v>68</v>
      </c>
      <c r="B921" s="4">
        <v>43007</v>
      </c>
      <c r="C921" s="3">
        <v>10299</v>
      </c>
      <c r="D921" s="3">
        <v>10328</v>
      </c>
      <c r="E921" s="3">
        <v>10263</v>
      </c>
      <c r="F921" s="3">
        <v>10321</v>
      </c>
      <c r="G921" s="3">
        <v>128676</v>
      </c>
      <c r="H921" s="3">
        <v>1.0449999999999999</v>
      </c>
      <c r="I921" s="2">
        <f t="shared" si="213"/>
        <v>0</v>
      </c>
      <c r="J921" s="10">
        <f t="shared" si="215"/>
        <v>0</v>
      </c>
      <c r="K921" s="10">
        <f t="shared" si="214"/>
        <v>22</v>
      </c>
      <c r="L921" s="10">
        <f t="shared" ca="1" si="203"/>
        <v>0</v>
      </c>
      <c r="M921" s="10">
        <f t="shared" ca="1" si="205"/>
        <v>-1</v>
      </c>
      <c r="N921" s="30">
        <f t="shared" ca="1" si="206"/>
        <v>0</v>
      </c>
      <c r="O921" s="10">
        <f t="shared" ca="1" si="207"/>
        <v>2085200</v>
      </c>
      <c r="P921" s="29">
        <f t="shared" ca="1" si="208"/>
        <v>-4400</v>
      </c>
      <c r="Q921" s="12">
        <f t="shared" ca="1" si="209"/>
        <v>-292100</v>
      </c>
      <c r="R921" s="10">
        <f t="shared" ca="1" si="210"/>
        <v>-0.21101093420295416</v>
      </c>
      <c r="S921" s="10">
        <f t="shared" ca="1" si="200"/>
        <v>0.28458318050162529</v>
      </c>
      <c r="T921" s="14">
        <f t="shared" ca="1" si="201"/>
        <v>-0.10234467485694806</v>
      </c>
      <c r="U921" s="12">
        <f t="shared" ca="1" si="211"/>
        <v>7900</v>
      </c>
      <c r="V921" s="14">
        <f t="shared" ca="1" si="212"/>
        <v>-3797.4683544303798</v>
      </c>
      <c r="W921" s="12">
        <f t="shared" ca="1" si="202"/>
        <v>-3653.1645569620255</v>
      </c>
      <c r="X921" s="7">
        <f ca="1">AVERAGE(E921:OFFSET(F921,-$X$5+1,0))</f>
        <v>10293.1</v>
      </c>
      <c r="Y921" s="7">
        <f ca="1">AVERAGE(E921:OFFSET(F921,-$Y$5+1,0))</f>
        <v>10410.25</v>
      </c>
      <c r="Z921" s="7">
        <f t="shared" ca="1" si="204"/>
        <v>0</v>
      </c>
    </row>
    <row r="922" spans="1:26">
      <c r="A922" s="3" t="s">
        <v>68</v>
      </c>
      <c r="B922" s="4">
        <v>43008</v>
      </c>
      <c r="C922" s="3">
        <v>10360</v>
      </c>
      <c r="D922" s="3">
        <v>10394</v>
      </c>
      <c r="E922" s="3">
        <v>10354</v>
      </c>
      <c r="F922" s="3">
        <v>10380</v>
      </c>
      <c r="G922" s="3">
        <v>45435</v>
      </c>
      <c r="H922" s="3">
        <v>1.0449999999999999</v>
      </c>
      <c r="I922" s="2">
        <f t="shared" si="213"/>
        <v>0</v>
      </c>
      <c r="J922" s="10">
        <f t="shared" si="215"/>
        <v>39</v>
      </c>
      <c r="K922" s="10">
        <f t="shared" si="214"/>
        <v>20</v>
      </c>
      <c r="L922" s="10">
        <f t="shared" ca="1" si="203"/>
        <v>0</v>
      </c>
      <c r="M922" s="10">
        <f t="shared" ca="1" si="205"/>
        <v>-1</v>
      </c>
      <c r="N922" s="30">
        <f t="shared" ca="1" si="206"/>
        <v>0</v>
      </c>
      <c r="O922" s="10">
        <f t="shared" ca="1" si="207"/>
        <v>2085200</v>
      </c>
      <c r="P922" s="29">
        <f t="shared" ca="1" si="208"/>
        <v>-11800</v>
      </c>
      <c r="Q922" s="12">
        <f t="shared" ca="1" si="209"/>
        <v>-303900</v>
      </c>
      <c r="R922" s="10">
        <f t="shared" ca="1" si="210"/>
        <v>-0.56589295990792254</v>
      </c>
      <c r="S922" s="10">
        <f t="shared" ca="1" si="200"/>
        <v>0.28205355223049972</v>
      </c>
      <c r="T922" s="14">
        <f t="shared" ca="1" si="201"/>
        <v>-0.10243689931010047</v>
      </c>
      <c r="U922" s="12">
        <f t="shared" ca="1" si="211"/>
        <v>7900</v>
      </c>
      <c r="V922" s="14">
        <f t="shared" ca="1" si="212"/>
        <v>-3946.8354430379745</v>
      </c>
      <c r="W922" s="12">
        <f t="shared" ca="1" si="202"/>
        <v>-3653.1645569620255</v>
      </c>
      <c r="X922" s="7">
        <f ca="1">AVERAGE(E922:OFFSET(F922,-$X$5+1,0))</f>
        <v>10301.700000000001</v>
      </c>
      <c r="Y922" s="7">
        <f ca="1">AVERAGE(E922:OFFSET(F922,-$Y$5+1,0))</f>
        <v>10386.049999999999</v>
      </c>
      <c r="Z922" s="7">
        <f t="shared" ca="1" si="204"/>
        <v>0</v>
      </c>
    </row>
    <row r="923" spans="1:26">
      <c r="A923" s="3" t="s">
        <v>68</v>
      </c>
      <c r="B923" s="4">
        <v>43010</v>
      </c>
      <c r="C923" s="3">
        <v>10392</v>
      </c>
      <c r="D923" s="3">
        <v>10458</v>
      </c>
      <c r="E923" s="3">
        <v>10386</v>
      </c>
      <c r="F923" s="3">
        <v>10449</v>
      </c>
      <c r="G923" s="3">
        <v>110414</v>
      </c>
      <c r="H923" s="3">
        <v>1.0449999999999999</v>
      </c>
      <c r="I923" s="2">
        <f t="shared" si="213"/>
        <v>0</v>
      </c>
      <c r="J923" s="10">
        <f t="shared" si="215"/>
        <v>12</v>
      </c>
      <c r="K923" s="10">
        <f t="shared" si="214"/>
        <v>57</v>
      </c>
      <c r="L923" s="10">
        <f t="shared" ca="1" si="203"/>
        <v>0</v>
      </c>
      <c r="M923" s="10">
        <f t="shared" ca="1" si="205"/>
        <v>-1</v>
      </c>
      <c r="N923" s="30">
        <f t="shared" ca="1" si="206"/>
        <v>0</v>
      </c>
      <c r="O923" s="10">
        <f t="shared" ca="1" si="207"/>
        <v>2085200</v>
      </c>
      <c r="P923" s="29">
        <f t="shared" ca="1" si="208"/>
        <v>-13800</v>
      </c>
      <c r="Q923" s="12">
        <f t="shared" ca="1" si="209"/>
        <v>-317700</v>
      </c>
      <c r="R923" s="10">
        <f t="shared" ca="1" si="210"/>
        <v>-0.66180702090926535</v>
      </c>
      <c r="S923" s="10">
        <f t="shared" ca="1" si="200"/>
        <v>0.23778505748580245</v>
      </c>
      <c r="T923" s="14">
        <f t="shared" ca="1" si="201"/>
        <v>-0.1081861232197006</v>
      </c>
      <c r="U923" s="12">
        <f t="shared" ca="1" si="211"/>
        <v>7900</v>
      </c>
      <c r="V923" s="14">
        <f t="shared" ca="1" si="212"/>
        <v>-4121.5189873417721</v>
      </c>
      <c r="W923" s="12">
        <f t="shared" ca="1" si="202"/>
        <v>-3653.1645569620255</v>
      </c>
      <c r="X923" s="7">
        <f ca="1">AVERAGE(E923:OFFSET(F923,-$X$5+1,0))</f>
        <v>10332.700000000001</v>
      </c>
      <c r="Y923" s="7">
        <f ca="1">AVERAGE(E923:OFFSET(F923,-$Y$5+1,0))</f>
        <v>10370.4</v>
      </c>
      <c r="Z923" s="7">
        <f t="shared" ca="1" si="204"/>
        <v>0</v>
      </c>
    </row>
    <row r="924" spans="1:26">
      <c r="A924" s="3" t="s">
        <v>68</v>
      </c>
      <c r="B924" s="4">
        <v>43011</v>
      </c>
      <c r="C924" s="3">
        <v>10470</v>
      </c>
      <c r="D924" s="3">
        <v>10475</v>
      </c>
      <c r="E924" s="3">
        <v>10427</v>
      </c>
      <c r="F924" s="3">
        <v>10462</v>
      </c>
      <c r="G924" s="3">
        <v>110520</v>
      </c>
      <c r="H924" s="3">
        <v>1.0449999999999999</v>
      </c>
      <c r="I924" s="2">
        <f t="shared" si="213"/>
        <v>0</v>
      </c>
      <c r="J924" s="10">
        <f t="shared" si="215"/>
        <v>21</v>
      </c>
      <c r="K924" s="10">
        <f t="shared" si="214"/>
        <v>-8</v>
      </c>
      <c r="L924" s="10">
        <f t="shared" ca="1" si="203"/>
        <v>0</v>
      </c>
      <c r="M924" s="10">
        <f t="shared" ca="1" si="205"/>
        <v>-1</v>
      </c>
      <c r="N924" s="30">
        <f t="shared" ca="1" si="206"/>
        <v>0</v>
      </c>
      <c r="O924" s="10">
        <f t="shared" ca="1" si="207"/>
        <v>2085200</v>
      </c>
      <c r="P924" s="29">
        <f t="shared" ca="1" si="208"/>
        <v>-2600</v>
      </c>
      <c r="Q924" s="12">
        <f t="shared" ca="1" si="209"/>
        <v>-320300</v>
      </c>
      <c r="R924" s="10">
        <f t="shared" ca="1" si="210"/>
        <v>-0.12468827930174564</v>
      </c>
      <c r="S924" s="10">
        <f t="shared" ca="1" si="200"/>
        <v>0.21312118184232828</v>
      </c>
      <c r="T924" s="14">
        <f t="shared" ca="1" si="201"/>
        <v>-0.11148791845624394</v>
      </c>
      <c r="U924" s="12">
        <f t="shared" ca="1" si="211"/>
        <v>7900</v>
      </c>
      <c r="V924" s="14">
        <f t="shared" ca="1" si="212"/>
        <v>-4154.4303797468356</v>
      </c>
      <c r="W924" s="12">
        <f t="shared" ca="1" si="202"/>
        <v>-3653.1645569620255</v>
      </c>
      <c r="X924" s="7">
        <f ca="1">AVERAGE(E924:OFFSET(F924,-$X$5+1,0))</f>
        <v>10360.700000000001</v>
      </c>
      <c r="Y924" s="7">
        <f ca="1">AVERAGE(E924:OFFSET(F924,-$Y$5+1,0))</f>
        <v>10364.85</v>
      </c>
      <c r="Z924" s="7">
        <f t="shared" ca="1" si="204"/>
        <v>0</v>
      </c>
    </row>
    <row r="925" spans="1:26">
      <c r="A925" s="3" t="s">
        <v>68</v>
      </c>
      <c r="B925" s="4">
        <v>43013</v>
      </c>
      <c r="C925" s="3">
        <v>10460</v>
      </c>
      <c r="D925" s="3">
        <v>10519</v>
      </c>
      <c r="E925" s="3">
        <v>10438</v>
      </c>
      <c r="F925" s="3">
        <v>10505</v>
      </c>
      <c r="G925" s="3">
        <v>110479</v>
      </c>
      <c r="H925" s="3">
        <v>1.0449999999999999</v>
      </c>
      <c r="I925" s="2">
        <f t="shared" si="213"/>
        <v>0</v>
      </c>
      <c r="J925" s="10">
        <f t="shared" si="215"/>
        <v>-2</v>
      </c>
      <c r="K925" s="10">
        <f t="shared" si="214"/>
        <v>45</v>
      </c>
      <c r="L925" s="10">
        <f t="shared" ca="1" si="203"/>
        <v>1</v>
      </c>
      <c r="M925" s="10">
        <f t="shared" ca="1" si="205"/>
        <v>-1</v>
      </c>
      <c r="N925" s="30">
        <f t="shared" ca="1" si="206"/>
        <v>0</v>
      </c>
      <c r="O925" s="10">
        <f t="shared" ca="1" si="207"/>
        <v>2085200</v>
      </c>
      <c r="P925" s="29">
        <f t="shared" ca="1" si="208"/>
        <v>-8600</v>
      </c>
      <c r="Q925" s="12">
        <f t="shared" ca="1" si="209"/>
        <v>-328900</v>
      </c>
      <c r="R925" s="10">
        <f t="shared" ca="1" si="210"/>
        <v>-0.41243046230577401</v>
      </c>
      <c r="S925" s="10">
        <f t="shared" ca="1" si="200"/>
        <v>0.15873417401312878</v>
      </c>
      <c r="T925" s="14">
        <f t="shared" ca="1" si="201"/>
        <v>-0.11866520185947474</v>
      </c>
      <c r="U925" s="12">
        <f t="shared" ca="1" si="211"/>
        <v>7900</v>
      </c>
      <c r="V925" s="14">
        <f t="shared" ca="1" si="212"/>
        <v>-4263.2911392405067</v>
      </c>
      <c r="W925" s="12">
        <f t="shared" ca="1" si="202"/>
        <v>-3653.1645569620255</v>
      </c>
      <c r="X925" s="7">
        <f ca="1">AVERAGE(E925:OFFSET(F925,-$X$5+1,0))</f>
        <v>10398.5</v>
      </c>
      <c r="Y925" s="7">
        <f ca="1">AVERAGE(E925:OFFSET(F925,-$Y$5+1,0))</f>
        <v>10359.6</v>
      </c>
      <c r="Z925" s="7">
        <f t="shared" ca="1" si="204"/>
        <v>1</v>
      </c>
    </row>
    <row r="926" spans="1:26">
      <c r="A926" s="3" t="s">
        <v>68</v>
      </c>
      <c r="B926" s="4">
        <v>43014</v>
      </c>
      <c r="C926" s="3">
        <v>10537</v>
      </c>
      <c r="D926" s="3">
        <v>10542</v>
      </c>
      <c r="E926" s="3">
        <v>10496</v>
      </c>
      <c r="F926" s="3">
        <v>10524</v>
      </c>
      <c r="G926" s="3">
        <v>92459</v>
      </c>
      <c r="H926" s="3">
        <v>1.0449999999999999</v>
      </c>
      <c r="I926" s="2">
        <f t="shared" si="213"/>
        <v>0</v>
      </c>
      <c r="J926" s="10">
        <f t="shared" si="215"/>
        <v>32</v>
      </c>
      <c r="K926" s="10">
        <f t="shared" si="214"/>
        <v>-13</v>
      </c>
      <c r="L926" s="10">
        <f t="shared" ca="1" si="203"/>
        <v>0</v>
      </c>
      <c r="M926" s="10">
        <f t="shared" ca="1" si="205"/>
        <v>0</v>
      </c>
      <c r="N926" s="30">
        <f t="shared" ca="1" si="206"/>
        <v>0</v>
      </c>
      <c r="O926" s="10">
        <f t="shared" ca="1" si="207"/>
        <v>0</v>
      </c>
      <c r="P926" s="29">
        <f t="shared" ca="1" si="208"/>
        <v>-6900</v>
      </c>
      <c r="Q926" s="12">
        <f t="shared" ca="1" si="209"/>
        <v>-335800</v>
      </c>
      <c r="R926" s="10">
        <f t="shared" ca="1" si="210"/>
        <v>-0.33090351045463268</v>
      </c>
      <c r="S926" s="10">
        <f t="shared" ca="1" si="200"/>
        <v>0.11509808633621289</v>
      </c>
      <c r="T926" s="14">
        <f t="shared" ca="1" si="201"/>
        <v>-0.12441268794109904</v>
      </c>
      <c r="U926" s="12">
        <f t="shared" ca="1" si="211"/>
        <v>7900</v>
      </c>
      <c r="V926" s="14">
        <f t="shared" ca="1" si="212"/>
        <v>-4350.6329113924048</v>
      </c>
      <c r="W926" s="12">
        <f t="shared" ca="1" si="202"/>
        <v>-3653.1645569620255</v>
      </c>
      <c r="X926" s="7">
        <f ca="1">AVERAGE(E926:OFFSET(F926,-$X$5+1,0))</f>
        <v>10442.1</v>
      </c>
      <c r="Y926" s="7">
        <f ca="1">AVERAGE(E926:OFFSET(F926,-$Y$5+1,0))</f>
        <v>10367.6</v>
      </c>
      <c r="Z926" s="7">
        <f t="shared" ca="1" si="204"/>
        <v>0</v>
      </c>
    </row>
    <row r="927" spans="1:26">
      <c r="A927" s="3" t="s">
        <v>68</v>
      </c>
      <c r="B927" s="4">
        <v>43019</v>
      </c>
      <c r="C927" s="3">
        <v>10556</v>
      </c>
      <c r="D927" s="3">
        <v>10648</v>
      </c>
      <c r="E927" s="3">
        <v>10555</v>
      </c>
      <c r="F927" s="3">
        <v>10633</v>
      </c>
      <c r="G927" s="3">
        <v>167230</v>
      </c>
      <c r="H927" s="3">
        <v>1.0449999999999999</v>
      </c>
      <c r="I927" s="2">
        <f t="shared" si="213"/>
        <v>0</v>
      </c>
      <c r="J927" s="10">
        <f t="shared" si="215"/>
        <v>32</v>
      </c>
      <c r="K927" s="10">
        <f t="shared" si="214"/>
        <v>77</v>
      </c>
      <c r="L927" s="10">
        <f t="shared" ca="1" si="203"/>
        <v>0</v>
      </c>
      <c r="M927" s="10">
        <f t="shared" ca="1" si="205"/>
        <v>0</v>
      </c>
      <c r="N927" s="30">
        <f t="shared" ca="1" si="206"/>
        <v>0</v>
      </c>
      <c r="O927" s="10">
        <f t="shared" ca="1" si="207"/>
        <v>0</v>
      </c>
      <c r="P927" s="29">
        <f t="shared" ca="1" si="208"/>
        <v>0</v>
      </c>
      <c r="Q927" s="12">
        <f t="shared" ca="1" si="209"/>
        <v>-335800</v>
      </c>
      <c r="R927" s="10">
        <f t="shared" ca="1" si="210"/>
        <v>0</v>
      </c>
      <c r="S927" s="10">
        <f t="shared" ca="1" si="200"/>
        <v>0.11509808633621289</v>
      </c>
      <c r="T927" s="14">
        <f t="shared" ca="1" si="201"/>
        <v>-0.12441268794109904</v>
      </c>
      <c r="U927" s="12">
        <f t="shared" ca="1" si="211"/>
        <v>7900</v>
      </c>
      <c r="V927" s="14">
        <f t="shared" ca="1" si="212"/>
        <v>-4350.6329113924048</v>
      </c>
      <c r="W927" s="12">
        <f t="shared" ca="1" si="202"/>
        <v>-3653.1645569620255</v>
      </c>
      <c r="X927" s="7">
        <f ca="1">AVERAGE(E927:OFFSET(F927,-$X$5+1,0))</f>
        <v>10487.5</v>
      </c>
      <c r="Y927" s="7">
        <f ca="1">AVERAGE(E927:OFFSET(F927,-$Y$5+1,0))</f>
        <v>10394.6</v>
      </c>
      <c r="Z927" s="7">
        <f t="shared" ca="1" si="204"/>
        <v>0</v>
      </c>
    </row>
    <row r="928" spans="1:26">
      <c r="A928" s="3" t="s">
        <v>68</v>
      </c>
      <c r="B928" s="4">
        <v>43020</v>
      </c>
      <c r="C928" s="3">
        <v>10657</v>
      </c>
      <c r="D928" s="3">
        <v>10705</v>
      </c>
      <c r="E928" s="3">
        <v>10640</v>
      </c>
      <c r="F928" s="3">
        <v>10697</v>
      </c>
      <c r="G928" s="3">
        <v>103406</v>
      </c>
      <c r="H928" s="3">
        <v>1.0449999999999999</v>
      </c>
      <c r="I928" s="2">
        <f t="shared" si="213"/>
        <v>0</v>
      </c>
      <c r="J928" s="10">
        <f t="shared" si="215"/>
        <v>24</v>
      </c>
      <c r="K928" s="10">
        <f t="shared" si="214"/>
        <v>40</v>
      </c>
      <c r="L928" s="10">
        <f t="shared" ca="1" si="203"/>
        <v>0</v>
      </c>
      <c r="M928" s="10">
        <f t="shared" ca="1" si="205"/>
        <v>0</v>
      </c>
      <c r="N928" s="30">
        <f t="shared" ca="1" si="206"/>
        <v>0</v>
      </c>
      <c r="O928" s="10">
        <f t="shared" ca="1" si="207"/>
        <v>0</v>
      </c>
      <c r="P928" s="29">
        <f t="shared" ca="1" si="208"/>
        <v>0</v>
      </c>
      <c r="Q928" s="12">
        <f t="shared" ca="1" si="209"/>
        <v>-335800</v>
      </c>
      <c r="R928" s="10">
        <f t="shared" ca="1" si="210"/>
        <v>0</v>
      </c>
      <c r="S928" s="10">
        <f t="shared" ca="1" si="200"/>
        <v>0.11509808633621289</v>
      </c>
      <c r="T928" s="14">
        <f t="shared" ca="1" si="201"/>
        <v>-0.12489690425976624</v>
      </c>
      <c r="U928" s="12">
        <f t="shared" ca="1" si="211"/>
        <v>7900</v>
      </c>
      <c r="V928" s="14">
        <f t="shared" ca="1" si="212"/>
        <v>-4350.6329113924048</v>
      </c>
      <c r="W928" s="12">
        <f t="shared" ca="1" si="202"/>
        <v>-3653.1645569620255</v>
      </c>
      <c r="X928" s="7">
        <f ca="1">AVERAGE(E928:OFFSET(F928,-$X$5+1,0))</f>
        <v>10537.7</v>
      </c>
      <c r="Y928" s="7">
        <f ca="1">AVERAGE(E928:OFFSET(F928,-$Y$5+1,0))</f>
        <v>10435.200000000001</v>
      </c>
      <c r="Z928" s="7">
        <f t="shared" ca="1" si="204"/>
        <v>0</v>
      </c>
    </row>
    <row r="929" spans="1:26">
      <c r="A929" s="3" t="s">
        <v>68</v>
      </c>
      <c r="B929" s="4">
        <v>43021</v>
      </c>
      <c r="C929" s="3">
        <v>10688</v>
      </c>
      <c r="D929" s="3">
        <v>10713</v>
      </c>
      <c r="E929" s="3">
        <v>10670</v>
      </c>
      <c r="F929" s="3">
        <v>10711</v>
      </c>
      <c r="G929" s="3">
        <v>80576</v>
      </c>
      <c r="H929" s="3">
        <v>1.0449999999999999</v>
      </c>
      <c r="I929" s="2">
        <f t="shared" si="213"/>
        <v>0</v>
      </c>
      <c r="J929" s="10">
        <f t="shared" si="215"/>
        <v>-9</v>
      </c>
      <c r="K929" s="10">
        <f t="shared" si="214"/>
        <v>23</v>
      </c>
      <c r="L929" s="10">
        <f t="shared" ca="1" si="203"/>
        <v>0</v>
      </c>
      <c r="M929" s="10">
        <f t="shared" ca="1" si="205"/>
        <v>0</v>
      </c>
      <c r="N929" s="30">
        <f t="shared" ca="1" si="206"/>
        <v>0</v>
      </c>
      <c r="O929" s="10">
        <f t="shared" ca="1" si="207"/>
        <v>0</v>
      </c>
      <c r="P929" s="29">
        <f t="shared" ca="1" si="208"/>
        <v>0</v>
      </c>
      <c r="Q929" s="12">
        <f t="shared" ca="1" si="209"/>
        <v>-335800</v>
      </c>
      <c r="R929" s="10">
        <f t="shared" ca="1" si="210"/>
        <v>0</v>
      </c>
      <c r="S929" s="10">
        <f t="shared" ca="1" si="200"/>
        <v>0.112514153850564</v>
      </c>
      <c r="T929" s="14">
        <f t="shared" ca="1" si="201"/>
        <v>-0.12618429551173188</v>
      </c>
      <c r="U929" s="12">
        <f t="shared" ca="1" si="211"/>
        <v>7900</v>
      </c>
      <c r="V929" s="14">
        <f t="shared" ca="1" si="212"/>
        <v>-4350.6329113924048</v>
      </c>
      <c r="W929" s="12">
        <f t="shared" ca="1" si="202"/>
        <v>-3653.1645569620255</v>
      </c>
      <c r="X929" s="7">
        <f ca="1">AVERAGE(E929:OFFSET(F929,-$X$5+1,0))</f>
        <v>10586.9</v>
      </c>
      <c r="Y929" s="7">
        <f ca="1">AVERAGE(E929:OFFSET(F929,-$Y$5+1,0))</f>
        <v>10473.799999999999</v>
      </c>
      <c r="Z929" s="7">
        <f t="shared" ca="1" si="204"/>
        <v>0</v>
      </c>
    </row>
    <row r="930" spans="1:26">
      <c r="A930" s="3" t="s">
        <v>68</v>
      </c>
      <c r="B930" s="4">
        <v>43024</v>
      </c>
      <c r="C930" s="3">
        <v>10745</v>
      </c>
      <c r="D930" s="3">
        <v>10763</v>
      </c>
      <c r="E930" s="3">
        <v>10710</v>
      </c>
      <c r="F930" s="3">
        <v>10757</v>
      </c>
      <c r="G930" s="3">
        <v>125324</v>
      </c>
      <c r="H930" s="3">
        <v>1.0449999999999999</v>
      </c>
      <c r="I930" s="2">
        <f t="shared" si="213"/>
        <v>0</v>
      </c>
      <c r="J930" s="10">
        <f t="shared" si="215"/>
        <v>34</v>
      </c>
      <c r="K930" s="10">
        <f t="shared" si="214"/>
        <v>12</v>
      </c>
      <c r="L930" s="10">
        <f t="shared" ca="1" si="203"/>
        <v>0</v>
      </c>
      <c r="M930" s="10">
        <f t="shared" ca="1" si="205"/>
        <v>0</v>
      </c>
      <c r="N930" s="30">
        <f t="shared" ca="1" si="206"/>
        <v>0</v>
      </c>
      <c r="O930" s="10">
        <f t="shared" ca="1" si="207"/>
        <v>0</v>
      </c>
      <c r="P930" s="29">
        <f t="shared" ca="1" si="208"/>
        <v>0</v>
      </c>
      <c r="Q930" s="12">
        <f t="shared" ca="1" si="209"/>
        <v>-335800</v>
      </c>
      <c r="R930" s="10">
        <f t="shared" ca="1" si="210"/>
        <v>0</v>
      </c>
      <c r="S930" s="10">
        <f t="shared" ca="1" si="200"/>
        <v>1.9349567859651133E-2</v>
      </c>
      <c r="T930" s="14">
        <f t="shared" ca="1" si="201"/>
        <v>-0.14026521232988565</v>
      </c>
      <c r="U930" s="12">
        <f t="shared" ca="1" si="211"/>
        <v>7900</v>
      </c>
      <c r="V930" s="14">
        <f t="shared" ca="1" si="212"/>
        <v>-4350.6329113924048</v>
      </c>
      <c r="W930" s="12">
        <f t="shared" ca="1" si="202"/>
        <v>-3653.1645569620255</v>
      </c>
      <c r="X930" s="7">
        <f ca="1">AVERAGE(E930:OFFSET(F930,-$X$5+1,0))</f>
        <v>10639.3</v>
      </c>
      <c r="Y930" s="7">
        <f ca="1">AVERAGE(E930:OFFSET(F930,-$Y$5+1,0))</f>
        <v>10518.9</v>
      </c>
      <c r="Z930" s="7">
        <f t="shared" ca="1" si="204"/>
        <v>0</v>
      </c>
    </row>
    <row r="931" spans="1:26">
      <c r="A931" s="3" t="s">
        <v>68</v>
      </c>
      <c r="B931" s="4">
        <v>43025</v>
      </c>
      <c r="C931" s="3">
        <v>10776</v>
      </c>
      <c r="D931" s="3">
        <v>10781</v>
      </c>
      <c r="E931" s="3">
        <v>10720</v>
      </c>
      <c r="F931" s="3">
        <v>10724</v>
      </c>
      <c r="G931" s="3">
        <v>119600</v>
      </c>
      <c r="H931" s="3">
        <v>1.0449999999999999</v>
      </c>
      <c r="I931" s="2">
        <f t="shared" si="213"/>
        <v>0</v>
      </c>
      <c r="J931" s="10">
        <f t="shared" si="215"/>
        <v>19</v>
      </c>
      <c r="K931" s="10">
        <f t="shared" si="214"/>
        <v>-52</v>
      </c>
      <c r="L931" s="10">
        <f t="shared" ca="1" si="203"/>
        <v>0</v>
      </c>
      <c r="M931" s="10">
        <f t="shared" ca="1" si="205"/>
        <v>0</v>
      </c>
      <c r="N931" s="30">
        <f t="shared" ca="1" si="206"/>
        <v>0</v>
      </c>
      <c r="O931" s="10">
        <f t="shared" ca="1" si="207"/>
        <v>0</v>
      </c>
      <c r="P931" s="29">
        <f t="shared" ca="1" si="208"/>
        <v>0</v>
      </c>
      <c r="Q931" s="12">
        <f t="shared" ca="1" si="209"/>
        <v>-335800</v>
      </c>
      <c r="R931" s="10">
        <f t="shared" ca="1" si="210"/>
        <v>0</v>
      </c>
      <c r="S931" s="10">
        <f t="shared" ca="1" si="200"/>
        <v>7.3815018131261734E-2</v>
      </c>
      <c r="T931" s="14">
        <f t="shared" ca="1" si="201"/>
        <v>-0.13281656091898383</v>
      </c>
      <c r="U931" s="12">
        <f t="shared" ca="1" si="211"/>
        <v>7900</v>
      </c>
      <c r="V931" s="14">
        <f t="shared" ca="1" si="212"/>
        <v>-4350.6329113924048</v>
      </c>
      <c r="W931" s="12">
        <f t="shared" ca="1" si="202"/>
        <v>-3653.1645569620255</v>
      </c>
      <c r="X931" s="7">
        <f ca="1">AVERAGE(E931:OFFSET(F931,-$X$5+1,0))</f>
        <v>10681.7</v>
      </c>
      <c r="Y931" s="7">
        <f ca="1">AVERAGE(E931:OFFSET(F931,-$Y$5+1,0))</f>
        <v>10561.9</v>
      </c>
      <c r="Z931" s="7">
        <f t="shared" ca="1" si="204"/>
        <v>0</v>
      </c>
    </row>
    <row r="932" spans="1:26">
      <c r="A932" s="3" t="s">
        <v>68</v>
      </c>
      <c r="B932" s="4">
        <v>43026</v>
      </c>
      <c r="C932" s="3">
        <v>10745</v>
      </c>
      <c r="D932" s="3">
        <v>10783</v>
      </c>
      <c r="E932" s="3">
        <v>10686</v>
      </c>
      <c r="F932" s="3">
        <v>10727</v>
      </c>
      <c r="G932" s="3">
        <v>95719</v>
      </c>
      <c r="H932" s="3">
        <v>1.0449999999999999</v>
      </c>
      <c r="I932" s="2">
        <f t="shared" si="213"/>
        <v>1</v>
      </c>
      <c r="J932" s="10">
        <f t="shared" si="215"/>
        <v>21</v>
      </c>
      <c r="K932" s="10">
        <f t="shared" si="214"/>
        <v>-18</v>
      </c>
      <c r="L932" s="10">
        <f t="shared" ca="1" si="203"/>
        <v>0</v>
      </c>
      <c r="M932" s="10">
        <f t="shared" si="205"/>
        <v>0</v>
      </c>
      <c r="N932" s="30">
        <f t="shared" si="206"/>
        <v>0</v>
      </c>
      <c r="O932" s="10">
        <f t="shared" si="207"/>
        <v>0</v>
      </c>
      <c r="P932" s="29">
        <f t="shared" ca="1" si="208"/>
        <v>0</v>
      </c>
      <c r="Q932" s="12">
        <f t="shared" ca="1" si="209"/>
        <v>-335800</v>
      </c>
      <c r="R932" s="10">
        <f t="shared" ca="1" si="210"/>
        <v>0</v>
      </c>
      <c r="S932" s="10">
        <f t="shared" ca="1" si="200"/>
        <v>0.14404678295518067</v>
      </c>
      <c r="T932" s="14">
        <f t="shared" ca="1" si="201"/>
        <v>-0.12321185981123489</v>
      </c>
      <c r="U932" s="12">
        <f t="shared" ca="1" si="211"/>
        <v>7900</v>
      </c>
      <c r="V932" s="14">
        <f t="shared" ca="1" si="212"/>
        <v>-4350.6329113924048</v>
      </c>
      <c r="W932" s="12">
        <f t="shared" ca="1" si="202"/>
        <v>-3653.1645569620255</v>
      </c>
      <c r="X932" s="7">
        <f ca="1">AVERAGE(E932:OFFSET(F932,-$X$5+1,0))</f>
        <v>10704.2</v>
      </c>
      <c r="Y932" s="7">
        <f ca="1">AVERAGE(E932:OFFSET(F932,-$Y$5+1,0))</f>
        <v>10595.85</v>
      </c>
      <c r="Z932" s="7">
        <f t="shared" ca="1" si="204"/>
        <v>0</v>
      </c>
    </row>
    <row r="933" spans="1:26">
      <c r="A933" s="3" t="s">
        <v>69</v>
      </c>
      <c r="B933" s="4">
        <v>43027</v>
      </c>
      <c r="C933" s="3">
        <v>10748</v>
      </c>
      <c r="D933" s="3">
        <v>10800</v>
      </c>
      <c r="E933" s="3">
        <v>10733</v>
      </c>
      <c r="F933" s="3">
        <v>10761</v>
      </c>
      <c r="G933" s="3">
        <v>119912</v>
      </c>
      <c r="H933" s="3">
        <v>1.0449999999999999</v>
      </c>
      <c r="I933" s="2">
        <f t="shared" si="213"/>
        <v>0</v>
      </c>
      <c r="J933" s="10">
        <f t="shared" si="215"/>
        <v>21</v>
      </c>
      <c r="K933" s="10">
        <f t="shared" si="214"/>
        <v>13</v>
      </c>
      <c r="L933" s="10">
        <f t="shared" ca="1" si="203"/>
        <v>0</v>
      </c>
      <c r="M933" s="10">
        <f t="shared" ca="1" si="205"/>
        <v>0</v>
      </c>
      <c r="N933" s="30">
        <f t="shared" ca="1" si="206"/>
        <v>0</v>
      </c>
      <c r="O933" s="10">
        <f t="shared" ca="1" si="207"/>
        <v>0</v>
      </c>
      <c r="P933" s="29">
        <f t="shared" ca="1" si="208"/>
        <v>0</v>
      </c>
      <c r="Q933" s="12">
        <f t="shared" ca="1" si="209"/>
        <v>-335800</v>
      </c>
      <c r="R933" s="10">
        <f t="shared" ca="1" si="210"/>
        <v>0</v>
      </c>
      <c r="S933" s="10">
        <f t="shared" ca="1" si="200"/>
        <v>0.1540798922157405</v>
      </c>
      <c r="T933" s="14">
        <f t="shared" ca="1" si="201"/>
        <v>-0.12183975965298505</v>
      </c>
      <c r="U933" s="12">
        <f t="shared" ca="1" si="211"/>
        <v>7900</v>
      </c>
      <c r="V933" s="14">
        <f t="shared" ca="1" si="212"/>
        <v>-4350.6329113924048</v>
      </c>
      <c r="W933" s="12">
        <f t="shared" ca="1" si="202"/>
        <v>-3653.1645569620255</v>
      </c>
      <c r="X933" s="7">
        <f ca="1">AVERAGE(E933:OFFSET(F933,-$X$5+1,0))</f>
        <v>10719.9</v>
      </c>
      <c r="Y933" s="7">
        <f ca="1">AVERAGE(E933:OFFSET(F933,-$Y$5+1,0))</f>
        <v>10628.8</v>
      </c>
      <c r="Z933" s="7">
        <f t="shared" ca="1" si="204"/>
        <v>0</v>
      </c>
    </row>
    <row r="934" spans="1:26">
      <c r="A934" s="3" t="s">
        <v>69</v>
      </c>
      <c r="B934" s="4">
        <v>43028</v>
      </c>
      <c r="C934" s="3">
        <v>10736</v>
      </c>
      <c r="D934" s="3">
        <v>10764</v>
      </c>
      <c r="E934" s="3">
        <v>10700</v>
      </c>
      <c r="F934" s="3">
        <v>10732</v>
      </c>
      <c r="G934" s="3">
        <v>115444</v>
      </c>
      <c r="H934" s="3">
        <v>1.0449999999999999</v>
      </c>
      <c r="I934" s="2">
        <f t="shared" si="213"/>
        <v>0</v>
      </c>
      <c r="J934" s="10">
        <f t="shared" si="215"/>
        <v>-25</v>
      </c>
      <c r="K934" s="10">
        <f t="shared" si="214"/>
        <v>-4</v>
      </c>
      <c r="L934" s="10">
        <f t="shared" ca="1" si="203"/>
        <v>0</v>
      </c>
      <c r="M934" s="10">
        <f t="shared" ca="1" si="205"/>
        <v>0</v>
      </c>
      <c r="N934" s="30">
        <f t="shared" ca="1" si="206"/>
        <v>0</v>
      </c>
      <c r="O934" s="10">
        <f t="shared" ca="1" si="207"/>
        <v>0</v>
      </c>
      <c r="P934" s="29">
        <f t="shared" ca="1" si="208"/>
        <v>0</v>
      </c>
      <c r="Q934" s="12">
        <f t="shared" ca="1" si="209"/>
        <v>-335800</v>
      </c>
      <c r="R934" s="10">
        <f t="shared" ca="1" si="210"/>
        <v>0</v>
      </c>
      <c r="S934" s="10">
        <f t="shared" ca="1" si="200"/>
        <v>0.14977998824692915</v>
      </c>
      <c r="T934" s="14">
        <f t="shared" ca="1" si="201"/>
        <v>-0.12242780257794926</v>
      </c>
      <c r="U934" s="12">
        <f t="shared" ca="1" si="211"/>
        <v>7900</v>
      </c>
      <c r="V934" s="14">
        <f t="shared" ca="1" si="212"/>
        <v>-4350.6329113924048</v>
      </c>
      <c r="W934" s="12">
        <f t="shared" ca="1" si="202"/>
        <v>-3653.1645569620255</v>
      </c>
      <c r="X934" s="7">
        <f ca="1">AVERAGE(E934:OFFSET(F934,-$X$5+1,0))</f>
        <v>10725</v>
      </c>
      <c r="Y934" s="7">
        <f ca="1">AVERAGE(E934:OFFSET(F934,-$Y$5+1,0))</f>
        <v>10655.95</v>
      </c>
      <c r="Z934" s="7">
        <f t="shared" ca="1" si="204"/>
        <v>0</v>
      </c>
    </row>
    <row r="935" spans="1:26">
      <c r="A935" s="3" t="s">
        <v>69</v>
      </c>
      <c r="B935" s="4">
        <v>43031</v>
      </c>
      <c r="C935" s="3">
        <v>10764</v>
      </c>
      <c r="D935" s="3">
        <v>10786</v>
      </c>
      <c r="E935" s="3">
        <v>10720</v>
      </c>
      <c r="F935" s="3">
        <v>10736</v>
      </c>
      <c r="G935" s="3">
        <v>115411</v>
      </c>
      <c r="H935" s="3">
        <v>1.0449999999999999</v>
      </c>
      <c r="I935" s="2">
        <f t="shared" si="213"/>
        <v>0</v>
      </c>
      <c r="J935" s="10">
        <f t="shared" si="215"/>
        <v>32</v>
      </c>
      <c r="K935" s="10">
        <f t="shared" si="214"/>
        <v>-28</v>
      </c>
      <c r="L935" s="10">
        <f t="shared" ca="1" si="203"/>
        <v>0</v>
      </c>
      <c r="M935" s="10">
        <f t="shared" ca="1" si="205"/>
        <v>0</v>
      </c>
      <c r="N935" s="30">
        <f t="shared" ca="1" si="206"/>
        <v>0</v>
      </c>
      <c r="O935" s="10">
        <f t="shared" ca="1" si="207"/>
        <v>0</v>
      </c>
      <c r="P935" s="29">
        <f t="shared" ca="1" si="208"/>
        <v>0</v>
      </c>
      <c r="Q935" s="12">
        <f t="shared" ca="1" si="209"/>
        <v>-335800</v>
      </c>
      <c r="R935" s="10">
        <f t="shared" ca="1" si="210"/>
        <v>0</v>
      </c>
      <c r="S935" s="10">
        <f t="shared" ca="1" si="200"/>
        <v>0.1540798922157405</v>
      </c>
      <c r="T935" s="14">
        <f t="shared" ca="1" si="201"/>
        <v>-0.12183975965298505</v>
      </c>
      <c r="U935" s="12">
        <f t="shared" ca="1" si="211"/>
        <v>7900</v>
      </c>
      <c r="V935" s="14">
        <f t="shared" ca="1" si="212"/>
        <v>-4350.6329113924048</v>
      </c>
      <c r="W935" s="12">
        <f t="shared" ca="1" si="202"/>
        <v>-3653.1645569620255</v>
      </c>
      <c r="X935" s="7">
        <f ca="1">AVERAGE(E935:OFFSET(F935,-$X$5+1,0))</f>
        <v>10723.9</v>
      </c>
      <c r="Y935" s="7">
        <f ca="1">AVERAGE(E935:OFFSET(F935,-$Y$5+1,0))</f>
        <v>10681.6</v>
      </c>
      <c r="Z935" s="7">
        <f t="shared" ca="1" si="204"/>
        <v>0</v>
      </c>
    </row>
    <row r="936" spans="1:26">
      <c r="A936" s="3" t="s">
        <v>69</v>
      </c>
      <c r="B936" s="4">
        <v>43032</v>
      </c>
      <c r="C936" s="3">
        <v>10725</v>
      </c>
      <c r="D936" s="3">
        <v>10758</v>
      </c>
      <c r="E936" s="3">
        <v>10709</v>
      </c>
      <c r="F936" s="3">
        <v>10744</v>
      </c>
      <c r="G936" s="3">
        <v>90267</v>
      </c>
      <c r="H936" s="3">
        <v>1.0449999999999999</v>
      </c>
      <c r="I936" s="2">
        <f t="shared" si="213"/>
        <v>0</v>
      </c>
      <c r="J936" s="10">
        <f t="shared" si="215"/>
        <v>-11</v>
      </c>
      <c r="K936" s="10">
        <f t="shared" si="214"/>
        <v>19</v>
      </c>
      <c r="L936" s="10">
        <f t="shared" ca="1" si="203"/>
        <v>0</v>
      </c>
      <c r="M936" s="10">
        <f t="shared" ca="1" si="205"/>
        <v>0</v>
      </c>
      <c r="N936" s="30">
        <f t="shared" ca="1" si="206"/>
        <v>0</v>
      </c>
      <c r="O936" s="10">
        <f t="shared" ca="1" si="207"/>
        <v>0</v>
      </c>
      <c r="P936" s="29">
        <f t="shared" ca="1" si="208"/>
        <v>0</v>
      </c>
      <c r="Q936" s="12">
        <f t="shared" ca="1" si="209"/>
        <v>-335800</v>
      </c>
      <c r="R936" s="10">
        <f t="shared" ca="1" si="210"/>
        <v>0</v>
      </c>
      <c r="S936" s="10">
        <f t="shared" ca="1" si="200"/>
        <v>0.27376055268099014</v>
      </c>
      <c r="T936" s="14">
        <f t="shared" ca="1" si="201"/>
        <v>-0.10548265112057818</v>
      </c>
      <c r="U936" s="12">
        <f t="shared" ca="1" si="211"/>
        <v>7900</v>
      </c>
      <c r="V936" s="14">
        <f t="shared" ca="1" si="212"/>
        <v>-4350.6329113924048</v>
      </c>
      <c r="W936" s="12">
        <f t="shared" ca="1" si="202"/>
        <v>-3653.1645569620255</v>
      </c>
      <c r="X936" s="7">
        <f ca="1">AVERAGE(E936:OFFSET(F936,-$X$5+1,0))</f>
        <v>10724.8</v>
      </c>
      <c r="Y936" s="7">
        <f ca="1">AVERAGE(E936:OFFSET(F936,-$Y$5+1,0))</f>
        <v>10703.25</v>
      </c>
      <c r="Z936" s="7">
        <f t="shared" ca="1" si="204"/>
        <v>0</v>
      </c>
    </row>
    <row r="937" spans="1:26">
      <c r="A937" s="3" t="s">
        <v>69</v>
      </c>
      <c r="B937" s="4">
        <v>43033</v>
      </c>
      <c r="C937" s="3">
        <v>10769</v>
      </c>
      <c r="D937" s="3">
        <v>10782</v>
      </c>
      <c r="E937" s="3">
        <v>10728</v>
      </c>
      <c r="F937" s="3">
        <v>10739</v>
      </c>
      <c r="G937" s="3">
        <v>118851</v>
      </c>
      <c r="H937" s="3">
        <v>1.0449999999999999</v>
      </c>
      <c r="I937" s="2">
        <f t="shared" si="213"/>
        <v>0</v>
      </c>
      <c r="J937" s="10">
        <f t="shared" si="215"/>
        <v>25</v>
      </c>
      <c r="K937" s="10">
        <f t="shared" si="214"/>
        <v>-30</v>
      </c>
      <c r="L937" s="10">
        <f t="shared" ca="1" si="203"/>
        <v>0</v>
      </c>
      <c r="M937" s="10">
        <f t="shared" ca="1" si="205"/>
        <v>0</v>
      </c>
      <c r="N937" s="30">
        <f t="shared" ca="1" si="206"/>
        <v>0</v>
      </c>
      <c r="O937" s="10">
        <f t="shared" ca="1" si="207"/>
        <v>0</v>
      </c>
      <c r="P937" s="29">
        <f t="shared" ca="1" si="208"/>
        <v>0</v>
      </c>
      <c r="Q937" s="12">
        <f t="shared" ca="1" si="209"/>
        <v>-335800</v>
      </c>
      <c r="R937" s="10">
        <f t="shared" ca="1" si="210"/>
        <v>0</v>
      </c>
      <c r="S937" s="10">
        <f t="shared" ca="1" si="200"/>
        <v>0.27376055268099014</v>
      </c>
      <c r="T937" s="14">
        <f t="shared" ca="1" si="201"/>
        <v>-0.11525621398542586</v>
      </c>
      <c r="U937" s="12">
        <f t="shared" ca="1" si="211"/>
        <v>7900</v>
      </c>
      <c r="V937" s="14">
        <f t="shared" ca="1" si="212"/>
        <v>-4350.6329113924048</v>
      </c>
      <c r="W937" s="12">
        <f t="shared" ca="1" si="202"/>
        <v>-3653.1645569620255</v>
      </c>
      <c r="X937" s="7">
        <f ca="1">AVERAGE(E937:OFFSET(F937,-$X$5+1,0))</f>
        <v>10730.2</v>
      </c>
      <c r="Y937" s="7">
        <f ca="1">AVERAGE(E937:OFFSET(F937,-$Y$5+1,0))</f>
        <v>10717.2</v>
      </c>
      <c r="Z937" s="7">
        <f t="shared" ca="1" si="204"/>
        <v>0</v>
      </c>
    </row>
    <row r="938" spans="1:26">
      <c r="A938" s="3" t="s">
        <v>69</v>
      </c>
      <c r="B938" s="4">
        <v>43034</v>
      </c>
      <c r="C938" s="3">
        <v>10715</v>
      </c>
      <c r="D938" s="3">
        <v>10750</v>
      </c>
      <c r="E938" s="3">
        <v>10693</v>
      </c>
      <c r="F938" s="3">
        <v>10728</v>
      </c>
      <c r="G938" s="3">
        <v>100701</v>
      </c>
      <c r="H938" s="3">
        <v>1.0449999999999999</v>
      </c>
      <c r="I938" s="2">
        <f t="shared" si="213"/>
        <v>0</v>
      </c>
      <c r="J938" s="10">
        <f t="shared" si="215"/>
        <v>-24</v>
      </c>
      <c r="K938" s="10">
        <f t="shared" si="214"/>
        <v>13</v>
      </c>
      <c r="L938" s="10">
        <f t="shared" ca="1" si="203"/>
        <v>0</v>
      </c>
      <c r="M938" s="10">
        <f t="shared" ca="1" si="205"/>
        <v>0</v>
      </c>
      <c r="N938" s="30">
        <f t="shared" ca="1" si="206"/>
        <v>0</v>
      </c>
      <c r="O938" s="10">
        <f t="shared" ca="1" si="207"/>
        <v>0</v>
      </c>
      <c r="P938" s="29">
        <f t="shared" ca="1" si="208"/>
        <v>0</v>
      </c>
      <c r="Q938" s="12">
        <f t="shared" ca="1" si="209"/>
        <v>-335800</v>
      </c>
      <c r="R938" s="10">
        <f t="shared" ca="1" si="210"/>
        <v>0</v>
      </c>
      <c r="S938" s="10">
        <f t="shared" ca="1" si="200"/>
        <v>0.27376055268099014</v>
      </c>
      <c r="T938" s="14">
        <f t="shared" ca="1" si="201"/>
        <v>-0.11527062998896595</v>
      </c>
      <c r="U938" s="12">
        <f t="shared" ca="1" si="211"/>
        <v>7900</v>
      </c>
      <c r="V938" s="14">
        <f t="shared" ca="1" si="212"/>
        <v>-4350.6329113924048</v>
      </c>
      <c r="W938" s="12">
        <f t="shared" ca="1" si="202"/>
        <v>-3653.1645569620255</v>
      </c>
      <c r="X938" s="7">
        <f ca="1">AVERAGE(E938:OFFSET(F938,-$X$5+1,0))</f>
        <v>10722.9</v>
      </c>
      <c r="Y938" s="7">
        <f ca="1">AVERAGE(E938:OFFSET(F938,-$Y$5+1,0))</f>
        <v>10721.4</v>
      </c>
      <c r="Z938" s="7">
        <f t="shared" ca="1" si="204"/>
        <v>0</v>
      </c>
    </row>
    <row r="939" spans="1:26">
      <c r="A939" s="3" t="s">
        <v>69</v>
      </c>
      <c r="B939" s="4">
        <v>43035</v>
      </c>
      <c r="C939" s="3">
        <v>10748</v>
      </c>
      <c r="D939" s="3">
        <v>10792</v>
      </c>
      <c r="E939" s="3">
        <v>10684</v>
      </c>
      <c r="F939" s="3">
        <v>10710</v>
      </c>
      <c r="G939" s="3">
        <v>146685</v>
      </c>
      <c r="H939" s="3">
        <v>1.0449999999999999</v>
      </c>
      <c r="I939" s="2">
        <f t="shared" si="213"/>
        <v>0</v>
      </c>
      <c r="J939" s="10">
        <f t="shared" si="215"/>
        <v>20</v>
      </c>
      <c r="K939" s="10">
        <f t="shared" si="214"/>
        <v>-38</v>
      </c>
      <c r="L939" s="10">
        <f t="shared" ca="1" si="203"/>
        <v>-1</v>
      </c>
      <c r="M939" s="10">
        <f t="shared" ca="1" si="205"/>
        <v>0</v>
      </c>
      <c r="N939" s="30">
        <f t="shared" ca="1" si="206"/>
        <v>0</v>
      </c>
      <c r="O939" s="10">
        <f t="shared" ca="1" si="207"/>
        <v>0</v>
      </c>
      <c r="P939" s="29">
        <f t="shared" ca="1" si="208"/>
        <v>0</v>
      </c>
      <c r="Q939" s="12">
        <f t="shared" ca="1" si="209"/>
        <v>-335800</v>
      </c>
      <c r="R939" s="10">
        <f t="shared" ca="1" si="210"/>
        <v>0</v>
      </c>
      <c r="S939" s="10">
        <f t="shared" ca="1" si="200"/>
        <v>0.27376055268099014</v>
      </c>
      <c r="T939" s="14">
        <f t="shared" ca="1" si="201"/>
        <v>-0.11528373612475101</v>
      </c>
      <c r="U939" s="12">
        <f t="shared" ca="1" si="211"/>
        <v>7900</v>
      </c>
      <c r="V939" s="14">
        <f t="shared" ca="1" si="212"/>
        <v>-4350.6329113924048</v>
      </c>
      <c r="W939" s="12">
        <f t="shared" ca="1" si="202"/>
        <v>-3653.1645569620255</v>
      </c>
      <c r="X939" s="7">
        <f ca="1">AVERAGE(E939:OFFSET(F939,-$X$5+1,0))</f>
        <v>10719.1</v>
      </c>
      <c r="Y939" s="7">
        <f ca="1">AVERAGE(E939:OFFSET(F939,-$Y$5+1,0))</f>
        <v>10722.05</v>
      </c>
      <c r="Z939" s="7">
        <f t="shared" ca="1" si="204"/>
        <v>-1</v>
      </c>
    </row>
    <row r="940" spans="1:26">
      <c r="A940" s="3" t="s">
        <v>69</v>
      </c>
      <c r="B940" s="4">
        <v>43038</v>
      </c>
      <c r="C940" s="3">
        <v>10763</v>
      </c>
      <c r="D940" s="3">
        <v>10820</v>
      </c>
      <c r="E940" s="3">
        <v>10724</v>
      </c>
      <c r="F940" s="3">
        <v>10748</v>
      </c>
      <c r="G940" s="3">
        <v>157841</v>
      </c>
      <c r="H940" s="3">
        <v>1.0449999999999999</v>
      </c>
      <c r="I940" s="2">
        <f t="shared" si="213"/>
        <v>0</v>
      </c>
      <c r="J940" s="10">
        <f t="shared" si="215"/>
        <v>53</v>
      </c>
      <c r="K940" s="10">
        <f t="shared" si="214"/>
        <v>-15</v>
      </c>
      <c r="L940" s="10">
        <f t="shared" ca="1" si="203"/>
        <v>0</v>
      </c>
      <c r="M940" s="10">
        <f t="shared" ca="1" si="205"/>
        <v>-1</v>
      </c>
      <c r="N940" s="30">
        <f t="shared" ca="1" si="206"/>
        <v>0</v>
      </c>
      <c r="O940" s="10">
        <f t="shared" ca="1" si="207"/>
        <v>2152600</v>
      </c>
      <c r="P940" s="29">
        <f t="shared" ca="1" si="208"/>
        <v>2500</v>
      </c>
      <c r="Q940" s="12">
        <f t="shared" ca="1" si="209"/>
        <v>-333300</v>
      </c>
      <c r="R940" s="10">
        <f t="shared" ca="1" si="210"/>
        <v>0.11613862306048499</v>
      </c>
      <c r="S940" s="10">
        <f t="shared" ref="S940:S1003" ca="1" si="216">100*SUM(P701:P940)/SUM(N701:N940)</f>
        <v>0.29167681921770416</v>
      </c>
      <c r="T940" s="14">
        <f t="shared" ca="1" si="201"/>
        <v>-0.11259059694406813</v>
      </c>
      <c r="U940" s="12">
        <f t="shared" ca="1" si="211"/>
        <v>7900</v>
      </c>
      <c r="V940" s="14">
        <f t="shared" ca="1" si="212"/>
        <v>-4318.9873417721519</v>
      </c>
      <c r="W940" s="12">
        <f t="shared" ca="1" si="202"/>
        <v>-3653.1645569620255</v>
      </c>
      <c r="X940" s="7">
        <f ca="1">AVERAGE(E940:OFFSET(F940,-$X$5+1,0))</f>
        <v>10720.7</v>
      </c>
      <c r="Y940" s="7">
        <f ca="1">AVERAGE(E940:OFFSET(F940,-$Y$5+1,0))</f>
        <v>10722.3</v>
      </c>
      <c r="Z940" s="7">
        <f t="shared" ca="1" si="204"/>
        <v>0</v>
      </c>
    </row>
    <row r="941" spans="1:26">
      <c r="A941" s="3" t="s">
        <v>69</v>
      </c>
      <c r="B941" s="4">
        <v>43039</v>
      </c>
      <c r="C941" s="3">
        <v>10754</v>
      </c>
      <c r="D941" s="3">
        <v>10800</v>
      </c>
      <c r="E941" s="3">
        <v>10730</v>
      </c>
      <c r="F941" s="3">
        <v>10783</v>
      </c>
      <c r="G941" s="3">
        <v>119823</v>
      </c>
      <c r="H941" s="3">
        <v>1.0449999999999999</v>
      </c>
      <c r="I941" s="2">
        <f t="shared" si="213"/>
        <v>0</v>
      </c>
      <c r="J941" s="10">
        <f t="shared" si="215"/>
        <v>6</v>
      </c>
      <c r="K941" s="10">
        <f t="shared" si="214"/>
        <v>29</v>
      </c>
      <c r="L941" s="10">
        <f t="shared" ca="1" si="203"/>
        <v>1</v>
      </c>
      <c r="M941" s="10">
        <f t="shared" ca="1" si="205"/>
        <v>-1</v>
      </c>
      <c r="N941" s="30">
        <f t="shared" ca="1" si="206"/>
        <v>0</v>
      </c>
      <c r="O941" s="10">
        <f t="shared" ca="1" si="207"/>
        <v>2152600</v>
      </c>
      <c r="P941" s="29">
        <f t="shared" ca="1" si="208"/>
        <v>-7000</v>
      </c>
      <c r="Q941" s="12">
        <f t="shared" ca="1" si="209"/>
        <v>-340300</v>
      </c>
      <c r="R941" s="10">
        <f t="shared" ca="1" si="210"/>
        <v>-0.32518814456935796</v>
      </c>
      <c r="S941" s="10">
        <f t="shared" ca="1" si="216"/>
        <v>0.2415112729149049</v>
      </c>
      <c r="T941" s="14">
        <f t="shared" ref="T941:T1004" ca="1" si="217">(S941-AVERAGE(H672:H941))/(_xlfn.STDEV.S(R672:R941)*SQRT(240))</f>
        <v>-0.11996197068473904</v>
      </c>
      <c r="U941" s="12">
        <f t="shared" ca="1" si="211"/>
        <v>7900</v>
      </c>
      <c r="V941" s="14">
        <f t="shared" ca="1" si="212"/>
        <v>-4407.5949367088606</v>
      </c>
      <c r="W941" s="12">
        <f t="shared" ref="W941:W1004" ca="1" si="218">MAX(V702:V941)</f>
        <v>-3653.1645569620255</v>
      </c>
      <c r="X941" s="7">
        <f ca="1">AVERAGE(E941:OFFSET(F941,-$X$5+1,0))</f>
        <v>10726.7</v>
      </c>
      <c r="Y941" s="7">
        <f ca="1">AVERAGE(E941:OFFSET(F941,-$Y$5+1,0))</f>
        <v>10725.75</v>
      </c>
      <c r="Z941" s="7">
        <f t="shared" ca="1" si="204"/>
        <v>1</v>
      </c>
    </row>
    <row r="942" spans="1:26">
      <c r="A942" s="3" t="s">
        <v>69</v>
      </c>
      <c r="B942" s="4">
        <v>43040</v>
      </c>
      <c r="C942" s="3">
        <v>10820</v>
      </c>
      <c r="D942" s="3">
        <v>10826</v>
      </c>
      <c r="E942" s="3">
        <v>10775</v>
      </c>
      <c r="F942" s="3">
        <v>10809</v>
      </c>
      <c r="G942" s="3">
        <v>119466</v>
      </c>
      <c r="H942" s="3">
        <v>1.0449999999999999</v>
      </c>
      <c r="I942" s="2">
        <f t="shared" si="213"/>
        <v>0</v>
      </c>
      <c r="J942" s="10">
        <f t="shared" si="215"/>
        <v>37</v>
      </c>
      <c r="K942" s="10">
        <f t="shared" si="214"/>
        <v>-11</v>
      </c>
      <c r="L942" s="10">
        <f t="shared" ca="1" si="203"/>
        <v>0</v>
      </c>
      <c r="M942" s="10">
        <f t="shared" ca="1" si="205"/>
        <v>0</v>
      </c>
      <c r="N942" s="30">
        <f t="shared" ca="1" si="206"/>
        <v>0</v>
      </c>
      <c r="O942" s="10">
        <f t="shared" ca="1" si="207"/>
        <v>0</v>
      </c>
      <c r="P942" s="29">
        <f t="shared" ca="1" si="208"/>
        <v>-7900</v>
      </c>
      <c r="Q942" s="12">
        <f t="shared" ca="1" si="209"/>
        <v>-348200</v>
      </c>
      <c r="R942" s="10">
        <f t="shared" ca="1" si="210"/>
        <v>-0.36699804887113258</v>
      </c>
      <c r="S942" s="10">
        <f t="shared" ca="1" si="216"/>
        <v>0.18489587065888863</v>
      </c>
      <c r="T942" s="14">
        <f t="shared" ca="1" si="217"/>
        <v>-0.12925843299228268</v>
      </c>
      <c r="U942" s="12">
        <f t="shared" ca="1" si="211"/>
        <v>7900</v>
      </c>
      <c r="V942" s="14">
        <f t="shared" ca="1" si="212"/>
        <v>-4507.5949367088606</v>
      </c>
      <c r="W942" s="12">
        <f t="shared" ca="1" si="218"/>
        <v>-3653.1645569620255</v>
      </c>
      <c r="X942" s="7">
        <f ca="1">AVERAGE(E942:OFFSET(F942,-$X$5+1,0))</f>
        <v>10738.4</v>
      </c>
      <c r="Y942" s="7">
        <f ca="1">AVERAGE(E942:OFFSET(F942,-$Y$5+1,0))</f>
        <v>10734.3</v>
      </c>
      <c r="Z942" s="7">
        <f t="shared" ca="1" si="204"/>
        <v>0</v>
      </c>
    </row>
    <row r="943" spans="1:26">
      <c r="A943" s="3" t="s">
        <v>69</v>
      </c>
      <c r="B943" s="4">
        <v>43041</v>
      </c>
      <c r="C943" s="3">
        <v>10770</v>
      </c>
      <c r="D943" s="3">
        <v>10806</v>
      </c>
      <c r="E943" s="3">
        <v>10758</v>
      </c>
      <c r="F943" s="3">
        <v>10781</v>
      </c>
      <c r="G943" s="3">
        <v>104964</v>
      </c>
      <c r="H943" s="3">
        <v>1.0449999999999999</v>
      </c>
      <c r="I943" s="2">
        <f t="shared" si="213"/>
        <v>0</v>
      </c>
      <c r="J943" s="10">
        <f t="shared" si="215"/>
        <v>-39</v>
      </c>
      <c r="K943" s="10">
        <f t="shared" si="214"/>
        <v>11</v>
      </c>
      <c r="L943" s="10">
        <f t="shared" ca="1" si="203"/>
        <v>0</v>
      </c>
      <c r="M943" s="10">
        <f t="shared" ca="1" si="205"/>
        <v>0</v>
      </c>
      <c r="N943" s="30">
        <f t="shared" ca="1" si="206"/>
        <v>0</v>
      </c>
      <c r="O943" s="10">
        <f t="shared" ca="1" si="207"/>
        <v>0</v>
      </c>
      <c r="P943" s="29">
        <f t="shared" ca="1" si="208"/>
        <v>0</v>
      </c>
      <c r="Q943" s="12">
        <f t="shared" ca="1" si="209"/>
        <v>-348200</v>
      </c>
      <c r="R943" s="10">
        <f t="shared" ca="1" si="210"/>
        <v>0</v>
      </c>
      <c r="S943" s="10">
        <f t="shared" ca="1" si="216"/>
        <v>0.18489587065888863</v>
      </c>
      <c r="T943" s="14">
        <f t="shared" ca="1" si="217"/>
        <v>-0.1307837744398464</v>
      </c>
      <c r="U943" s="12">
        <f t="shared" ca="1" si="211"/>
        <v>7900</v>
      </c>
      <c r="V943" s="14">
        <f t="shared" ca="1" si="212"/>
        <v>-4507.5949367088606</v>
      </c>
      <c r="W943" s="12">
        <f t="shared" ca="1" si="218"/>
        <v>-3653.1645569620255</v>
      </c>
      <c r="X943" s="7">
        <f ca="1">AVERAGE(E943:OFFSET(F943,-$X$5+1,0))</f>
        <v>10750.2</v>
      </c>
      <c r="Y943" s="7">
        <f ca="1">AVERAGE(E943:OFFSET(F943,-$Y$5+1,0))</f>
        <v>10736.55</v>
      </c>
      <c r="Z943" s="7">
        <f t="shared" ca="1" si="204"/>
        <v>0</v>
      </c>
    </row>
    <row r="944" spans="1:26">
      <c r="A944" s="3" t="s">
        <v>69</v>
      </c>
      <c r="B944" s="4">
        <v>43042</v>
      </c>
      <c r="C944" s="3">
        <v>10806</v>
      </c>
      <c r="D944" s="3">
        <v>10810</v>
      </c>
      <c r="E944" s="3">
        <v>10747</v>
      </c>
      <c r="F944" s="3">
        <v>10788</v>
      </c>
      <c r="G944" s="3">
        <v>108240</v>
      </c>
      <c r="H944" s="3">
        <v>1.0449999999999999</v>
      </c>
      <c r="I944" s="2">
        <f t="shared" si="213"/>
        <v>0</v>
      </c>
      <c r="J944" s="10">
        <f t="shared" si="215"/>
        <v>25</v>
      </c>
      <c r="K944" s="10">
        <f t="shared" si="214"/>
        <v>-18</v>
      </c>
      <c r="L944" s="10">
        <f t="shared" ca="1" si="203"/>
        <v>0</v>
      </c>
      <c r="M944" s="10">
        <f t="shared" ca="1" si="205"/>
        <v>0</v>
      </c>
      <c r="N944" s="30">
        <f t="shared" ca="1" si="206"/>
        <v>0</v>
      </c>
      <c r="O944" s="10">
        <f t="shared" ca="1" si="207"/>
        <v>0</v>
      </c>
      <c r="P944" s="29">
        <f t="shared" ca="1" si="208"/>
        <v>0</v>
      </c>
      <c r="Q944" s="12">
        <f t="shared" ca="1" si="209"/>
        <v>-348200</v>
      </c>
      <c r="R944" s="10">
        <f t="shared" ca="1" si="210"/>
        <v>0</v>
      </c>
      <c r="S944" s="10">
        <f t="shared" ca="1" si="216"/>
        <v>0.18489587065888863</v>
      </c>
      <c r="T944" s="14">
        <f t="shared" ca="1" si="217"/>
        <v>-0.13332747286462335</v>
      </c>
      <c r="U944" s="12">
        <f t="shared" ca="1" si="211"/>
        <v>7900</v>
      </c>
      <c r="V944" s="14">
        <f t="shared" ca="1" si="212"/>
        <v>-4507.5949367088606</v>
      </c>
      <c r="W944" s="12">
        <f t="shared" ca="1" si="218"/>
        <v>-3653.1645569620255</v>
      </c>
      <c r="X944" s="7">
        <f ca="1">AVERAGE(E944:OFFSET(F944,-$X$5+1,0))</f>
        <v>10764.3</v>
      </c>
      <c r="Y944" s="7">
        <f ca="1">AVERAGE(E944:OFFSET(F944,-$Y$5+1,0))</f>
        <v>10741.7</v>
      </c>
      <c r="Z944" s="7">
        <f t="shared" ca="1" si="204"/>
        <v>0</v>
      </c>
    </row>
    <row r="945" spans="1:26">
      <c r="A945" s="3" t="s">
        <v>69</v>
      </c>
      <c r="B945" s="4">
        <v>43045</v>
      </c>
      <c r="C945" s="3">
        <v>10793</v>
      </c>
      <c r="D945" s="3">
        <v>10828</v>
      </c>
      <c r="E945" s="3">
        <v>10745</v>
      </c>
      <c r="F945" s="3">
        <v>10771</v>
      </c>
      <c r="G945" s="3">
        <v>132222</v>
      </c>
      <c r="H945" s="3">
        <v>1.0449999999999999</v>
      </c>
      <c r="I945" s="2">
        <f t="shared" si="213"/>
        <v>0</v>
      </c>
      <c r="J945" s="10">
        <f t="shared" si="215"/>
        <v>5</v>
      </c>
      <c r="K945" s="10">
        <f t="shared" si="214"/>
        <v>-22</v>
      </c>
      <c r="L945" s="10">
        <f t="shared" ca="1" si="203"/>
        <v>0</v>
      </c>
      <c r="M945" s="10">
        <f t="shared" ca="1" si="205"/>
        <v>0</v>
      </c>
      <c r="N945" s="30">
        <f t="shared" ca="1" si="206"/>
        <v>0</v>
      </c>
      <c r="O945" s="10">
        <f t="shared" ca="1" si="207"/>
        <v>0</v>
      </c>
      <c r="P945" s="29">
        <f t="shared" ca="1" si="208"/>
        <v>0</v>
      </c>
      <c r="Q945" s="12">
        <f t="shared" ca="1" si="209"/>
        <v>-348200</v>
      </c>
      <c r="R945" s="10">
        <f t="shared" ca="1" si="210"/>
        <v>0</v>
      </c>
      <c r="S945" s="10">
        <f t="shared" ca="1" si="216"/>
        <v>0.18489587065888863</v>
      </c>
      <c r="T945" s="14">
        <f t="shared" ca="1" si="217"/>
        <v>-0.13406148425796166</v>
      </c>
      <c r="U945" s="12">
        <f t="shared" ca="1" si="211"/>
        <v>7900</v>
      </c>
      <c r="V945" s="14">
        <f t="shared" ca="1" si="212"/>
        <v>-4507.5949367088606</v>
      </c>
      <c r="W945" s="12">
        <f t="shared" ca="1" si="218"/>
        <v>-3653.1645569620255</v>
      </c>
      <c r="X945" s="7">
        <f ca="1">AVERAGE(E945:OFFSET(F945,-$X$5+1,0))</f>
        <v>10768.7</v>
      </c>
      <c r="Y945" s="7">
        <f ca="1">AVERAGE(E945:OFFSET(F945,-$Y$5+1,0))</f>
        <v>10744.7</v>
      </c>
      <c r="Z945" s="7">
        <f t="shared" ca="1" si="204"/>
        <v>0</v>
      </c>
    </row>
    <row r="946" spans="1:26">
      <c r="A946" s="3" t="s">
        <v>69</v>
      </c>
      <c r="B946" s="4">
        <v>43046</v>
      </c>
      <c r="C946" s="3">
        <v>10789</v>
      </c>
      <c r="D946" s="3">
        <v>10825</v>
      </c>
      <c r="E946" s="3">
        <v>10778</v>
      </c>
      <c r="F946" s="3">
        <v>10825</v>
      </c>
      <c r="G946" s="3">
        <v>101729</v>
      </c>
      <c r="H946" s="3">
        <v>1.0449999999999999</v>
      </c>
      <c r="I946" s="2">
        <f t="shared" si="213"/>
        <v>0</v>
      </c>
      <c r="J946" s="10">
        <f t="shared" si="215"/>
        <v>18</v>
      </c>
      <c r="K946" s="10">
        <f t="shared" si="214"/>
        <v>36</v>
      </c>
      <c r="L946" s="10">
        <f t="shared" ca="1" si="203"/>
        <v>0</v>
      </c>
      <c r="M946" s="10">
        <f t="shared" ca="1" si="205"/>
        <v>0</v>
      </c>
      <c r="N946" s="30">
        <f t="shared" ca="1" si="206"/>
        <v>0</v>
      </c>
      <c r="O946" s="10">
        <f t="shared" ca="1" si="207"/>
        <v>0</v>
      </c>
      <c r="P946" s="29">
        <f t="shared" ca="1" si="208"/>
        <v>0</v>
      </c>
      <c r="Q946" s="12">
        <f t="shared" ca="1" si="209"/>
        <v>-348200</v>
      </c>
      <c r="R946" s="10">
        <f t="shared" ca="1" si="210"/>
        <v>0</v>
      </c>
      <c r="S946" s="10">
        <f t="shared" ca="1" si="216"/>
        <v>0.18489587065888863</v>
      </c>
      <c r="T946" s="14">
        <f t="shared" ca="1" si="217"/>
        <v>-0.13454497467014223</v>
      </c>
      <c r="U946" s="12">
        <f t="shared" ca="1" si="211"/>
        <v>7900</v>
      </c>
      <c r="V946" s="14">
        <f t="shared" ca="1" si="212"/>
        <v>-4507.5949367088606</v>
      </c>
      <c r="W946" s="12">
        <f t="shared" ca="1" si="218"/>
        <v>-3653.1645569620255</v>
      </c>
      <c r="X946" s="7">
        <f ca="1">AVERAGE(E946:OFFSET(F946,-$X$5+1,0))</f>
        <v>10777.7</v>
      </c>
      <c r="Y946" s="7">
        <f ca="1">AVERAGE(E946:OFFSET(F946,-$Y$5+1,0))</f>
        <v>10752.2</v>
      </c>
      <c r="Z946" s="7">
        <f t="shared" ca="1" si="204"/>
        <v>0</v>
      </c>
    </row>
    <row r="947" spans="1:26">
      <c r="A947" s="3" t="s">
        <v>69</v>
      </c>
      <c r="B947" s="4">
        <v>43047</v>
      </c>
      <c r="C947" s="3">
        <v>10810</v>
      </c>
      <c r="D947" s="3">
        <v>10824</v>
      </c>
      <c r="E947" s="3">
        <v>10796</v>
      </c>
      <c r="F947" s="3">
        <v>10804</v>
      </c>
      <c r="G947" s="3">
        <v>78467</v>
      </c>
      <c r="H947" s="3">
        <v>1.0449999999999999</v>
      </c>
      <c r="I947" s="2">
        <f t="shared" si="213"/>
        <v>0</v>
      </c>
      <c r="J947" s="10">
        <f t="shared" si="215"/>
        <v>-15</v>
      </c>
      <c r="K947" s="10">
        <f t="shared" si="214"/>
        <v>-6</v>
      </c>
      <c r="L947" s="10">
        <f t="shared" ca="1" si="203"/>
        <v>0</v>
      </c>
      <c r="M947" s="10">
        <f t="shared" ca="1" si="205"/>
        <v>0</v>
      </c>
      <c r="N947" s="30">
        <f t="shared" ca="1" si="206"/>
        <v>0</v>
      </c>
      <c r="O947" s="10">
        <f t="shared" ca="1" si="207"/>
        <v>0</v>
      </c>
      <c r="P947" s="29">
        <f t="shared" ca="1" si="208"/>
        <v>0</v>
      </c>
      <c r="Q947" s="12">
        <f t="shared" ca="1" si="209"/>
        <v>-348200</v>
      </c>
      <c r="R947" s="10">
        <f t="shared" ca="1" si="210"/>
        <v>0</v>
      </c>
      <c r="S947" s="10">
        <f t="shared" ca="1" si="216"/>
        <v>0.18489587065888863</v>
      </c>
      <c r="T947" s="14">
        <f t="shared" ca="1" si="217"/>
        <v>-0.13455291025956284</v>
      </c>
      <c r="U947" s="12">
        <f t="shared" ca="1" si="211"/>
        <v>7900</v>
      </c>
      <c r="V947" s="14">
        <f t="shared" ca="1" si="212"/>
        <v>-4507.5949367088606</v>
      </c>
      <c r="W947" s="12">
        <f t="shared" ca="1" si="218"/>
        <v>-3653.1645569620255</v>
      </c>
      <c r="X947" s="7">
        <f ca="1">AVERAGE(E947:OFFSET(F947,-$X$5+1,0))</f>
        <v>10779.3</v>
      </c>
      <c r="Y947" s="7">
        <f ca="1">AVERAGE(E947:OFFSET(F947,-$Y$5+1,0))</f>
        <v>10758.85</v>
      </c>
      <c r="Z947" s="7">
        <f t="shared" ca="1" si="204"/>
        <v>0</v>
      </c>
    </row>
    <row r="948" spans="1:26">
      <c r="A948" s="3" t="s">
        <v>69</v>
      </c>
      <c r="B948" s="4">
        <v>43048</v>
      </c>
      <c r="C948" s="3">
        <v>10812</v>
      </c>
      <c r="D948" s="3">
        <v>10823</v>
      </c>
      <c r="E948" s="3">
        <v>10706</v>
      </c>
      <c r="F948" s="3">
        <v>10723</v>
      </c>
      <c r="G948" s="3">
        <v>160617</v>
      </c>
      <c r="H948" s="3">
        <v>1.0449999999999999</v>
      </c>
      <c r="I948" s="2">
        <f t="shared" si="213"/>
        <v>0</v>
      </c>
      <c r="J948" s="10">
        <f t="shared" si="215"/>
        <v>8</v>
      </c>
      <c r="K948" s="10">
        <f t="shared" si="214"/>
        <v>-89</v>
      </c>
      <c r="L948" s="10">
        <f t="shared" ca="1" si="203"/>
        <v>0</v>
      </c>
      <c r="M948" s="10">
        <f t="shared" ca="1" si="205"/>
        <v>0</v>
      </c>
      <c r="N948" s="30">
        <f t="shared" ca="1" si="206"/>
        <v>0</v>
      </c>
      <c r="O948" s="10">
        <f t="shared" ca="1" si="207"/>
        <v>0</v>
      </c>
      <c r="P948" s="29">
        <f t="shared" ca="1" si="208"/>
        <v>0</v>
      </c>
      <c r="Q948" s="12">
        <f t="shared" ca="1" si="209"/>
        <v>-348200</v>
      </c>
      <c r="R948" s="10">
        <f t="shared" ca="1" si="210"/>
        <v>0</v>
      </c>
      <c r="S948" s="10">
        <f t="shared" ca="1" si="216"/>
        <v>0.18489587065888863</v>
      </c>
      <c r="T948" s="14">
        <f t="shared" ca="1" si="217"/>
        <v>-0.13459828279676381</v>
      </c>
      <c r="U948" s="12">
        <f t="shared" ca="1" si="211"/>
        <v>7900</v>
      </c>
      <c r="V948" s="14">
        <f t="shared" ca="1" si="212"/>
        <v>-4507.5949367088606</v>
      </c>
      <c r="W948" s="12">
        <f t="shared" ca="1" si="218"/>
        <v>-3653.1645569620255</v>
      </c>
      <c r="X948" s="7">
        <f ca="1">AVERAGE(E948:OFFSET(F948,-$X$5+1,0))</f>
        <v>10768.3</v>
      </c>
      <c r="Y948" s="7">
        <f ca="1">AVERAGE(E948:OFFSET(F948,-$Y$5+1,0))</f>
        <v>10759.25</v>
      </c>
      <c r="Z948" s="7">
        <f t="shared" ca="1" si="204"/>
        <v>0</v>
      </c>
    </row>
    <row r="949" spans="1:26">
      <c r="A949" s="3" t="s">
        <v>69</v>
      </c>
      <c r="B949" s="4">
        <v>43049</v>
      </c>
      <c r="C949" s="3">
        <v>10687</v>
      </c>
      <c r="D949" s="3">
        <v>10737</v>
      </c>
      <c r="E949" s="3">
        <v>10662</v>
      </c>
      <c r="F949" s="3">
        <v>10728</v>
      </c>
      <c r="G949" s="3">
        <v>117845</v>
      </c>
      <c r="H949" s="3">
        <v>1.0449999999999999</v>
      </c>
      <c r="I949" s="2">
        <f t="shared" si="213"/>
        <v>0</v>
      </c>
      <c r="J949" s="10">
        <f t="shared" si="215"/>
        <v>-36</v>
      </c>
      <c r="K949" s="10">
        <f t="shared" si="214"/>
        <v>41</v>
      </c>
      <c r="L949" s="10">
        <f t="shared" ca="1" si="203"/>
        <v>-1</v>
      </c>
      <c r="M949" s="10">
        <f t="shared" ca="1" si="205"/>
        <v>0</v>
      </c>
      <c r="N949" s="30">
        <f t="shared" ca="1" si="206"/>
        <v>0</v>
      </c>
      <c r="O949" s="10">
        <f t="shared" ca="1" si="207"/>
        <v>0</v>
      </c>
      <c r="P949" s="29">
        <f t="shared" ca="1" si="208"/>
        <v>0</v>
      </c>
      <c r="Q949" s="12">
        <f t="shared" ca="1" si="209"/>
        <v>-348200</v>
      </c>
      <c r="R949" s="10">
        <f t="shared" ca="1" si="210"/>
        <v>0</v>
      </c>
      <c r="S949" s="10">
        <f t="shared" ca="1" si="216"/>
        <v>0.18489587065888863</v>
      </c>
      <c r="T949" s="14">
        <f t="shared" ca="1" si="217"/>
        <v>-0.13459957595847735</v>
      </c>
      <c r="U949" s="12">
        <f t="shared" ca="1" si="211"/>
        <v>7900</v>
      </c>
      <c r="V949" s="14">
        <f t="shared" ca="1" si="212"/>
        <v>-4507.5949367088606</v>
      </c>
      <c r="W949" s="12">
        <f t="shared" ca="1" si="218"/>
        <v>-3653.1645569620255</v>
      </c>
      <c r="X949" s="7">
        <f ca="1">AVERAGE(E949:OFFSET(F949,-$X$5+1,0))</f>
        <v>10753.8</v>
      </c>
      <c r="Y949" s="7">
        <f ca="1">AVERAGE(E949:OFFSET(F949,-$Y$5+1,0))</f>
        <v>10759.05</v>
      </c>
      <c r="Z949" s="7">
        <f t="shared" ca="1" si="204"/>
        <v>-1</v>
      </c>
    </row>
    <row r="950" spans="1:26">
      <c r="A950" s="3" t="s">
        <v>69</v>
      </c>
      <c r="B950" s="4">
        <v>43052</v>
      </c>
      <c r="C950" s="3">
        <v>10710</v>
      </c>
      <c r="D950" s="3">
        <v>10726</v>
      </c>
      <c r="E950" s="3">
        <v>10688</v>
      </c>
      <c r="F950" s="3">
        <v>10693</v>
      </c>
      <c r="G950" s="3">
        <v>122834</v>
      </c>
      <c r="H950" s="3">
        <v>1.0449999999999999</v>
      </c>
      <c r="I950" s="2">
        <f t="shared" si="213"/>
        <v>0</v>
      </c>
      <c r="J950" s="10">
        <f t="shared" si="215"/>
        <v>-18</v>
      </c>
      <c r="K950" s="10">
        <f t="shared" si="214"/>
        <v>-17</v>
      </c>
      <c r="L950" s="10">
        <f t="shared" ca="1" si="203"/>
        <v>0</v>
      </c>
      <c r="M950" s="10">
        <f t="shared" ca="1" si="205"/>
        <v>-1</v>
      </c>
      <c r="N950" s="30">
        <f t="shared" ca="1" si="206"/>
        <v>0</v>
      </c>
      <c r="O950" s="10">
        <f t="shared" ca="1" si="207"/>
        <v>2142000</v>
      </c>
      <c r="P950" s="29">
        <f t="shared" ca="1" si="208"/>
        <v>2900</v>
      </c>
      <c r="Q950" s="12">
        <f t="shared" ca="1" si="209"/>
        <v>-345300</v>
      </c>
      <c r="R950" s="10">
        <f t="shared" ca="1" si="210"/>
        <v>0.13538748832866479</v>
      </c>
      <c r="S950" s="10">
        <f t="shared" ca="1" si="216"/>
        <v>0.20567873984147689</v>
      </c>
      <c r="T950" s="14">
        <f t="shared" ca="1" si="217"/>
        <v>-0.13196953878051521</v>
      </c>
      <c r="U950" s="12">
        <f t="shared" ca="1" si="211"/>
        <v>7900</v>
      </c>
      <c r="V950" s="14">
        <f t="shared" ca="1" si="212"/>
        <v>-4470.8860759493673</v>
      </c>
      <c r="W950" s="12">
        <f t="shared" ca="1" si="218"/>
        <v>-3653.1645569620255</v>
      </c>
      <c r="X950" s="7">
        <f ca="1">AVERAGE(E950:OFFSET(F950,-$X$5+1,0))</f>
        <v>10740.3</v>
      </c>
      <c r="Y950" s="7">
        <f ca="1">AVERAGE(E950:OFFSET(F950,-$Y$5+1,0))</f>
        <v>10754.5</v>
      </c>
      <c r="Z950" s="7">
        <f t="shared" ca="1" si="204"/>
        <v>0</v>
      </c>
    </row>
    <row r="951" spans="1:26">
      <c r="A951" s="3" t="s">
        <v>69</v>
      </c>
      <c r="B951" s="4">
        <v>43053</v>
      </c>
      <c r="C951" s="3">
        <v>10695</v>
      </c>
      <c r="D951" s="3">
        <v>10715</v>
      </c>
      <c r="E951" s="3">
        <v>10638</v>
      </c>
      <c r="F951" s="3">
        <v>10684</v>
      </c>
      <c r="G951" s="3">
        <v>147006</v>
      </c>
      <c r="H951" s="3">
        <v>1.0449999999999999</v>
      </c>
      <c r="I951" s="2">
        <f t="shared" si="213"/>
        <v>0</v>
      </c>
      <c r="J951" s="10">
        <f t="shared" si="215"/>
        <v>2</v>
      </c>
      <c r="K951" s="10">
        <f t="shared" si="214"/>
        <v>-11</v>
      </c>
      <c r="L951" s="10">
        <f t="shared" ca="1" si="203"/>
        <v>0</v>
      </c>
      <c r="M951" s="10">
        <f t="shared" ca="1" si="205"/>
        <v>-1</v>
      </c>
      <c r="N951" s="30">
        <f t="shared" ca="1" si="206"/>
        <v>0</v>
      </c>
      <c r="O951" s="10">
        <f t="shared" ca="1" si="207"/>
        <v>2142000</v>
      </c>
      <c r="P951" s="29">
        <f t="shared" ca="1" si="208"/>
        <v>1800</v>
      </c>
      <c r="Q951" s="12">
        <f t="shared" ca="1" si="209"/>
        <v>-343500</v>
      </c>
      <c r="R951" s="10">
        <f t="shared" ca="1" si="210"/>
        <v>8.4033613445378158E-2</v>
      </c>
      <c r="S951" s="10">
        <f t="shared" ca="1" si="216"/>
        <v>0.2144542140253056</v>
      </c>
      <c r="T951" s="14">
        <f t="shared" ca="1" si="217"/>
        <v>-0.13139278445641461</v>
      </c>
      <c r="U951" s="12">
        <f t="shared" ca="1" si="211"/>
        <v>7900</v>
      </c>
      <c r="V951" s="14">
        <f t="shared" ca="1" si="212"/>
        <v>-4448.1012658227846</v>
      </c>
      <c r="W951" s="12">
        <f t="shared" ca="1" si="218"/>
        <v>-3653.1645569620255</v>
      </c>
      <c r="X951" s="7">
        <f ca="1">AVERAGE(E951:OFFSET(F951,-$X$5+1,0))</f>
        <v>10712.2</v>
      </c>
      <c r="Y951" s="7">
        <f ca="1">AVERAGE(E951:OFFSET(F951,-$Y$5+1,0))</f>
        <v>10744.95</v>
      </c>
      <c r="Z951" s="7">
        <f t="shared" ca="1" si="204"/>
        <v>0</v>
      </c>
    </row>
    <row r="952" spans="1:26">
      <c r="A952" s="3" t="s">
        <v>69</v>
      </c>
      <c r="B952" s="4">
        <v>43054</v>
      </c>
      <c r="C952" s="3">
        <v>10645</v>
      </c>
      <c r="D952" s="3">
        <v>10658</v>
      </c>
      <c r="E952" s="3">
        <v>10602</v>
      </c>
      <c r="F952" s="3">
        <v>10638</v>
      </c>
      <c r="G952" s="3">
        <v>103668</v>
      </c>
      <c r="H952" s="3">
        <v>1.0449999999999999</v>
      </c>
      <c r="I952" s="2">
        <f t="shared" si="213"/>
        <v>1</v>
      </c>
      <c r="J952" s="10">
        <f t="shared" si="215"/>
        <v>-39</v>
      </c>
      <c r="K952" s="10">
        <f t="shared" si="214"/>
        <v>-7</v>
      </c>
      <c r="L952" s="10">
        <f t="shared" ca="1" si="203"/>
        <v>0</v>
      </c>
      <c r="M952" s="10">
        <f t="shared" si="205"/>
        <v>0</v>
      </c>
      <c r="N952" s="30">
        <f t="shared" si="206"/>
        <v>0</v>
      </c>
      <c r="O952" s="10">
        <f t="shared" si="207"/>
        <v>0</v>
      </c>
      <c r="P952" s="29">
        <f t="shared" ca="1" si="208"/>
        <v>7300</v>
      </c>
      <c r="Q952" s="12">
        <f t="shared" ca="1" si="209"/>
        <v>-336200</v>
      </c>
      <c r="R952" s="10">
        <f t="shared" ca="1" si="210"/>
        <v>0.3408029878618114</v>
      </c>
      <c r="S952" s="10">
        <f t="shared" ca="1" si="216"/>
        <v>0.32910473613883434</v>
      </c>
      <c r="T952" s="14">
        <f t="shared" ca="1" si="217"/>
        <v>-0.11359060844409571</v>
      </c>
      <c r="U952" s="12">
        <f t="shared" ca="1" si="211"/>
        <v>7900</v>
      </c>
      <c r="V952" s="14">
        <f t="shared" ca="1" si="212"/>
        <v>-4355.6962025316452</v>
      </c>
      <c r="W952" s="12">
        <f t="shared" ca="1" si="218"/>
        <v>-3653.1645569620255</v>
      </c>
      <c r="X952" s="7">
        <f ca="1">AVERAGE(E952:OFFSET(F952,-$X$5+1,0))</f>
        <v>10676.2</v>
      </c>
      <c r="Y952" s="7">
        <f ca="1">AVERAGE(E952:OFFSET(F952,-$Y$5+1,0))</f>
        <v>10727.75</v>
      </c>
      <c r="Z952" s="7">
        <f t="shared" ca="1" si="204"/>
        <v>0</v>
      </c>
    </row>
    <row r="953" spans="1:26">
      <c r="A953" s="3" t="s">
        <v>70</v>
      </c>
      <c r="B953" s="4">
        <v>43055</v>
      </c>
      <c r="C953" s="3">
        <v>10587</v>
      </c>
      <c r="D953" s="3">
        <v>10634</v>
      </c>
      <c r="E953" s="3">
        <v>10579</v>
      </c>
      <c r="F953" s="3">
        <v>10617</v>
      </c>
      <c r="G953" s="3">
        <v>94296</v>
      </c>
      <c r="H953" s="3">
        <v>1.0449999999999999</v>
      </c>
      <c r="I953" s="2">
        <f t="shared" si="213"/>
        <v>0</v>
      </c>
      <c r="J953" s="10">
        <f t="shared" si="215"/>
        <v>-51</v>
      </c>
      <c r="K953" s="10">
        <f t="shared" si="214"/>
        <v>30</v>
      </c>
      <c r="L953" s="10">
        <f t="shared" ca="1" si="203"/>
        <v>0</v>
      </c>
      <c r="M953" s="10">
        <f t="shared" ca="1" si="205"/>
        <v>0</v>
      </c>
      <c r="N953" s="30">
        <f t="shared" ca="1" si="206"/>
        <v>0</v>
      </c>
      <c r="O953" s="10">
        <f t="shared" ca="1" si="207"/>
        <v>0</v>
      </c>
      <c r="P953" s="29">
        <f t="shared" ca="1" si="208"/>
        <v>0</v>
      </c>
      <c r="Q953" s="12">
        <f t="shared" ca="1" si="209"/>
        <v>-336200</v>
      </c>
      <c r="R953" s="10">
        <f t="shared" ca="1" si="210"/>
        <v>0</v>
      </c>
      <c r="S953" s="10">
        <f t="shared" ca="1" si="216"/>
        <v>0.29611178013494122</v>
      </c>
      <c r="T953" s="14">
        <f t="shared" ca="1" si="217"/>
        <v>-0.11900900475702399</v>
      </c>
      <c r="U953" s="12">
        <f t="shared" ca="1" si="211"/>
        <v>7900</v>
      </c>
      <c r="V953" s="14">
        <f t="shared" ca="1" si="212"/>
        <v>-4355.6962025316452</v>
      </c>
      <c r="W953" s="12">
        <f t="shared" ca="1" si="218"/>
        <v>-3653.1645569620255</v>
      </c>
      <c r="X953" s="7">
        <f ca="1">AVERAGE(E953:OFFSET(F953,-$X$5+1,0))</f>
        <v>10652.9</v>
      </c>
      <c r="Y953" s="7">
        <f ca="1">AVERAGE(E953:OFFSET(F953,-$Y$5+1,0))</f>
        <v>10710.6</v>
      </c>
      <c r="Z953" s="7">
        <f t="shared" ca="1" si="204"/>
        <v>0</v>
      </c>
    </row>
    <row r="954" spans="1:26">
      <c r="A954" s="3" t="s">
        <v>70</v>
      </c>
      <c r="B954" s="4">
        <v>43056</v>
      </c>
      <c r="C954" s="3">
        <v>10690</v>
      </c>
      <c r="D954" s="3">
        <v>10710</v>
      </c>
      <c r="E954" s="3">
        <v>10672</v>
      </c>
      <c r="F954" s="3">
        <v>10707</v>
      </c>
      <c r="G954" s="3">
        <v>121593</v>
      </c>
      <c r="H954" s="3">
        <v>1.0449999999999999</v>
      </c>
      <c r="I954" s="2">
        <f t="shared" si="213"/>
        <v>0</v>
      </c>
      <c r="J954" s="10">
        <f t="shared" si="215"/>
        <v>73</v>
      </c>
      <c r="K954" s="10">
        <f t="shared" si="214"/>
        <v>17</v>
      </c>
      <c r="L954" s="10">
        <f t="shared" ca="1" si="203"/>
        <v>0</v>
      </c>
      <c r="M954" s="10">
        <f t="shared" ca="1" si="205"/>
        <v>0</v>
      </c>
      <c r="N954" s="30">
        <f t="shared" ca="1" si="206"/>
        <v>0</v>
      </c>
      <c r="O954" s="10">
        <f t="shared" ca="1" si="207"/>
        <v>0</v>
      </c>
      <c r="P954" s="29">
        <f t="shared" ca="1" si="208"/>
        <v>0</v>
      </c>
      <c r="Q954" s="12">
        <f t="shared" ca="1" si="209"/>
        <v>-336200</v>
      </c>
      <c r="R954" s="10">
        <f t="shared" ca="1" si="210"/>
        <v>0</v>
      </c>
      <c r="S954" s="10">
        <f t="shared" ca="1" si="216"/>
        <v>0.19548326432306704</v>
      </c>
      <c r="T954" s="14">
        <f t="shared" ca="1" si="217"/>
        <v>-0.1350072752600901</v>
      </c>
      <c r="U954" s="12">
        <f t="shared" ca="1" si="211"/>
        <v>7900</v>
      </c>
      <c r="V954" s="14">
        <f t="shared" ca="1" si="212"/>
        <v>-4355.6962025316452</v>
      </c>
      <c r="W954" s="12">
        <f t="shared" ca="1" si="218"/>
        <v>-3653.1645569620255</v>
      </c>
      <c r="X954" s="7">
        <f ca="1">AVERAGE(E954:OFFSET(F954,-$X$5+1,0))</f>
        <v>10651.8</v>
      </c>
      <c r="Y954" s="7">
        <f ca="1">AVERAGE(E954:OFFSET(F954,-$Y$5+1,0))</f>
        <v>10702.8</v>
      </c>
      <c r="Z954" s="7">
        <f t="shared" ca="1" si="204"/>
        <v>0</v>
      </c>
    </row>
    <row r="955" spans="1:26">
      <c r="A955" s="3" t="s">
        <v>70</v>
      </c>
      <c r="B955" s="4">
        <v>43059</v>
      </c>
      <c r="C955" s="3">
        <v>10714</v>
      </c>
      <c r="D955" s="3">
        <v>10719</v>
      </c>
      <c r="E955" s="3">
        <v>10654</v>
      </c>
      <c r="F955" s="3">
        <v>10667</v>
      </c>
      <c r="G955" s="3">
        <v>99690</v>
      </c>
      <c r="H955" s="3">
        <v>1.0449999999999999</v>
      </c>
      <c r="I955" s="2">
        <f t="shared" si="213"/>
        <v>0</v>
      </c>
      <c r="J955" s="10">
        <f t="shared" si="215"/>
        <v>7</v>
      </c>
      <c r="K955" s="10">
        <f t="shared" si="214"/>
        <v>-47</v>
      </c>
      <c r="L955" s="10">
        <f t="shared" ca="1" si="203"/>
        <v>0</v>
      </c>
      <c r="M955" s="10">
        <f t="shared" ca="1" si="205"/>
        <v>0</v>
      </c>
      <c r="N955" s="30">
        <f t="shared" ca="1" si="206"/>
        <v>0</v>
      </c>
      <c r="O955" s="10">
        <f t="shared" ca="1" si="207"/>
        <v>0</v>
      </c>
      <c r="P955" s="29">
        <f t="shared" ca="1" si="208"/>
        <v>0</v>
      </c>
      <c r="Q955" s="12">
        <f t="shared" ca="1" si="209"/>
        <v>-336200</v>
      </c>
      <c r="R955" s="10">
        <f t="shared" ca="1" si="210"/>
        <v>0</v>
      </c>
      <c r="S955" s="10">
        <f t="shared" ca="1" si="216"/>
        <v>0.22847622032696019</v>
      </c>
      <c r="T955" s="14">
        <f t="shared" ca="1" si="217"/>
        <v>-0.12976395408018154</v>
      </c>
      <c r="U955" s="12">
        <f t="shared" ca="1" si="211"/>
        <v>7900</v>
      </c>
      <c r="V955" s="14">
        <f t="shared" ca="1" si="212"/>
        <v>-4355.6962025316452</v>
      </c>
      <c r="W955" s="12">
        <f t="shared" ca="1" si="218"/>
        <v>-3653.1645569620255</v>
      </c>
      <c r="X955" s="7">
        <f ca="1">AVERAGE(E955:OFFSET(F955,-$X$5+1,0))</f>
        <v>10645.8</v>
      </c>
      <c r="Y955" s="7">
        <f ca="1">AVERAGE(E955:OFFSET(F955,-$Y$5+1,0))</f>
        <v>10693.05</v>
      </c>
      <c r="Z955" s="7">
        <f t="shared" ca="1" si="204"/>
        <v>0</v>
      </c>
    </row>
    <row r="956" spans="1:26">
      <c r="A956" s="3" t="s">
        <v>70</v>
      </c>
      <c r="B956" s="4">
        <v>43060</v>
      </c>
      <c r="C956" s="3">
        <v>10695</v>
      </c>
      <c r="D956" s="3">
        <v>10788</v>
      </c>
      <c r="E956" s="3">
        <v>10682</v>
      </c>
      <c r="F956" s="3">
        <v>10788</v>
      </c>
      <c r="G956" s="3">
        <v>132592</v>
      </c>
      <c r="H956" s="3">
        <v>1.0449999999999999</v>
      </c>
      <c r="I956" s="2">
        <f t="shared" si="213"/>
        <v>0</v>
      </c>
      <c r="J956" s="10">
        <f t="shared" si="215"/>
        <v>28</v>
      </c>
      <c r="K956" s="10">
        <f t="shared" si="214"/>
        <v>93</v>
      </c>
      <c r="L956" s="10">
        <f t="shared" ca="1" si="203"/>
        <v>0</v>
      </c>
      <c r="M956" s="10">
        <f t="shared" ca="1" si="205"/>
        <v>0</v>
      </c>
      <c r="N956" s="30">
        <f t="shared" ca="1" si="206"/>
        <v>0</v>
      </c>
      <c r="O956" s="10">
        <f t="shared" ca="1" si="207"/>
        <v>0</v>
      </c>
      <c r="P956" s="29">
        <f t="shared" ca="1" si="208"/>
        <v>0</v>
      </c>
      <c r="Q956" s="12">
        <f t="shared" ca="1" si="209"/>
        <v>-336200</v>
      </c>
      <c r="R956" s="10">
        <f t="shared" ca="1" si="210"/>
        <v>0</v>
      </c>
      <c r="S956" s="10">
        <f t="shared" ca="1" si="216"/>
        <v>0.19053432092248304</v>
      </c>
      <c r="T956" s="14">
        <f t="shared" ca="1" si="217"/>
        <v>-0.13579377343707641</v>
      </c>
      <c r="U956" s="12">
        <f t="shared" ca="1" si="211"/>
        <v>7900</v>
      </c>
      <c r="V956" s="14">
        <f t="shared" ca="1" si="212"/>
        <v>-4355.6962025316452</v>
      </c>
      <c r="W956" s="12">
        <f t="shared" ca="1" si="218"/>
        <v>-3653.1645569620255</v>
      </c>
      <c r="X956" s="7">
        <f ca="1">AVERAGE(E956:OFFSET(F956,-$X$5+1,0))</f>
        <v>10660.6</v>
      </c>
      <c r="Y956" s="7">
        <f ca="1">AVERAGE(E956:OFFSET(F956,-$Y$5+1,0))</f>
        <v>10686.4</v>
      </c>
      <c r="Z956" s="7">
        <f t="shared" ca="1" si="204"/>
        <v>0</v>
      </c>
    </row>
    <row r="957" spans="1:26">
      <c r="A957" s="3" t="s">
        <v>70</v>
      </c>
      <c r="B957" s="4">
        <v>43061</v>
      </c>
      <c r="C957" s="3">
        <v>10825</v>
      </c>
      <c r="D957" s="3">
        <v>10877</v>
      </c>
      <c r="E957" s="3">
        <v>10807</v>
      </c>
      <c r="F957" s="3">
        <v>10827</v>
      </c>
      <c r="G957" s="3">
        <v>146144</v>
      </c>
      <c r="H957" s="3">
        <v>1.0449999999999999</v>
      </c>
      <c r="I957" s="2">
        <f t="shared" si="213"/>
        <v>0</v>
      </c>
      <c r="J957" s="10">
        <f t="shared" si="215"/>
        <v>37</v>
      </c>
      <c r="K957" s="10">
        <f t="shared" si="214"/>
        <v>2</v>
      </c>
      <c r="L957" s="10">
        <f t="shared" ref="L957:L1020" ca="1" si="219">Z957</f>
        <v>1</v>
      </c>
      <c r="M957" s="10">
        <f t="shared" ca="1" si="205"/>
        <v>0</v>
      </c>
      <c r="N957" s="30">
        <f t="shared" ca="1" si="206"/>
        <v>0</v>
      </c>
      <c r="O957" s="10">
        <f t="shared" ca="1" si="207"/>
        <v>0</v>
      </c>
      <c r="P957" s="29">
        <f t="shared" ca="1" si="208"/>
        <v>0</v>
      </c>
      <c r="Q957" s="12">
        <f t="shared" ca="1" si="209"/>
        <v>-336200</v>
      </c>
      <c r="R957" s="10">
        <f t="shared" ca="1" si="210"/>
        <v>0</v>
      </c>
      <c r="S957" s="10">
        <f t="shared" ca="1" si="216"/>
        <v>0.13279664791567</v>
      </c>
      <c r="T957" s="14">
        <f t="shared" ca="1" si="217"/>
        <v>-0.14496958550191641</v>
      </c>
      <c r="U957" s="12">
        <f t="shared" ca="1" si="211"/>
        <v>7900</v>
      </c>
      <c r="V957" s="14">
        <f t="shared" ca="1" si="212"/>
        <v>-4355.6962025316452</v>
      </c>
      <c r="W957" s="12">
        <f t="shared" ca="1" si="218"/>
        <v>-3653.1645569620255</v>
      </c>
      <c r="X957" s="7">
        <f ca="1">AVERAGE(E957:OFFSET(F957,-$X$5+1,0))</f>
        <v>10700</v>
      </c>
      <c r="Y957" s="7">
        <f ca="1">AVERAGE(E957:OFFSET(F957,-$Y$5+1,0))</f>
        <v>10688.1</v>
      </c>
      <c r="Z957" s="7">
        <f t="shared" ref="Z957:Z1020" ca="1" si="220">IF(AND(X956&lt;=Y956,X957&gt;Y957),1,IF(AND(X956&gt;Y956,X957&lt;=Y957),-1,0))</f>
        <v>1</v>
      </c>
    </row>
    <row r="958" spans="1:26">
      <c r="A958" s="3" t="s">
        <v>70</v>
      </c>
      <c r="B958" s="4">
        <v>43062</v>
      </c>
      <c r="C958" s="3">
        <v>10826</v>
      </c>
      <c r="D958" s="3">
        <v>10857</v>
      </c>
      <c r="E958" s="3">
        <v>10810</v>
      </c>
      <c r="F958" s="3">
        <v>10856</v>
      </c>
      <c r="G958" s="3">
        <v>79595</v>
      </c>
      <c r="H958" s="3">
        <v>1.0449999999999999</v>
      </c>
      <c r="I958" s="2">
        <f t="shared" si="213"/>
        <v>0</v>
      </c>
      <c r="J958" s="10">
        <f t="shared" si="215"/>
        <v>-1</v>
      </c>
      <c r="K958" s="10">
        <f t="shared" si="214"/>
        <v>30</v>
      </c>
      <c r="L958" s="10">
        <f t="shared" ca="1" si="219"/>
        <v>0</v>
      </c>
      <c r="M958" s="10">
        <f t="shared" ref="M958:M1021" ca="1" si="221">IF(I958=1,0,IF(M957+L957&gt;=$M$5,$M$5,IF(M957+L957&lt;=$M$7,$M$7,M957+L957)))</f>
        <v>1</v>
      </c>
      <c r="N958" s="30">
        <f t="shared" ref="N958:N1021" ca="1" si="222">IF(M958=0,0,IF(M958&gt;M957,(C958+N957*M957)*$S$5,0))</f>
        <v>2165200</v>
      </c>
      <c r="O958" s="10">
        <f t="shared" ref="O958:O1021" ca="1" si="223">IF(M958=0,0,IF(M958=M957,O957,((M958-M957)*C958+N957*M957)*$S$5/M958))</f>
        <v>2165200</v>
      </c>
      <c r="P958" s="29">
        <f t="shared" ref="P958:P1021" ca="1" si="224">IF(M957=M958,(M957*J958+M958*K958)*$S$5,(M957*J958+M958*K958)*$S$5-$S$6)</f>
        <v>5500</v>
      </c>
      <c r="Q958" s="12">
        <f t="shared" ref="Q958:Q1021" ca="1" si="225">P958+Q957</f>
        <v>-330700</v>
      </c>
      <c r="R958" s="10">
        <f t="shared" ref="R958:R1021" ca="1" si="226">IF(P958=0,0,IF(O958=0,100*P958/O957,100*P958/O958))</f>
        <v>0.25401810456308888</v>
      </c>
      <c r="S958" s="10">
        <f t="shared" ca="1" si="216"/>
        <v>0.28553432710476589</v>
      </c>
      <c r="T958" s="14">
        <f t="shared" ca="1" si="217"/>
        <v>-0.12061056186244565</v>
      </c>
      <c r="U958" s="12">
        <f t="shared" ref="U958:U1021" ca="1" si="227">IF(Q958&gt;U957,Q958,U957)</f>
        <v>7900</v>
      </c>
      <c r="V958" s="14">
        <f t="shared" ref="V958:V1021" ca="1" si="228">IF(U958=0,0,100*(Q958-U958)/U958)</f>
        <v>-4286.0759493670885</v>
      </c>
      <c r="W958" s="12">
        <f t="shared" ca="1" si="218"/>
        <v>-3653.1645569620255</v>
      </c>
      <c r="X958" s="7">
        <f ca="1">AVERAGE(E958:OFFSET(F958,-$X$5+1,0))</f>
        <v>10747</v>
      </c>
      <c r="Y958" s="7">
        <f ca="1">AVERAGE(E958:OFFSET(F958,-$Y$5+1,0))</f>
        <v>10699.95</v>
      </c>
      <c r="Z958" s="7">
        <f t="shared" ca="1" si="220"/>
        <v>0</v>
      </c>
    </row>
    <row r="959" spans="1:26">
      <c r="A959" s="3" t="s">
        <v>70</v>
      </c>
      <c r="B959" s="4">
        <v>43063</v>
      </c>
      <c r="C959" s="3">
        <v>10841</v>
      </c>
      <c r="D959" s="3">
        <v>10856</v>
      </c>
      <c r="E959" s="3">
        <v>10829</v>
      </c>
      <c r="F959" s="3">
        <v>10856</v>
      </c>
      <c r="G959" s="3">
        <v>62301</v>
      </c>
      <c r="H959" s="3">
        <v>1.0449999999999999</v>
      </c>
      <c r="I959" s="2">
        <f t="shared" si="213"/>
        <v>0</v>
      </c>
      <c r="J959" s="10">
        <f t="shared" si="215"/>
        <v>-15</v>
      </c>
      <c r="K959" s="10">
        <f t="shared" si="214"/>
        <v>15</v>
      </c>
      <c r="L959" s="10">
        <f t="shared" ca="1" si="219"/>
        <v>0</v>
      </c>
      <c r="M959" s="10">
        <f t="shared" ca="1" si="221"/>
        <v>1</v>
      </c>
      <c r="N959" s="30">
        <f t="shared" ca="1" si="222"/>
        <v>0</v>
      </c>
      <c r="O959" s="10">
        <f t="shared" ca="1" si="223"/>
        <v>2165200</v>
      </c>
      <c r="P959" s="29">
        <f t="shared" ca="1" si="224"/>
        <v>0</v>
      </c>
      <c r="Q959" s="12">
        <f t="shared" ca="1" si="225"/>
        <v>-330700</v>
      </c>
      <c r="R959" s="10">
        <f t="shared" ca="1" si="226"/>
        <v>0</v>
      </c>
      <c r="S959" s="10">
        <f t="shared" ca="1" si="216"/>
        <v>0.29673175169710969</v>
      </c>
      <c r="T959" s="14">
        <f t="shared" ca="1" si="217"/>
        <v>-0.11885533253243502</v>
      </c>
      <c r="U959" s="12">
        <f t="shared" ca="1" si="227"/>
        <v>7900</v>
      </c>
      <c r="V959" s="14">
        <f t="shared" ca="1" si="228"/>
        <v>-4286.0759493670885</v>
      </c>
      <c r="W959" s="12">
        <f t="shared" ca="1" si="218"/>
        <v>-3653.1645569620255</v>
      </c>
      <c r="X959" s="7">
        <f ca="1">AVERAGE(E959:OFFSET(F959,-$X$5+1,0))</f>
        <v>10777.6</v>
      </c>
      <c r="Y959" s="7">
        <f ca="1">AVERAGE(E959:OFFSET(F959,-$Y$5+1,0))</f>
        <v>10714.7</v>
      </c>
      <c r="Z959" s="7">
        <f t="shared" ca="1" si="220"/>
        <v>0</v>
      </c>
    </row>
    <row r="960" spans="1:26">
      <c r="A960" s="3" t="s">
        <v>70</v>
      </c>
      <c r="B960" s="4">
        <v>43066</v>
      </c>
      <c r="C960" s="3">
        <v>10841</v>
      </c>
      <c r="D960" s="3">
        <v>10848</v>
      </c>
      <c r="E960" s="3">
        <v>10737</v>
      </c>
      <c r="F960" s="3">
        <v>10750</v>
      </c>
      <c r="G960" s="3">
        <v>133131</v>
      </c>
      <c r="H960" s="3">
        <v>1.0449999999999999</v>
      </c>
      <c r="I960" s="2">
        <f t="shared" si="213"/>
        <v>0</v>
      </c>
      <c r="J960" s="10">
        <f t="shared" si="215"/>
        <v>-15</v>
      </c>
      <c r="K960" s="10">
        <f t="shared" si="214"/>
        <v>-91</v>
      </c>
      <c r="L960" s="10">
        <f t="shared" ca="1" si="219"/>
        <v>0</v>
      </c>
      <c r="M960" s="10">
        <f t="shared" ca="1" si="221"/>
        <v>1</v>
      </c>
      <c r="N960" s="30">
        <f t="shared" ca="1" si="222"/>
        <v>0</v>
      </c>
      <c r="O960" s="10">
        <f t="shared" ca="1" si="223"/>
        <v>2165200</v>
      </c>
      <c r="P960" s="29">
        <f t="shared" ca="1" si="224"/>
        <v>-21200</v>
      </c>
      <c r="Q960" s="12">
        <f t="shared" ca="1" si="225"/>
        <v>-351900</v>
      </c>
      <c r="R960" s="10">
        <f t="shared" ca="1" si="226"/>
        <v>-0.97912433031590618</v>
      </c>
      <c r="S960" s="10">
        <f t="shared" ca="1" si="216"/>
        <v>1.39967807404297E-3</v>
      </c>
      <c r="T960" s="14">
        <f t="shared" ca="1" si="217"/>
        <v>-0.16489767186578119</v>
      </c>
      <c r="U960" s="12">
        <f t="shared" ca="1" si="227"/>
        <v>7900</v>
      </c>
      <c r="V960" s="14">
        <f t="shared" ca="1" si="228"/>
        <v>-4554.4303797468356</v>
      </c>
      <c r="W960" s="12">
        <f t="shared" ca="1" si="218"/>
        <v>-3653.1645569620255</v>
      </c>
      <c r="X960" s="7">
        <f ca="1">AVERAGE(E960:OFFSET(F960,-$X$5+1,0))</f>
        <v>10794.2</v>
      </c>
      <c r="Y960" s="7">
        <f ca="1">AVERAGE(E960:OFFSET(F960,-$Y$5+1,0))</f>
        <v>10720</v>
      </c>
      <c r="Z960" s="7">
        <f t="shared" ca="1" si="220"/>
        <v>0</v>
      </c>
    </row>
    <row r="961" spans="1:26">
      <c r="A961" s="3" t="s">
        <v>70</v>
      </c>
      <c r="B961" s="4">
        <v>43067</v>
      </c>
      <c r="C961" s="3">
        <v>10735</v>
      </c>
      <c r="D961" s="3">
        <v>10753</v>
      </c>
      <c r="E961" s="3">
        <v>10695</v>
      </c>
      <c r="F961" s="3">
        <v>10708</v>
      </c>
      <c r="G961" s="3">
        <v>126732</v>
      </c>
      <c r="H961" s="3">
        <v>1.0449999999999999</v>
      </c>
      <c r="I961" s="2">
        <f t="shared" si="213"/>
        <v>0</v>
      </c>
      <c r="J961" s="10">
        <f t="shared" si="215"/>
        <v>-15</v>
      </c>
      <c r="K961" s="10">
        <f t="shared" si="214"/>
        <v>-27</v>
      </c>
      <c r="L961" s="10">
        <f t="shared" ca="1" si="219"/>
        <v>0</v>
      </c>
      <c r="M961" s="10">
        <f t="shared" ca="1" si="221"/>
        <v>1</v>
      </c>
      <c r="N961" s="30">
        <f t="shared" ca="1" si="222"/>
        <v>0</v>
      </c>
      <c r="O961" s="10">
        <f t="shared" ca="1" si="223"/>
        <v>2165200</v>
      </c>
      <c r="P961" s="29">
        <f t="shared" ca="1" si="224"/>
        <v>-8400</v>
      </c>
      <c r="Q961" s="12">
        <f t="shared" ca="1" si="225"/>
        <v>-360300</v>
      </c>
      <c r="R961" s="10">
        <f t="shared" ca="1" si="226"/>
        <v>-0.38795492333271753</v>
      </c>
      <c r="S961" s="10">
        <f t="shared" ca="1" si="216"/>
        <v>-5.8786479109804744E-2</v>
      </c>
      <c r="T961" s="14">
        <f t="shared" ca="1" si="217"/>
        <v>-0.17443970832477645</v>
      </c>
      <c r="U961" s="12">
        <f t="shared" ca="1" si="227"/>
        <v>7900</v>
      </c>
      <c r="V961" s="14">
        <f t="shared" ca="1" si="228"/>
        <v>-4660.7594936708865</v>
      </c>
      <c r="W961" s="12">
        <f t="shared" ca="1" si="218"/>
        <v>-3653.1645569620255</v>
      </c>
      <c r="X961" s="7">
        <f ca="1">AVERAGE(E961:OFFSET(F961,-$X$5+1,0))</f>
        <v>10787.5</v>
      </c>
      <c r="Y961" s="7">
        <f ca="1">AVERAGE(E961:OFFSET(F961,-$Y$5+1,0))</f>
        <v>10724.05</v>
      </c>
      <c r="Z961" s="7">
        <f t="shared" ca="1" si="220"/>
        <v>0</v>
      </c>
    </row>
    <row r="962" spans="1:26">
      <c r="A962" s="3" t="s">
        <v>70</v>
      </c>
      <c r="B962" s="4">
        <v>43068</v>
      </c>
      <c r="C962" s="3">
        <v>10747</v>
      </c>
      <c r="D962" s="3">
        <v>10763</v>
      </c>
      <c r="E962" s="3">
        <v>10708</v>
      </c>
      <c r="F962" s="3">
        <v>10729</v>
      </c>
      <c r="G962" s="3">
        <v>109461</v>
      </c>
      <c r="H962" s="3">
        <v>1.0449999999999999</v>
      </c>
      <c r="I962" s="2">
        <f t="shared" si="213"/>
        <v>0</v>
      </c>
      <c r="J962" s="10">
        <f t="shared" si="215"/>
        <v>39</v>
      </c>
      <c r="K962" s="10">
        <f t="shared" si="214"/>
        <v>-18</v>
      </c>
      <c r="L962" s="10">
        <f t="shared" ca="1" si="219"/>
        <v>0</v>
      </c>
      <c r="M962" s="10">
        <f t="shared" ca="1" si="221"/>
        <v>1</v>
      </c>
      <c r="N962" s="30">
        <f t="shared" ca="1" si="222"/>
        <v>0</v>
      </c>
      <c r="O962" s="10">
        <f t="shared" ca="1" si="223"/>
        <v>2165200</v>
      </c>
      <c r="P962" s="29">
        <f t="shared" ca="1" si="224"/>
        <v>4200</v>
      </c>
      <c r="Q962" s="12">
        <f t="shared" ca="1" si="225"/>
        <v>-356100</v>
      </c>
      <c r="R962" s="10">
        <f t="shared" ca="1" si="226"/>
        <v>0.19397746166635876</v>
      </c>
      <c r="S962" s="10">
        <f t="shared" ca="1" si="216"/>
        <v>-0.17495975925537127</v>
      </c>
      <c r="T962" s="14">
        <f t="shared" ca="1" si="217"/>
        <v>-0.19331209013760337</v>
      </c>
      <c r="U962" s="12">
        <f t="shared" ca="1" si="227"/>
        <v>7900</v>
      </c>
      <c r="V962" s="14">
        <f t="shared" ca="1" si="228"/>
        <v>-4607.5949367088606</v>
      </c>
      <c r="W962" s="12">
        <f t="shared" ca="1" si="218"/>
        <v>-3653.1645569620255</v>
      </c>
      <c r="X962" s="7">
        <f ca="1">AVERAGE(E962:OFFSET(F962,-$X$5+1,0))</f>
        <v>10767.8</v>
      </c>
      <c r="Y962" s="7">
        <f ca="1">AVERAGE(E962:OFFSET(F962,-$Y$5+1,0))</f>
        <v>10733.9</v>
      </c>
      <c r="Z962" s="7">
        <f t="shared" ca="1" si="220"/>
        <v>0</v>
      </c>
    </row>
    <row r="963" spans="1:26">
      <c r="A963" s="3" t="s">
        <v>70</v>
      </c>
      <c r="B963" s="4">
        <v>43069</v>
      </c>
      <c r="C963" s="3">
        <v>10650</v>
      </c>
      <c r="D963" s="3">
        <v>10658</v>
      </c>
      <c r="E963" s="3">
        <v>10569</v>
      </c>
      <c r="F963" s="3">
        <v>10574</v>
      </c>
      <c r="G963" s="3">
        <v>165880</v>
      </c>
      <c r="H963" s="3">
        <v>1.0449999999999999</v>
      </c>
      <c r="I963" s="2">
        <f t="shared" si="213"/>
        <v>0</v>
      </c>
      <c r="J963" s="10">
        <f t="shared" si="215"/>
        <v>-79</v>
      </c>
      <c r="K963" s="10">
        <f t="shared" si="214"/>
        <v>-76</v>
      </c>
      <c r="L963" s="10">
        <f t="shared" ca="1" si="219"/>
        <v>-1</v>
      </c>
      <c r="M963" s="10">
        <f t="shared" ca="1" si="221"/>
        <v>1</v>
      </c>
      <c r="N963" s="30">
        <f t="shared" ca="1" si="222"/>
        <v>0</v>
      </c>
      <c r="O963" s="10">
        <f t="shared" ca="1" si="223"/>
        <v>2165200</v>
      </c>
      <c r="P963" s="29">
        <f t="shared" ca="1" si="224"/>
        <v>-31000</v>
      </c>
      <c r="Q963" s="12">
        <f t="shared" ca="1" si="225"/>
        <v>-387100</v>
      </c>
      <c r="R963" s="10">
        <f t="shared" ca="1" si="226"/>
        <v>-1.43173840753741</v>
      </c>
      <c r="S963" s="10">
        <f t="shared" ca="1" si="216"/>
        <v>-0.42410245643501993</v>
      </c>
      <c r="T963" s="14">
        <f t="shared" ca="1" si="217"/>
        <v>-0.22765668191361857</v>
      </c>
      <c r="U963" s="12">
        <f t="shared" ca="1" si="227"/>
        <v>7900</v>
      </c>
      <c r="V963" s="14">
        <f t="shared" ca="1" si="228"/>
        <v>-5000</v>
      </c>
      <c r="W963" s="12">
        <f t="shared" ca="1" si="218"/>
        <v>-3653.1645569620255</v>
      </c>
      <c r="X963" s="7">
        <f ca="1">AVERAGE(E963:OFFSET(F963,-$X$5+1,0))</f>
        <v>10715.5</v>
      </c>
      <c r="Y963" s="7">
        <f ca="1">AVERAGE(E963:OFFSET(F963,-$Y$5+1,0))</f>
        <v>10731.25</v>
      </c>
      <c r="Z963" s="7">
        <f t="shared" ca="1" si="220"/>
        <v>-1</v>
      </c>
    </row>
    <row r="964" spans="1:26">
      <c r="A964" s="3" t="s">
        <v>70</v>
      </c>
      <c r="B964" s="4">
        <v>43070</v>
      </c>
      <c r="C964" s="3">
        <v>10607</v>
      </c>
      <c r="D964" s="3">
        <v>10664</v>
      </c>
      <c r="E964" s="3">
        <v>10495</v>
      </c>
      <c r="F964" s="3">
        <v>10604</v>
      </c>
      <c r="G964" s="3">
        <v>199655</v>
      </c>
      <c r="H964" s="3">
        <v>1.0449999999999999</v>
      </c>
      <c r="I964" s="2">
        <f t="shared" ref="I964:I1027" si="229">IF(A964=A965,0,1)</f>
        <v>0</v>
      </c>
      <c r="J964" s="10">
        <f t="shared" si="215"/>
        <v>33</v>
      </c>
      <c r="K964" s="10">
        <f t="shared" ref="K964:K1027" si="230">F964-C964</f>
        <v>-3</v>
      </c>
      <c r="L964" s="10">
        <f t="shared" ca="1" si="219"/>
        <v>0</v>
      </c>
      <c r="M964" s="10">
        <f t="shared" ca="1" si="221"/>
        <v>0</v>
      </c>
      <c r="N964" s="30">
        <f t="shared" ca="1" si="222"/>
        <v>0</v>
      </c>
      <c r="O964" s="10">
        <f t="shared" ca="1" si="223"/>
        <v>0</v>
      </c>
      <c r="P964" s="29">
        <f t="shared" ca="1" si="224"/>
        <v>6100</v>
      </c>
      <c r="Q964" s="12">
        <f t="shared" ca="1" si="225"/>
        <v>-381000</v>
      </c>
      <c r="R964" s="10">
        <f t="shared" ca="1" si="226"/>
        <v>0.28172917051542584</v>
      </c>
      <c r="S964" s="10">
        <f t="shared" ca="1" si="216"/>
        <v>-0.3324235425852054</v>
      </c>
      <c r="T964" s="14">
        <f t="shared" ca="1" si="217"/>
        <v>-0.21326520299914034</v>
      </c>
      <c r="U964" s="12">
        <f t="shared" ca="1" si="227"/>
        <v>7900</v>
      </c>
      <c r="V964" s="14">
        <f t="shared" ca="1" si="228"/>
        <v>-4922.7848101265827</v>
      </c>
      <c r="W964" s="12">
        <f t="shared" ca="1" si="218"/>
        <v>-3653.1645569620255</v>
      </c>
      <c r="X964" s="7">
        <f ca="1">AVERAGE(E964:OFFSET(F964,-$X$5+1,0))</f>
        <v>10656.9</v>
      </c>
      <c r="Y964" s="7">
        <f ca="1">AVERAGE(E964:OFFSET(F964,-$Y$5+1,0))</f>
        <v>10717.25</v>
      </c>
      <c r="Z964" s="7">
        <f t="shared" ca="1" si="220"/>
        <v>0</v>
      </c>
    </row>
    <row r="965" spans="1:26">
      <c r="A965" s="3" t="s">
        <v>70</v>
      </c>
      <c r="B965" s="4">
        <v>43073</v>
      </c>
      <c r="C965" s="3">
        <v>10604</v>
      </c>
      <c r="D965" s="3">
        <v>10651</v>
      </c>
      <c r="E965" s="3">
        <v>10564</v>
      </c>
      <c r="F965" s="3">
        <v>10649</v>
      </c>
      <c r="G965" s="3">
        <v>140764</v>
      </c>
      <c r="H965" s="3">
        <v>1.0449999999999999</v>
      </c>
      <c r="I965" s="2">
        <f t="shared" si="229"/>
        <v>0</v>
      </c>
      <c r="J965" s="10">
        <f t="shared" ref="J965:J1028" si="231">C965-F964</f>
        <v>0</v>
      </c>
      <c r="K965" s="10">
        <f t="shared" si="230"/>
        <v>45</v>
      </c>
      <c r="L965" s="10">
        <f t="shared" ca="1" si="219"/>
        <v>0</v>
      </c>
      <c r="M965" s="10">
        <f t="shared" ca="1" si="221"/>
        <v>0</v>
      </c>
      <c r="N965" s="30">
        <f t="shared" ca="1" si="222"/>
        <v>0</v>
      </c>
      <c r="O965" s="10">
        <f t="shared" ca="1" si="223"/>
        <v>0</v>
      </c>
      <c r="P965" s="29">
        <f t="shared" ca="1" si="224"/>
        <v>0</v>
      </c>
      <c r="Q965" s="12">
        <f t="shared" ca="1" si="225"/>
        <v>-381000</v>
      </c>
      <c r="R965" s="10">
        <f t="shared" ca="1" si="226"/>
        <v>0</v>
      </c>
      <c r="S965" s="10">
        <f t="shared" ca="1" si="216"/>
        <v>-0.36461613828819373</v>
      </c>
      <c r="T965" s="14">
        <f t="shared" ca="1" si="217"/>
        <v>-0.21825130154788569</v>
      </c>
      <c r="U965" s="12">
        <f t="shared" ca="1" si="227"/>
        <v>7900</v>
      </c>
      <c r="V965" s="14">
        <f t="shared" ca="1" si="228"/>
        <v>-4922.7848101265827</v>
      </c>
      <c r="W965" s="12">
        <f t="shared" ca="1" si="218"/>
        <v>-3653.1645569620255</v>
      </c>
      <c r="X965" s="7">
        <f ca="1">AVERAGE(E965:OFFSET(F965,-$X$5+1,0))</f>
        <v>10629.5</v>
      </c>
      <c r="Y965" s="7">
        <f ca="1">AVERAGE(E965:OFFSET(F965,-$Y$5+1,0))</f>
        <v>10711.85</v>
      </c>
      <c r="Z965" s="7">
        <f t="shared" ca="1" si="220"/>
        <v>0</v>
      </c>
    </row>
    <row r="966" spans="1:26">
      <c r="A966" s="3" t="s">
        <v>70</v>
      </c>
      <c r="B966" s="4">
        <v>43074</v>
      </c>
      <c r="C966" s="3">
        <v>10595</v>
      </c>
      <c r="D966" s="3">
        <v>10627</v>
      </c>
      <c r="E966" s="3">
        <v>10546</v>
      </c>
      <c r="F966" s="3">
        <v>10573</v>
      </c>
      <c r="G966" s="3">
        <v>158257</v>
      </c>
      <c r="H966" s="3">
        <v>1.0449999999999999</v>
      </c>
      <c r="I966" s="2">
        <f t="shared" si="229"/>
        <v>0</v>
      </c>
      <c r="J966" s="10">
        <f t="shared" si="231"/>
        <v>-54</v>
      </c>
      <c r="K966" s="10">
        <f t="shared" si="230"/>
        <v>-22</v>
      </c>
      <c r="L966" s="10">
        <f t="shared" ca="1" si="219"/>
        <v>0</v>
      </c>
      <c r="M966" s="10">
        <f t="shared" ca="1" si="221"/>
        <v>0</v>
      </c>
      <c r="N966" s="30">
        <f t="shared" ca="1" si="222"/>
        <v>0</v>
      </c>
      <c r="O966" s="10">
        <f t="shared" ca="1" si="223"/>
        <v>0</v>
      </c>
      <c r="P966" s="29">
        <f t="shared" ca="1" si="224"/>
        <v>0</v>
      </c>
      <c r="Q966" s="12">
        <f t="shared" ca="1" si="225"/>
        <v>-381000</v>
      </c>
      <c r="R966" s="10">
        <f t="shared" ca="1" si="226"/>
        <v>0</v>
      </c>
      <c r="S966" s="10">
        <f t="shared" ca="1" si="216"/>
        <v>-0.35341871369584993</v>
      </c>
      <c r="T966" s="14">
        <f t="shared" ca="1" si="217"/>
        <v>-0.21839912854512303</v>
      </c>
      <c r="U966" s="12">
        <f t="shared" ca="1" si="227"/>
        <v>7900</v>
      </c>
      <c r="V966" s="14">
        <f t="shared" ca="1" si="228"/>
        <v>-4922.7848101265827</v>
      </c>
      <c r="W966" s="12">
        <f t="shared" ca="1" si="218"/>
        <v>-3653.1645569620255</v>
      </c>
      <c r="X966" s="7">
        <f ca="1">AVERAGE(E966:OFFSET(F966,-$X$5+1,0))</f>
        <v>10601.1</v>
      </c>
      <c r="Y966" s="7">
        <f ca="1">AVERAGE(E966:OFFSET(F966,-$Y$5+1,0))</f>
        <v>10694.3</v>
      </c>
      <c r="Z966" s="7">
        <f t="shared" ca="1" si="220"/>
        <v>0</v>
      </c>
    </row>
    <row r="967" spans="1:26">
      <c r="A967" s="3" t="s">
        <v>70</v>
      </c>
      <c r="B967" s="4">
        <v>43075</v>
      </c>
      <c r="C967" s="3">
        <v>10540</v>
      </c>
      <c r="D967" s="3">
        <v>10557</v>
      </c>
      <c r="E967" s="3">
        <v>10375</v>
      </c>
      <c r="F967" s="3">
        <v>10386</v>
      </c>
      <c r="G967" s="3">
        <v>202074</v>
      </c>
      <c r="H967" s="3">
        <v>1.0449999999999999</v>
      </c>
      <c r="I967" s="2">
        <f t="shared" si="229"/>
        <v>0</v>
      </c>
      <c r="J967" s="10">
        <f t="shared" si="231"/>
        <v>-33</v>
      </c>
      <c r="K967" s="10">
        <f t="shared" si="230"/>
        <v>-154</v>
      </c>
      <c r="L967" s="10">
        <f t="shared" ca="1" si="219"/>
        <v>0</v>
      </c>
      <c r="M967" s="10">
        <f t="shared" ca="1" si="221"/>
        <v>0</v>
      </c>
      <c r="N967" s="30">
        <f t="shared" ca="1" si="222"/>
        <v>0</v>
      </c>
      <c r="O967" s="10">
        <f t="shared" ca="1" si="223"/>
        <v>0</v>
      </c>
      <c r="P967" s="29">
        <f t="shared" ca="1" si="224"/>
        <v>0</v>
      </c>
      <c r="Q967" s="12">
        <f t="shared" ca="1" si="225"/>
        <v>-381000</v>
      </c>
      <c r="R967" s="10">
        <f t="shared" ca="1" si="226"/>
        <v>0</v>
      </c>
      <c r="S967" s="10">
        <f t="shared" ca="1" si="216"/>
        <v>-0.35061935754776402</v>
      </c>
      <c r="T967" s="14">
        <f t="shared" ca="1" si="217"/>
        <v>-0.21796193692487248</v>
      </c>
      <c r="U967" s="12">
        <f t="shared" ca="1" si="227"/>
        <v>7900</v>
      </c>
      <c r="V967" s="14">
        <f t="shared" ca="1" si="228"/>
        <v>-4922.7848101265827</v>
      </c>
      <c r="W967" s="12">
        <f t="shared" ca="1" si="218"/>
        <v>-3653.1645569620255</v>
      </c>
      <c r="X967" s="7">
        <f ca="1">AVERAGE(E967:OFFSET(F967,-$X$5+1,0))</f>
        <v>10533.5</v>
      </c>
      <c r="Y967" s="7">
        <f ca="1">AVERAGE(E967:OFFSET(F967,-$Y$5+1,0))</f>
        <v>10650.65</v>
      </c>
      <c r="Z967" s="7">
        <f t="shared" ca="1" si="220"/>
        <v>0</v>
      </c>
    </row>
    <row r="968" spans="1:26">
      <c r="A968" s="3" t="s">
        <v>70</v>
      </c>
      <c r="B968" s="4">
        <v>43076</v>
      </c>
      <c r="C968" s="3">
        <v>10388</v>
      </c>
      <c r="D968" s="3">
        <v>10427</v>
      </c>
      <c r="E968" s="3">
        <v>10331</v>
      </c>
      <c r="F968" s="3">
        <v>10360</v>
      </c>
      <c r="G968" s="3">
        <v>167939</v>
      </c>
      <c r="H968" s="3">
        <v>1.0449999999999999</v>
      </c>
      <c r="I968" s="2">
        <f t="shared" si="229"/>
        <v>0</v>
      </c>
      <c r="J968" s="10">
        <f t="shared" si="231"/>
        <v>2</v>
      </c>
      <c r="K968" s="10">
        <f t="shared" si="230"/>
        <v>-28</v>
      </c>
      <c r="L968" s="10">
        <f t="shared" ca="1" si="219"/>
        <v>0</v>
      </c>
      <c r="M968" s="10">
        <f t="shared" ca="1" si="221"/>
        <v>0</v>
      </c>
      <c r="N968" s="30">
        <f t="shared" ca="1" si="222"/>
        <v>0</v>
      </c>
      <c r="O968" s="10">
        <f t="shared" ca="1" si="223"/>
        <v>0</v>
      </c>
      <c r="P968" s="29">
        <f t="shared" ca="1" si="224"/>
        <v>0</v>
      </c>
      <c r="Q968" s="12">
        <f t="shared" ca="1" si="225"/>
        <v>-381000</v>
      </c>
      <c r="R968" s="10">
        <f t="shared" ca="1" si="226"/>
        <v>0</v>
      </c>
      <c r="S968" s="10">
        <f t="shared" ca="1" si="216"/>
        <v>-0.27223738540135767</v>
      </c>
      <c r="T968" s="14">
        <f t="shared" ca="1" si="217"/>
        <v>-0.20572057155785659</v>
      </c>
      <c r="U968" s="12">
        <f t="shared" ca="1" si="227"/>
        <v>7900</v>
      </c>
      <c r="V968" s="14">
        <f t="shared" ca="1" si="228"/>
        <v>-4922.7848101265827</v>
      </c>
      <c r="W968" s="12">
        <f t="shared" ca="1" si="218"/>
        <v>-3653.1645569620255</v>
      </c>
      <c r="X968" s="7">
        <f ca="1">AVERAGE(E968:OFFSET(F968,-$X$5+1,0))</f>
        <v>10488.3</v>
      </c>
      <c r="Y968" s="7">
        <f ca="1">AVERAGE(E968:OFFSET(F968,-$Y$5+1,0))</f>
        <v>10601.9</v>
      </c>
      <c r="Z968" s="7">
        <f t="shared" ca="1" si="220"/>
        <v>0</v>
      </c>
    </row>
    <row r="969" spans="1:26">
      <c r="A969" s="3" t="s">
        <v>70</v>
      </c>
      <c r="B969" s="4">
        <v>43077</v>
      </c>
      <c r="C969" s="3">
        <v>10388</v>
      </c>
      <c r="D969" s="3">
        <v>10413</v>
      </c>
      <c r="E969" s="3">
        <v>10336</v>
      </c>
      <c r="F969" s="3">
        <v>10397</v>
      </c>
      <c r="G969" s="3">
        <v>143627</v>
      </c>
      <c r="H969" s="3">
        <v>1.0449999999999999</v>
      </c>
      <c r="I969" s="2">
        <f t="shared" si="229"/>
        <v>0</v>
      </c>
      <c r="J969" s="10">
        <f t="shared" si="231"/>
        <v>28</v>
      </c>
      <c r="K969" s="10">
        <f t="shared" si="230"/>
        <v>9</v>
      </c>
      <c r="L969" s="10">
        <f t="shared" ca="1" si="219"/>
        <v>0</v>
      </c>
      <c r="M969" s="10">
        <f t="shared" ca="1" si="221"/>
        <v>0</v>
      </c>
      <c r="N969" s="30">
        <f t="shared" ca="1" si="222"/>
        <v>0</v>
      </c>
      <c r="O969" s="10">
        <f t="shared" ca="1" si="223"/>
        <v>0</v>
      </c>
      <c r="P969" s="29">
        <f t="shared" ca="1" si="224"/>
        <v>0</v>
      </c>
      <c r="Q969" s="12">
        <f t="shared" ca="1" si="225"/>
        <v>-381000</v>
      </c>
      <c r="R969" s="10">
        <f t="shared" ca="1" si="226"/>
        <v>0</v>
      </c>
      <c r="S969" s="10">
        <f t="shared" ca="1" si="216"/>
        <v>-0.17985863251452167</v>
      </c>
      <c r="T969" s="14">
        <f t="shared" ca="1" si="217"/>
        <v>-0.19129324808958786</v>
      </c>
      <c r="U969" s="12">
        <f t="shared" ca="1" si="227"/>
        <v>7900</v>
      </c>
      <c r="V969" s="14">
        <f t="shared" ca="1" si="228"/>
        <v>-4922.7848101265827</v>
      </c>
      <c r="W969" s="12">
        <f t="shared" ca="1" si="218"/>
        <v>-3653.1645569620255</v>
      </c>
      <c r="X969" s="7">
        <f ca="1">AVERAGE(E969:OFFSET(F969,-$X$5+1,0))</f>
        <v>10451.700000000001</v>
      </c>
      <c r="Y969" s="7">
        <f ca="1">AVERAGE(E969:OFFSET(F969,-$Y$5+1,0))</f>
        <v>10554.3</v>
      </c>
      <c r="Z969" s="7">
        <f t="shared" ca="1" si="220"/>
        <v>0</v>
      </c>
    </row>
    <row r="970" spans="1:26">
      <c r="A970" s="3" t="s">
        <v>70</v>
      </c>
      <c r="B970" s="4">
        <v>43080</v>
      </c>
      <c r="C970" s="3">
        <v>10416</v>
      </c>
      <c r="D970" s="3">
        <v>10497</v>
      </c>
      <c r="E970" s="3">
        <v>10415</v>
      </c>
      <c r="F970" s="3">
        <v>10479</v>
      </c>
      <c r="G970" s="3">
        <v>120409</v>
      </c>
      <c r="H970" s="3">
        <v>1.0449999999999999</v>
      </c>
      <c r="I970" s="2">
        <f t="shared" si="229"/>
        <v>0</v>
      </c>
      <c r="J970" s="10">
        <f t="shared" si="231"/>
        <v>19</v>
      </c>
      <c r="K970" s="10">
        <f t="shared" si="230"/>
        <v>63</v>
      </c>
      <c r="L970" s="10">
        <f t="shared" ca="1" si="219"/>
        <v>0</v>
      </c>
      <c r="M970" s="10">
        <f t="shared" ca="1" si="221"/>
        <v>0</v>
      </c>
      <c r="N970" s="30">
        <f t="shared" ca="1" si="222"/>
        <v>0</v>
      </c>
      <c r="O970" s="10">
        <f t="shared" ca="1" si="223"/>
        <v>0</v>
      </c>
      <c r="P970" s="29">
        <f t="shared" ca="1" si="224"/>
        <v>0</v>
      </c>
      <c r="Q970" s="12">
        <f t="shared" ca="1" si="225"/>
        <v>-381000</v>
      </c>
      <c r="R970" s="10">
        <f t="shared" ca="1" si="226"/>
        <v>0</v>
      </c>
      <c r="S970" s="10">
        <f t="shared" ca="1" si="216"/>
        <v>-0.19945412555112324</v>
      </c>
      <c r="T970" s="14">
        <f t="shared" ca="1" si="217"/>
        <v>-0.19435358943134182</v>
      </c>
      <c r="U970" s="12">
        <f t="shared" ca="1" si="227"/>
        <v>7900</v>
      </c>
      <c r="V970" s="14">
        <f t="shared" ca="1" si="228"/>
        <v>-4922.7848101265827</v>
      </c>
      <c r="W970" s="12">
        <f t="shared" ca="1" si="218"/>
        <v>-3653.1645569620255</v>
      </c>
      <c r="X970" s="7">
        <f ca="1">AVERAGE(E970:OFFSET(F970,-$X$5+1,0))</f>
        <v>10419.799999999999</v>
      </c>
      <c r="Y970" s="7">
        <f ca="1">AVERAGE(E970:OFFSET(F970,-$Y$5+1,0))</f>
        <v>10524.65</v>
      </c>
      <c r="Z970" s="7">
        <f t="shared" ca="1" si="220"/>
        <v>0</v>
      </c>
    </row>
    <row r="971" spans="1:26">
      <c r="A971" s="3" t="s">
        <v>70</v>
      </c>
      <c r="B971" s="4">
        <v>43081</v>
      </c>
      <c r="C971" s="3">
        <v>10496</v>
      </c>
      <c r="D971" s="3">
        <v>10498</v>
      </c>
      <c r="E971" s="3">
        <v>10386</v>
      </c>
      <c r="F971" s="3">
        <v>10432</v>
      </c>
      <c r="G971" s="3">
        <v>133771</v>
      </c>
      <c r="H971" s="3">
        <v>1.0449999999999999</v>
      </c>
      <c r="I971" s="2">
        <f t="shared" si="229"/>
        <v>0</v>
      </c>
      <c r="J971" s="10">
        <f t="shared" si="231"/>
        <v>17</v>
      </c>
      <c r="K971" s="10">
        <f t="shared" si="230"/>
        <v>-64</v>
      </c>
      <c r="L971" s="10">
        <f t="shared" ca="1" si="219"/>
        <v>0</v>
      </c>
      <c r="M971" s="10">
        <f t="shared" ca="1" si="221"/>
        <v>0</v>
      </c>
      <c r="N971" s="30">
        <f t="shared" ca="1" si="222"/>
        <v>0</v>
      </c>
      <c r="O971" s="10">
        <f t="shared" ca="1" si="223"/>
        <v>0</v>
      </c>
      <c r="P971" s="29">
        <f t="shared" ca="1" si="224"/>
        <v>0</v>
      </c>
      <c r="Q971" s="12">
        <f t="shared" ca="1" si="225"/>
        <v>-381000</v>
      </c>
      <c r="R971" s="10">
        <f t="shared" ca="1" si="226"/>
        <v>0</v>
      </c>
      <c r="S971" s="10">
        <f t="shared" ca="1" si="216"/>
        <v>-0.19735460844005878</v>
      </c>
      <c r="T971" s="14">
        <f t="shared" ca="1" si="217"/>
        <v>-0.19402569571615388</v>
      </c>
      <c r="U971" s="12">
        <f t="shared" ca="1" si="227"/>
        <v>7900</v>
      </c>
      <c r="V971" s="14">
        <f t="shared" ca="1" si="228"/>
        <v>-4922.7848101265827</v>
      </c>
      <c r="W971" s="12">
        <f t="shared" ca="1" si="218"/>
        <v>-3653.1645569620255</v>
      </c>
      <c r="X971" s="7">
        <f ca="1">AVERAGE(E971:OFFSET(F971,-$X$5+1,0))</f>
        <v>10389.700000000001</v>
      </c>
      <c r="Y971" s="7">
        <f ca="1">AVERAGE(E971:OFFSET(F971,-$Y$5+1,0))</f>
        <v>10495.4</v>
      </c>
      <c r="Z971" s="7">
        <f t="shared" ca="1" si="220"/>
        <v>0</v>
      </c>
    </row>
    <row r="972" spans="1:26">
      <c r="A972" s="3" t="s">
        <v>70</v>
      </c>
      <c r="B972" s="4">
        <v>43082</v>
      </c>
      <c r="C972" s="3">
        <v>10433</v>
      </c>
      <c r="D972" s="3">
        <v>10475</v>
      </c>
      <c r="E972" s="3">
        <v>10421</v>
      </c>
      <c r="F972" s="3">
        <v>10449</v>
      </c>
      <c r="G972" s="3">
        <v>116735</v>
      </c>
      <c r="H972" s="3">
        <v>1.0449999999999999</v>
      </c>
      <c r="I972" s="2">
        <f t="shared" si="229"/>
        <v>0</v>
      </c>
      <c r="J972" s="10">
        <f t="shared" si="231"/>
        <v>1</v>
      </c>
      <c r="K972" s="10">
        <f t="shared" si="230"/>
        <v>16</v>
      </c>
      <c r="L972" s="10">
        <f t="shared" ca="1" si="219"/>
        <v>0</v>
      </c>
      <c r="M972" s="10">
        <f t="shared" ca="1" si="221"/>
        <v>0</v>
      </c>
      <c r="N972" s="30">
        <f t="shared" ca="1" si="222"/>
        <v>0</v>
      </c>
      <c r="O972" s="10">
        <f t="shared" ca="1" si="223"/>
        <v>0</v>
      </c>
      <c r="P972" s="29">
        <f t="shared" ca="1" si="224"/>
        <v>0</v>
      </c>
      <c r="Q972" s="12">
        <f t="shared" ca="1" si="225"/>
        <v>-381000</v>
      </c>
      <c r="R972" s="10">
        <f t="shared" ca="1" si="226"/>
        <v>0</v>
      </c>
      <c r="S972" s="10">
        <f t="shared" ca="1" si="216"/>
        <v>-0.19735460844005878</v>
      </c>
      <c r="T972" s="14">
        <f t="shared" ca="1" si="217"/>
        <v>-0.19402569571615388</v>
      </c>
      <c r="U972" s="12">
        <f t="shared" ca="1" si="227"/>
        <v>7900</v>
      </c>
      <c r="V972" s="14">
        <f t="shared" ca="1" si="228"/>
        <v>-4922.7848101265827</v>
      </c>
      <c r="W972" s="12">
        <f t="shared" ca="1" si="218"/>
        <v>-3653.1645569620255</v>
      </c>
      <c r="X972" s="7">
        <f ca="1">AVERAGE(E972:OFFSET(F972,-$X$5+1,0))</f>
        <v>10400.6</v>
      </c>
      <c r="Y972" s="7">
        <f ca="1">AVERAGE(E972:OFFSET(F972,-$Y$5+1,0))</f>
        <v>10467.049999999999</v>
      </c>
      <c r="Z972" s="7">
        <f t="shared" ca="1" si="220"/>
        <v>0</v>
      </c>
    </row>
    <row r="973" spans="1:26">
      <c r="A973" s="3" t="s">
        <v>70</v>
      </c>
      <c r="B973" s="4">
        <v>43083</v>
      </c>
      <c r="C973" s="3">
        <v>10508</v>
      </c>
      <c r="D973" s="3">
        <v>10582</v>
      </c>
      <c r="E973" s="3">
        <v>10498</v>
      </c>
      <c r="F973" s="3">
        <v>10528</v>
      </c>
      <c r="G973" s="3">
        <v>137554</v>
      </c>
      <c r="H973" s="3">
        <v>1.0449999999999999</v>
      </c>
      <c r="I973" s="2">
        <f t="shared" si="229"/>
        <v>0</v>
      </c>
      <c r="J973" s="10">
        <f t="shared" si="231"/>
        <v>59</v>
      </c>
      <c r="K973" s="10">
        <f t="shared" si="230"/>
        <v>20</v>
      </c>
      <c r="L973" s="10">
        <f t="shared" ca="1" si="219"/>
        <v>0</v>
      </c>
      <c r="M973" s="10">
        <f t="shared" ca="1" si="221"/>
        <v>0</v>
      </c>
      <c r="N973" s="30">
        <f t="shared" ca="1" si="222"/>
        <v>0</v>
      </c>
      <c r="O973" s="10">
        <f t="shared" ca="1" si="223"/>
        <v>0</v>
      </c>
      <c r="P973" s="29">
        <f t="shared" ca="1" si="224"/>
        <v>0</v>
      </c>
      <c r="Q973" s="12">
        <f t="shared" ca="1" si="225"/>
        <v>-381000</v>
      </c>
      <c r="R973" s="10">
        <f t="shared" ca="1" si="226"/>
        <v>0</v>
      </c>
      <c r="S973" s="10">
        <f t="shared" ca="1" si="216"/>
        <v>-0.19735460844005878</v>
      </c>
      <c r="T973" s="14">
        <f t="shared" ca="1" si="217"/>
        <v>-0.19402569571615388</v>
      </c>
      <c r="U973" s="12">
        <f t="shared" ca="1" si="227"/>
        <v>7900</v>
      </c>
      <c r="V973" s="14">
        <f t="shared" ca="1" si="228"/>
        <v>-4922.7848101265827</v>
      </c>
      <c r="W973" s="12">
        <f t="shared" ca="1" si="218"/>
        <v>-3653.1645569620255</v>
      </c>
      <c r="X973" s="7">
        <f ca="1">AVERAGE(E973:OFFSET(F973,-$X$5+1,0))</f>
        <v>10434.1</v>
      </c>
      <c r="Y973" s="7">
        <f ca="1">AVERAGE(E973:OFFSET(F973,-$Y$5+1,0))</f>
        <v>10461.200000000001</v>
      </c>
      <c r="Z973" s="7">
        <f t="shared" ca="1" si="220"/>
        <v>0</v>
      </c>
    </row>
    <row r="974" spans="1:26">
      <c r="A974" s="3" t="s">
        <v>70</v>
      </c>
      <c r="B974" s="4">
        <v>43084</v>
      </c>
      <c r="C974" s="3">
        <v>10510</v>
      </c>
      <c r="D974" s="3">
        <v>10515</v>
      </c>
      <c r="E974" s="3">
        <v>10421</v>
      </c>
      <c r="F974" s="3">
        <v>10485</v>
      </c>
      <c r="G974" s="3">
        <v>165569</v>
      </c>
      <c r="H974" s="3">
        <v>1.0449999999999999</v>
      </c>
      <c r="I974" s="2">
        <f t="shared" si="229"/>
        <v>0</v>
      </c>
      <c r="J974" s="10">
        <f t="shared" si="231"/>
        <v>-18</v>
      </c>
      <c r="K974" s="10">
        <f t="shared" si="230"/>
        <v>-25</v>
      </c>
      <c r="L974" s="10">
        <f t="shared" ca="1" si="219"/>
        <v>0</v>
      </c>
      <c r="M974" s="10">
        <f t="shared" ca="1" si="221"/>
        <v>0</v>
      </c>
      <c r="N974" s="30">
        <f t="shared" ca="1" si="222"/>
        <v>0</v>
      </c>
      <c r="O974" s="10">
        <f t="shared" ca="1" si="223"/>
        <v>0</v>
      </c>
      <c r="P974" s="29">
        <f t="shared" ca="1" si="224"/>
        <v>0</v>
      </c>
      <c r="Q974" s="12">
        <f t="shared" ca="1" si="225"/>
        <v>-381000</v>
      </c>
      <c r="R974" s="10">
        <f t="shared" ca="1" si="226"/>
        <v>0</v>
      </c>
      <c r="S974" s="10">
        <f t="shared" ca="1" si="216"/>
        <v>-0.19735460844005878</v>
      </c>
      <c r="T974" s="14">
        <f t="shared" ca="1" si="217"/>
        <v>-0.19402569571615388</v>
      </c>
      <c r="U974" s="12">
        <f t="shared" ca="1" si="227"/>
        <v>7900</v>
      </c>
      <c r="V974" s="14">
        <f t="shared" ca="1" si="228"/>
        <v>-4922.7848101265827</v>
      </c>
      <c r="W974" s="12">
        <f t="shared" ca="1" si="218"/>
        <v>-3653.1645569620255</v>
      </c>
      <c r="X974" s="7">
        <f ca="1">AVERAGE(E974:OFFSET(F974,-$X$5+1,0))</f>
        <v>10451.4</v>
      </c>
      <c r="Y974" s="7">
        <f ca="1">AVERAGE(E974:OFFSET(F974,-$Y$5+1,0))</f>
        <v>10451.549999999999</v>
      </c>
      <c r="Z974" s="7">
        <f t="shared" ca="1" si="220"/>
        <v>0</v>
      </c>
    </row>
    <row r="975" spans="1:26">
      <c r="A975" s="3" t="s">
        <v>70</v>
      </c>
      <c r="B975" s="4">
        <v>43087</v>
      </c>
      <c r="C975" s="3">
        <v>10527</v>
      </c>
      <c r="D975" s="3">
        <v>10531</v>
      </c>
      <c r="E975" s="3">
        <v>10456</v>
      </c>
      <c r="F975" s="3">
        <v>10502</v>
      </c>
      <c r="G975" s="3">
        <v>137457</v>
      </c>
      <c r="H975" s="3">
        <v>1.0449999999999999</v>
      </c>
      <c r="I975" s="2">
        <f t="shared" si="229"/>
        <v>0</v>
      </c>
      <c r="J975" s="10">
        <f t="shared" si="231"/>
        <v>42</v>
      </c>
      <c r="K975" s="10">
        <f t="shared" si="230"/>
        <v>-25</v>
      </c>
      <c r="L975" s="10">
        <f t="shared" ca="1" si="219"/>
        <v>1</v>
      </c>
      <c r="M975" s="10">
        <f t="shared" ca="1" si="221"/>
        <v>0</v>
      </c>
      <c r="N975" s="30">
        <f t="shared" ca="1" si="222"/>
        <v>0</v>
      </c>
      <c r="O975" s="10">
        <f t="shared" ca="1" si="223"/>
        <v>0</v>
      </c>
      <c r="P975" s="29">
        <f t="shared" ca="1" si="224"/>
        <v>0</v>
      </c>
      <c r="Q975" s="12">
        <f t="shared" ca="1" si="225"/>
        <v>-381000</v>
      </c>
      <c r="R975" s="10">
        <f t="shared" ca="1" si="226"/>
        <v>0</v>
      </c>
      <c r="S975" s="10">
        <f t="shared" ca="1" si="216"/>
        <v>-0.19735460844005878</v>
      </c>
      <c r="T975" s="14">
        <f t="shared" ca="1" si="217"/>
        <v>-0.19402569571615388</v>
      </c>
      <c r="U975" s="12">
        <f t="shared" ca="1" si="227"/>
        <v>7900</v>
      </c>
      <c r="V975" s="14">
        <f t="shared" ca="1" si="228"/>
        <v>-4922.7848101265827</v>
      </c>
      <c r="W975" s="12">
        <f t="shared" ca="1" si="218"/>
        <v>-3653.1645569620255</v>
      </c>
      <c r="X975" s="7">
        <f ca="1">AVERAGE(E975:OFFSET(F975,-$X$5+1,0))</f>
        <v>10457.799999999999</v>
      </c>
      <c r="Y975" s="7">
        <f ca="1">AVERAGE(E975:OFFSET(F975,-$Y$5+1,0))</f>
        <v>10438.799999999999</v>
      </c>
      <c r="Z975" s="7">
        <f t="shared" ca="1" si="220"/>
        <v>1</v>
      </c>
    </row>
    <row r="976" spans="1:26">
      <c r="A976" s="3" t="s">
        <v>70</v>
      </c>
      <c r="B976" s="4">
        <v>43088</v>
      </c>
      <c r="C976" s="3">
        <v>10522</v>
      </c>
      <c r="D976" s="3">
        <v>10530</v>
      </c>
      <c r="E976" s="3">
        <v>10443</v>
      </c>
      <c r="F976" s="3">
        <v>10459</v>
      </c>
      <c r="G976" s="3">
        <v>152949</v>
      </c>
      <c r="H976" s="3">
        <v>1.0449999999999999</v>
      </c>
      <c r="I976" s="2">
        <f t="shared" si="229"/>
        <v>0</v>
      </c>
      <c r="J976" s="10">
        <f t="shared" si="231"/>
        <v>20</v>
      </c>
      <c r="K976" s="10">
        <f t="shared" si="230"/>
        <v>-63</v>
      </c>
      <c r="L976" s="10">
        <f t="shared" ca="1" si="219"/>
        <v>0</v>
      </c>
      <c r="M976" s="10">
        <f t="shared" ca="1" si="221"/>
        <v>1</v>
      </c>
      <c r="N976" s="30">
        <f t="shared" ca="1" si="222"/>
        <v>2104400</v>
      </c>
      <c r="O976" s="10">
        <f t="shared" ca="1" si="223"/>
        <v>2104400</v>
      </c>
      <c r="P976" s="29">
        <f t="shared" ca="1" si="224"/>
        <v>-13100</v>
      </c>
      <c r="Q976" s="12">
        <f t="shared" ca="1" si="225"/>
        <v>-394100</v>
      </c>
      <c r="R976" s="10">
        <f t="shared" ca="1" si="226"/>
        <v>-0.62250522714312873</v>
      </c>
      <c r="S976" s="10">
        <f t="shared" ca="1" si="216"/>
        <v>-0.25193065501970308</v>
      </c>
      <c r="T976" s="14">
        <f t="shared" ca="1" si="217"/>
        <v>-0.20170671170312734</v>
      </c>
      <c r="U976" s="12">
        <f t="shared" ca="1" si="227"/>
        <v>7900</v>
      </c>
      <c r="V976" s="14">
        <f t="shared" ca="1" si="228"/>
        <v>-5088.6075949367087</v>
      </c>
      <c r="W976" s="12">
        <f t="shared" ca="1" si="218"/>
        <v>-3653.1645569620255</v>
      </c>
      <c r="X976" s="7">
        <f ca="1">AVERAGE(E976:OFFSET(F976,-$X$5+1,0))</f>
        <v>10466.200000000001</v>
      </c>
      <c r="Y976" s="7">
        <f ca="1">AVERAGE(E976:OFFSET(F976,-$Y$5+1,0))</f>
        <v>10427.950000000001</v>
      </c>
      <c r="Z976" s="7">
        <f t="shared" ca="1" si="220"/>
        <v>0</v>
      </c>
    </row>
    <row r="977" spans="1:26">
      <c r="A977" s="3" t="s">
        <v>70</v>
      </c>
      <c r="B977" s="4">
        <v>43089</v>
      </c>
      <c r="C977" s="3">
        <v>10457</v>
      </c>
      <c r="D977" s="3">
        <v>10509</v>
      </c>
      <c r="E977" s="3">
        <v>10457</v>
      </c>
      <c r="F977" s="3">
        <v>10497</v>
      </c>
      <c r="G977" s="3">
        <v>88577</v>
      </c>
      <c r="H977" s="3">
        <v>1.0449999999999999</v>
      </c>
      <c r="I977" s="2">
        <f t="shared" si="229"/>
        <v>1</v>
      </c>
      <c r="J977" s="10">
        <f t="shared" si="231"/>
        <v>-2</v>
      </c>
      <c r="K977" s="10">
        <f t="shared" si="230"/>
        <v>40</v>
      </c>
      <c r="L977" s="10">
        <f t="shared" ca="1" si="219"/>
        <v>0</v>
      </c>
      <c r="M977" s="10">
        <f t="shared" si="221"/>
        <v>0</v>
      </c>
      <c r="N977" s="30">
        <f t="shared" si="222"/>
        <v>0</v>
      </c>
      <c r="O977" s="10">
        <f t="shared" si="223"/>
        <v>0</v>
      </c>
      <c r="P977" s="29">
        <f t="shared" ca="1" si="224"/>
        <v>-900</v>
      </c>
      <c r="Q977" s="12">
        <f t="shared" ca="1" si="225"/>
        <v>-395000</v>
      </c>
      <c r="R977" s="10">
        <f t="shared" ca="1" si="226"/>
        <v>-4.2767534689222585E-2</v>
      </c>
      <c r="S977" s="10">
        <f t="shared" ca="1" si="216"/>
        <v>-0.25742066929374019</v>
      </c>
      <c r="T977" s="14">
        <f t="shared" ca="1" si="217"/>
        <v>-0.20255721495480133</v>
      </c>
      <c r="U977" s="12">
        <f t="shared" ca="1" si="227"/>
        <v>7900</v>
      </c>
      <c r="V977" s="14">
        <f t="shared" ca="1" si="228"/>
        <v>-5100</v>
      </c>
      <c r="W977" s="12">
        <f t="shared" ca="1" si="218"/>
        <v>-3653.1645569620255</v>
      </c>
      <c r="X977" s="7">
        <f ca="1">AVERAGE(E977:OFFSET(F977,-$X$5+1,0))</f>
        <v>10474.6</v>
      </c>
      <c r="Y977" s="7">
        <f ca="1">AVERAGE(E977:OFFSET(F977,-$Y$5+1,0))</f>
        <v>10437.6</v>
      </c>
      <c r="Z977" s="7">
        <f t="shared" ca="1" si="220"/>
        <v>0</v>
      </c>
    </row>
    <row r="978" spans="1:26">
      <c r="A978" s="3" t="s">
        <v>71</v>
      </c>
      <c r="B978" s="4">
        <v>43090</v>
      </c>
      <c r="C978" s="3">
        <v>10492</v>
      </c>
      <c r="D978" s="3">
        <v>10539</v>
      </c>
      <c r="E978" s="3">
        <v>10475</v>
      </c>
      <c r="F978" s="3">
        <v>10497</v>
      </c>
      <c r="G978" s="3">
        <v>120042</v>
      </c>
      <c r="H978" s="3">
        <v>1.0449999999999999</v>
      </c>
      <c r="I978" s="2">
        <f t="shared" si="229"/>
        <v>0</v>
      </c>
      <c r="J978" s="10">
        <f t="shared" si="231"/>
        <v>-5</v>
      </c>
      <c r="K978" s="10">
        <f t="shared" si="230"/>
        <v>5</v>
      </c>
      <c r="L978" s="10">
        <f t="shared" ca="1" si="219"/>
        <v>0</v>
      </c>
      <c r="M978" s="10">
        <f t="shared" ca="1" si="221"/>
        <v>0</v>
      </c>
      <c r="N978" s="30">
        <f t="shared" ca="1" si="222"/>
        <v>0</v>
      </c>
      <c r="O978" s="10">
        <f t="shared" ca="1" si="223"/>
        <v>0</v>
      </c>
      <c r="P978" s="29">
        <f t="shared" ca="1" si="224"/>
        <v>0</v>
      </c>
      <c r="Q978" s="12">
        <f t="shared" ca="1" si="225"/>
        <v>-395000</v>
      </c>
      <c r="R978" s="10">
        <f t="shared" ca="1" si="226"/>
        <v>0</v>
      </c>
      <c r="S978" s="10">
        <f t="shared" ca="1" si="216"/>
        <v>-0.25742066929374019</v>
      </c>
      <c r="T978" s="14">
        <f t="shared" ca="1" si="217"/>
        <v>-0.20255721495480133</v>
      </c>
      <c r="U978" s="12">
        <f t="shared" ca="1" si="227"/>
        <v>7900</v>
      </c>
      <c r="V978" s="14">
        <f t="shared" ca="1" si="228"/>
        <v>-5100</v>
      </c>
      <c r="W978" s="12">
        <f t="shared" ca="1" si="218"/>
        <v>-3653.1645569620255</v>
      </c>
      <c r="X978" s="7">
        <f ca="1">AVERAGE(E978:OFFSET(F978,-$X$5+1,0))</f>
        <v>10469.200000000001</v>
      </c>
      <c r="Y978" s="7">
        <f ca="1">AVERAGE(E978:OFFSET(F978,-$Y$5+1,0))</f>
        <v>10451.65</v>
      </c>
      <c r="Z978" s="7">
        <f t="shared" ca="1" si="220"/>
        <v>0</v>
      </c>
    </row>
    <row r="979" spans="1:26">
      <c r="A979" s="3" t="s">
        <v>71</v>
      </c>
      <c r="B979" s="4">
        <v>43091</v>
      </c>
      <c r="C979" s="3">
        <v>10498</v>
      </c>
      <c r="D979" s="3">
        <v>10535</v>
      </c>
      <c r="E979" s="3">
        <v>10473</v>
      </c>
      <c r="F979" s="3">
        <v>10535</v>
      </c>
      <c r="G979" s="3">
        <v>83929</v>
      </c>
      <c r="H979" s="3">
        <v>1.0449999999999999</v>
      </c>
      <c r="I979" s="2">
        <f t="shared" si="229"/>
        <v>0</v>
      </c>
      <c r="J979" s="10">
        <f t="shared" si="231"/>
        <v>1</v>
      </c>
      <c r="K979" s="10">
        <f t="shared" si="230"/>
        <v>37</v>
      </c>
      <c r="L979" s="10">
        <f t="shared" ca="1" si="219"/>
        <v>0</v>
      </c>
      <c r="M979" s="10">
        <f t="shared" ca="1" si="221"/>
        <v>0</v>
      </c>
      <c r="N979" s="30">
        <f t="shared" ca="1" si="222"/>
        <v>0</v>
      </c>
      <c r="O979" s="10">
        <f t="shared" ca="1" si="223"/>
        <v>0</v>
      </c>
      <c r="P979" s="29">
        <f t="shared" ca="1" si="224"/>
        <v>0</v>
      </c>
      <c r="Q979" s="12">
        <f t="shared" ca="1" si="225"/>
        <v>-395000</v>
      </c>
      <c r="R979" s="10">
        <f t="shared" ca="1" si="226"/>
        <v>0</v>
      </c>
      <c r="S979" s="10">
        <f t="shared" ca="1" si="216"/>
        <v>-0.25742066929374019</v>
      </c>
      <c r="T979" s="14">
        <f t="shared" ca="1" si="217"/>
        <v>-0.20255721495480133</v>
      </c>
      <c r="U979" s="12">
        <f t="shared" ca="1" si="227"/>
        <v>7900</v>
      </c>
      <c r="V979" s="14">
        <f t="shared" ca="1" si="228"/>
        <v>-5100</v>
      </c>
      <c r="W979" s="12">
        <f t="shared" ca="1" si="218"/>
        <v>-3653.1645569620255</v>
      </c>
      <c r="X979" s="7">
        <f ca="1">AVERAGE(E979:OFFSET(F979,-$X$5+1,0))</f>
        <v>10479.4</v>
      </c>
      <c r="Y979" s="7">
        <f ca="1">AVERAGE(E979:OFFSET(F979,-$Y$5+1,0))</f>
        <v>10465.4</v>
      </c>
      <c r="Z979" s="7">
        <f t="shared" ca="1" si="220"/>
        <v>0</v>
      </c>
    </row>
    <row r="980" spans="1:26">
      <c r="A980" s="3" t="s">
        <v>71</v>
      </c>
      <c r="B980" s="4">
        <v>43094</v>
      </c>
      <c r="C980" s="3">
        <v>10549</v>
      </c>
      <c r="D980" s="3">
        <v>10564</v>
      </c>
      <c r="E980" s="3">
        <v>10520</v>
      </c>
      <c r="F980" s="3">
        <v>10526</v>
      </c>
      <c r="G980" s="3">
        <v>73249</v>
      </c>
      <c r="H980" s="3">
        <v>1.0449999999999999</v>
      </c>
      <c r="I980" s="2">
        <f t="shared" si="229"/>
        <v>0</v>
      </c>
      <c r="J980" s="10">
        <f t="shared" si="231"/>
        <v>14</v>
      </c>
      <c r="K980" s="10">
        <f t="shared" si="230"/>
        <v>-23</v>
      </c>
      <c r="L980" s="10">
        <f t="shared" ca="1" si="219"/>
        <v>0</v>
      </c>
      <c r="M980" s="10">
        <f t="shared" ca="1" si="221"/>
        <v>0</v>
      </c>
      <c r="N980" s="30">
        <f t="shared" ca="1" si="222"/>
        <v>0</v>
      </c>
      <c r="O980" s="10">
        <f t="shared" ca="1" si="223"/>
        <v>0</v>
      </c>
      <c r="P980" s="29">
        <f t="shared" ca="1" si="224"/>
        <v>0</v>
      </c>
      <c r="Q980" s="12">
        <f t="shared" ca="1" si="225"/>
        <v>-395000</v>
      </c>
      <c r="R980" s="10">
        <f t="shared" ca="1" si="226"/>
        <v>0</v>
      </c>
      <c r="S980" s="10">
        <f t="shared" ca="1" si="216"/>
        <v>-0.27584404149354758</v>
      </c>
      <c r="T980" s="14">
        <f t="shared" ca="1" si="217"/>
        <v>-0.2054224850252559</v>
      </c>
      <c r="U980" s="12">
        <f t="shared" ca="1" si="227"/>
        <v>7900</v>
      </c>
      <c r="V980" s="14">
        <f t="shared" ca="1" si="228"/>
        <v>-5100</v>
      </c>
      <c r="W980" s="12">
        <f t="shared" ca="1" si="218"/>
        <v>-3653.1645569620255</v>
      </c>
      <c r="X980" s="7">
        <f ca="1">AVERAGE(E980:OFFSET(F980,-$X$5+1,0))</f>
        <v>10488.2</v>
      </c>
      <c r="Y980" s="7">
        <f ca="1">AVERAGE(E980:OFFSET(F980,-$Y$5+1,0))</f>
        <v>10473</v>
      </c>
      <c r="Z980" s="7">
        <f t="shared" ca="1" si="220"/>
        <v>0</v>
      </c>
    </row>
    <row r="981" spans="1:26">
      <c r="A981" s="3" t="s">
        <v>71</v>
      </c>
      <c r="B981" s="4">
        <v>43095</v>
      </c>
      <c r="C981" s="3">
        <v>10540</v>
      </c>
      <c r="D981" s="3">
        <v>10541</v>
      </c>
      <c r="E981" s="3">
        <v>10406</v>
      </c>
      <c r="F981" s="3">
        <v>10416</v>
      </c>
      <c r="G981" s="3">
        <v>148599</v>
      </c>
      <c r="H981" s="3">
        <v>1.0449999999999999</v>
      </c>
      <c r="I981" s="2">
        <f t="shared" si="229"/>
        <v>0</v>
      </c>
      <c r="J981" s="10">
        <f t="shared" si="231"/>
        <v>14</v>
      </c>
      <c r="K981" s="10">
        <f t="shared" si="230"/>
        <v>-124</v>
      </c>
      <c r="L981" s="10">
        <f t="shared" ca="1" si="219"/>
        <v>0</v>
      </c>
      <c r="M981" s="10">
        <f t="shared" ca="1" si="221"/>
        <v>0</v>
      </c>
      <c r="N981" s="30">
        <f t="shared" ca="1" si="222"/>
        <v>0</v>
      </c>
      <c r="O981" s="10">
        <f t="shared" ca="1" si="223"/>
        <v>0</v>
      </c>
      <c r="P981" s="29">
        <f t="shared" ca="1" si="224"/>
        <v>0</v>
      </c>
      <c r="Q981" s="12">
        <f t="shared" ca="1" si="225"/>
        <v>-395000</v>
      </c>
      <c r="R981" s="10">
        <f t="shared" ca="1" si="226"/>
        <v>0</v>
      </c>
      <c r="S981" s="10">
        <f t="shared" ca="1" si="216"/>
        <v>-0.36802135211732656</v>
      </c>
      <c r="T981" s="14">
        <f t="shared" ca="1" si="217"/>
        <v>-0.21990650628250316</v>
      </c>
      <c r="U981" s="12">
        <f t="shared" ca="1" si="227"/>
        <v>7900</v>
      </c>
      <c r="V981" s="14">
        <f t="shared" ca="1" si="228"/>
        <v>-5100</v>
      </c>
      <c r="W981" s="12">
        <f t="shared" ca="1" si="218"/>
        <v>-3653.1645569620255</v>
      </c>
      <c r="X981" s="7">
        <f ca="1">AVERAGE(E981:OFFSET(F981,-$X$5+1,0))</f>
        <v>10480.200000000001</v>
      </c>
      <c r="Y981" s="7">
        <f ca="1">AVERAGE(E981:OFFSET(F981,-$Y$5+1,0))</f>
        <v>10473.200000000001</v>
      </c>
      <c r="Z981" s="7">
        <f t="shared" ca="1" si="220"/>
        <v>0</v>
      </c>
    </row>
    <row r="982" spans="1:26">
      <c r="A982" s="3" t="s">
        <v>71</v>
      </c>
      <c r="B982" s="4">
        <v>43096</v>
      </c>
      <c r="C982" s="3">
        <v>10398</v>
      </c>
      <c r="D982" s="3">
        <v>10485</v>
      </c>
      <c r="E982" s="3">
        <v>10393</v>
      </c>
      <c r="F982" s="3">
        <v>10476</v>
      </c>
      <c r="G982" s="3">
        <v>115742</v>
      </c>
      <c r="H982" s="3">
        <v>1.0449999999999999</v>
      </c>
      <c r="I982" s="2">
        <f t="shared" si="229"/>
        <v>0</v>
      </c>
      <c r="J982" s="10">
        <f t="shared" si="231"/>
        <v>-18</v>
      </c>
      <c r="K982" s="10">
        <f t="shared" si="230"/>
        <v>78</v>
      </c>
      <c r="L982" s="10">
        <f t="shared" ca="1" si="219"/>
        <v>-1</v>
      </c>
      <c r="M982" s="10">
        <f t="shared" ca="1" si="221"/>
        <v>0</v>
      </c>
      <c r="N982" s="30">
        <f t="shared" ca="1" si="222"/>
        <v>0</v>
      </c>
      <c r="O982" s="10">
        <f t="shared" ca="1" si="223"/>
        <v>0</v>
      </c>
      <c r="P982" s="29">
        <f t="shared" ca="1" si="224"/>
        <v>0</v>
      </c>
      <c r="Q982" s="12">
        <f t="shared" ca="1" si="225"/>
        <v>-395000</v>
      </c>
      <c r="R982" s="10">
        <f t="shared" ca="1" si="226"/>
        <v>0</v>
      </c>
      <c r="S982" s="10">
        <f t="shared" ca="1" si="216"/>
        <v>-0.40516743251795395</v>
      </c>
      <c r="T982" s="14">
        <f t="shared" ca="1" si="217"/>
        <v>-0.22599854201607558</v>
      </c>
      <c r="U982" s="12">
        <f t="shared" ca="1" si="227"/>
        <v>7900</v>
      </c>
      <c r="V982" s="14">
        <f t="shared" ca="1" si="228"/>
        <v>-5100</v>
      </c>
      <c r="W982" s="12">
        <f t="shared" ca="1" si="218"/>
        <v>-3653.1645569620255</v>
      </c>
      <c r="X982" s="7">
        <f ca="1">AVERAGE(E982:OFFSET(F982,-$X$5+1,0))</f>
        <v>10471.700000000001</v>
      </c>
      <c r="Y982" s="7">
        <f ca="1">AVERAGE(E982:OFFSET(F982,-$Y$5+1,0))</f>
        <v>10473.15</v>
      </c>
      <c r="Z982" s="7">
        <f t="shared" ca="1" si="220"/>
        <v>-1</v>
      </c>
    </row>
    <row r="983" spans="1:26">
      <c r="A983" s="3" t="s">
        <v>71</v>
      </c>
      <c r="B983" s="4">
        <v>43097</v>
      </c>
      <c r="C983" s="3">
        <v>10495</v>
      </c>
      <c r="D983" s="3">
        <v>10593</v>
      </c>
      <c r="E983" s="3">
        <v>10494</v>
      </c>
      <c r="F983" s="3">
        <v>10562</v>
      </c>
      <c r="G983" s="3">
        <v>143604</v>
      </c>
      <c r="H983" s="3">
        <v>1.0449999999999999</v>
      </c>
      <c r="I983" s="2">
        <f t="shared" si="229"/>
        <v>0</v>
      </c>
      <c r="J983" s="10">
        <f t="shared" si="231"/>
        <v>19</v>
      </c>
      <c r="K983" s="10">
        <f t="shared" si="230"/>
        <v>67</v>
      </c>
      <c r="L983" s="10">
        <f t="shared" ca="1" si="219"/>
        <v>1</v>
      </c>
      <c r="M983" s="10">
        <f t="shared" ca="1" si="221"/>
        <v>-1</v>
      </c>
      <c r="N983" s="30">
        <f t="shared" ca="1" si="222"/>
        <v>0</v>
      </c>
      <c r="O983" s="10">
        <f t="shared" ca="1" si="223"/>
        <v>2099000</v>
      </c>
      <c r="P983" s="29">
        <f t="shared" ca="1" si="224"/>
        <v>-13900</v>
      </c>
      <c r="Q983" s="12">
        <f t="shared" ca="1" si="225"/>
        <v>-408900</v>
      </c>
      <c r="R983" s="10">
        <f t="shared" ca="1" si="226"/>
        <v>-0.66222010481181515</v>
      </c>
      <c r="S983" s="10">
        <f t="shared" ca="1" si="216"/>
        <v>-0.4691412376523677</v>
      </c>
      <c r="T983" s="14">
        <f t="shared" ca="1" si="217"/>
        <v>-0.23499712778101442</v>
      </c>
      <c r="U983" s="12">
        <f t="shared" ca="1" si="227"/>
        <v>7900</v>
      </c>
      <c r="V983" s="14">
        <f t="shared" ca="1" si="228"/>
        <v>-5275.9493670886077</v>
      </c>
      <c r="W983" s="12">
        <f t="shared" ca="1" si="218"/>
        <v>-3653.1645569620255</v>
      </c>
      <c r="X983" s="7">
        <f ca="1">AVERAGE(E983:OFFSET(F983,-$X$5+1,0))</f>
        <v>10480.1</v>
      </c>
      <c r="Y983" s="7">
        <f ca="1">AVERAGE(E983:OFFSET(F983,-$Y$5+1,0))</f>
        <v>10474.65</v>
      </c>
      <c r="Z983" s="7">
        <f t="shared" ca="1" si="220"/>
        <v>1</v>
      </c>
    </row>
    <row r="984" spans="1:26">
      <c r="A984" s="3" t="s">
        <v>71</v>
      </c>
      <c r="B984" s="4">
        <v>43098</v>
      </c>
      <c r="C984" s="3">
        <v>10593</v>
      </c>
      <c r="D984" s="3">
        <v>10644</v>
      </c>
      <c r="E984" s="3">
        <v>10576</v>
      </c>
      <c r="F984" s="3">
        <v>10636</v>
      </c>
      <c r="G984" s="3">
        <v>122636</v>
      </c>
      <c r="H984" s="3">
        <v>1.0449999999999999</v>
      </c>
      <c r="I984" s="2">
        <f t="shared" si="229"/>
        <v>0</v>
      </c>
      <c r="J984" s="10">
        <f t="shared" si="231"/>
        <v>31</v>
      </c>
      <c r="K984" s="10">
        <f t="shared" si="230"/>
        <v>43</v>
      </c>
      <c r="L984" s="10">
        <f t="shared" ca="1" si="219"/>
        <v>0</v>
      </c>
      <c r="M984" s="10">
        <f t="shared" ca="1" si="221"/>
        <v>0</v>
      </c>
      <c r="N984" s="30">
        <f t="shared" ca="1" si="222"/>
        <v>0</v>
      </c>
      <c r="O984" s="10">
        <f t="shared" ca="1" si="223"/>
        <v>0</v>
      </c>
      <c r="P984" s="29">
        <f t="shared" ca="1" si="224"/>
        <v>-6700</v>
      </c>
      <c r="Q984" s="12">
        <f t="shared" ca="1" si="225"/>
        <v>-415600</v>
      </c>
      <c r="R984" s="10">
        <f t="shared" ca="1" si="226"/>
        <v>-0.31919961886612674</v>
      </c>
      <c r="S984" s="10">
        <f t="shared" ca="1" si="216"/>
        <v>-0.51247833145309962</v>
      </c>
      <c r="T984" s="14">
        <f t="shared" ca="1" si="217"/>
        <v>-0.24266065782552182</v>
      </c>
      <c r="U984" s="12">
        <f t="shared" ca="1" si="227"/>
        <v>7900</v>
      </c>
      <c r="V984" s="14">
        <f t="shared" ca="1" si="228"/>
        <v>-5360.7594936708865</v>
      </c>
      <c r="W984" s="12">
        <f t="shared" ca="1" si="218"/>
        <v>-3653.1645569620255</v>
      </c>
      <c r="X984" s="7">
        <f ca="1">AVERAGE(E984:OFFSET(F984,-$X$5+1,0))</f>
        <v>10500.5</v>
      </c>
      <c r="Y984" s="7">
        <f ca="1">AVERAGE(E984:OFFSET(F984,-$Y$5+1,0))</f>
        <v>10489.95</v>
      </c>
      <c r="Z984" s="7">
        <f t="shared" ca="1" si="220"/>
        <v>0</v>
      </c>
    </row>
    <row r="985" spans="1:26">
      <c r="A985" s="3" t="s">
        <v>71</v>
      </c>
      <c r="B985" s="4">
        <v>43102</v>
      </c>
      <c r="C985" s="3">
        <v>10629</v>
      </c>
      <c r="D985" s="3">
        <v>10710</v>
      </c>
      <c r="E985" s="3">
        <v>10621</v>
      </c>
      <c r="F985" s="3">
        <v>10709</v>
      </c>
      <c r="G985" s="3">
        <v>108602</v>
      </c>
      <c r="H985" s="3">
        <v>1.0449999999999999</v>
      </c>
      <c r="I985" s="2">
        <f t="shared" si="229"/>
        <v>0</v>
      </c>
      <c r="J985" s="10">
        <f t="shared" si="231"/>
        <v>-7</v>
      </c>
      <c r="K985" s="10">
        <f t="shared" si="230"/>
        <v>80</v>
      </c>
      <c r="L985" s="10">
        <f t="shared" ca="1" si="219"/>
        <v>0</v>
      </c>
      <c r="M985" s="10">
        <f t="shared" ca="1" si="221"/>
        <v>0</v>
      </c>
      <c r="N985" s="30">
        <f t="shared" ca="1" si="222"/>
        <v>0</v>
      </c>
      <c r="O985" s="10">
        <f t="shared" ca="1" si="223"/>
        <v>0</v>
      </c>
      <c r="P985" s="29">
        <f t="shared" ca="1" si="224"/>
        <v>0</v>
      </c>
      <c r="Q985" s="12">
        <f t="shared" ca="1" si="225"/>
        <v>-415600</v>
      </c>
      <c r="R985" s="10">
        <f t="shared" ca="1" si="226"/>
        <v>0</v>
      </c>
      <c r="S985" s="10">
        <f t="shared" ca="1" si="216"/>
        <v>-0.50697520843078447</v>
      </c>
      <c r="T985" s="14">
        <f t="shared" ca="1" si="217"/>
        <v>-0.24191733954938222</v>
      </c>
      <c r="U985" s="12">
        <f t="shared" ca="1" si="227"/>
        <v>7900</v>
      </c>
      <c r="V985" s="14">
        <f t="shared" ca="1" si="228"/>
        <v>-5360.7594936708865</v>
      </c>
      <c r="W985" s="12">
        <f t="shared" ca="1" si="218"/>
        <v>-3653.1645569620255</v>
      </c>
      <c r="X985" s="7">
        <f ca="1">AVERAGE(E985:OFFSET(F985,-$X$5+1,0))</f>
        <v>10528.9</v>
      </c>
      <c r="Y985" s="7">
        <f ca="1">AVERAGE(E985:OFFSET(F985,-$Y$5+1,0))</f>
        <v>10508.55</v>
      </c>
      <c r="Z985" s="7">
        <f t="shared" ca="1" si="220"/>
        <v>0</v>
      </c>
    </row>
    <row r="986" spans="1:26">
      <c r="A986" s="3" t="s">
        <v>71</v>
      </c>
      <c r="B986" s="4">
        <v>43103</v>
      </c>
      <c r="C986" s="3">
        <v>10748</v>
      </c>
      <c r="D986" s="3">
        <v>10797</v>
      </c>
      <c r="E986" s="3">
        <v>10729</v>
      </c>
      <c r="F986" s="3">
        <v>10789</v>
      </c>
      <c r="G986" s="3">
        <v>120998</v>
      </c>
      <c r="H986" s="3">
        <v>1.0449999999999999</v>
      </c>
      <c r="I986" s="2">
        <f t="shared" si="229"/>
        <v>0</v>
      </c>
      <c r="J986" s="10">
        <f t="shared" si="231"/>
        <v>39</v>
      </c>
      <c r="K986" s="10">
        <f t="shared" si="230"/>
        <v>41</v>
      </c>
      <c r="L986" s="10">
        <f t="shared" ca="1" si="219"/>
        <v>0</v>
      </c>
      <c r="M986" s="10">
        <f t="shared" ca="1" si="221"/>
        <v>0</v>
      </c>
      <c r="N986" s="30">
        <f t="shared" ca="1" si="222"/>
        <v>0</v>
      </c>
      <c r="O986" s="10">
        <f t="shared" ca="1" si="223"/>
        <v>0</v>
      </c>
      <c r="P986" s="29">
        <f t="shared" ca="1" si="224"/>
        <v>0</v>
      </c>
      <c r="Q986" s="12">
        <f t="shared" ca="1" si="225"/>
        <v>-415600</v>
      </c>
      <c r="R986" s="10">
        <f t="shared" ca="1" si="226"/>
        <v>0</v>
      </c>
      <c r="S986" s="10">
        <f t="shared" ca="1" si="216"/>
        <v>-0.60603142283245737</v>
      </c>
      <c r="T986" s="14">
        <f t="shared" ca="1" si="217"/>
        <v>-0.25754807578248845</v>
      </c>
      <c r="U986" s="12">
        <f t="shared" ca="1" si="227"/>
        <v>7900</v>
      </c>
      <c r="V986" s="14">
        <f t="shared" ca="1" si="228"/>
        <v>-5360.7594936708865</v>
      </c>
      <c r="W986" s="12">
        <f t="shared" ca="1" si="218"/>
        <v>-3653.1645569620255</v>
      </c>
      <c r="X986" s="7">
        <f ca="1">AVERAGE(E986:OFFSET(F986,-$X$5+1,0))</f>
        <v>10598.5</v>
      </c>
      <c r="Y986" s="7">
        <f ca="1">AVERAGE(E986:OFFSET(F986,-$Y$5+1,0))</f>
        <v>10539.35</v>
      </c>
      <c r="Z986" s="7">
        <f t="shared" ca="1" si="220"/>
        <v>0</v>
      </c>
    </row>
    <row r="987" spans="1:26">
      <c r="A987" s="3" t="s">
        <v>71</v>
      </c>
      <c r="B987" s="4">
        <v>43104</v>
      </c>
      <c r="C987" s="3">
        <v>10831</v>
      </c>
      <c r="D987" s="3">
        <v>10840</v>
      </c>
      <c r="E987" s="3">
        <v>10770</v>
      </c>
      <c r="F987" s="3">
        <v>10837</v>
      </c>
      <c r="G987" s="3">
        <v>119190</v>
      </c>
      <c r="H987" s="3">
        <v>1.0449999999999999</v>
      </c>
      <c r="I987" s="2">
        <f t="shared" si="229"/>
        <v>0</v>
      </c>
      <c r="J987" s="10">
        <f t="shared" si="231"/>
        <v>42</v>
      </c>
      <c r="K987" s="10">
        <f t="shared" si="230"/>
        <v>6</v>
      </c>
      <c r="L987" s="10">
        <f t="shared" ca="1" si="219"/>
        <v>0</v>
      </c>
      <c r="M987" s="10">
        <f t="shared" ca="1" si="221"/>
        <v>0</v>
      </c>
      <c r="N987" s="30">
        <f t="shared" ca="1" si="222"/>
        <v>0</v>
      </c>
      <c r="O987" s="10">
        <f t="shared" ca="1" si="223"/>
        <v>0</v>
      </c>
      <c r="P987" s="29">
        <f t="shared" ca="1" si="224"/>
        <v>0</v>
      </c>
      <c r="Q987" s="12">
        <f t="shared" ca="1" si="225"/>
        <v>-415600</v>
      </c>
      <c r="R987" s="10">
        <f t="shared" ca="1" si="226"/>
        <v>0</v>
      </c>
      <c r="S987" s="10">
        <f t="shared" ca="1" si="216"/>
        <v>-0.55650331563162092</v>
      </c>
      <c r="T987" s="14">
        <f t="shared" ca="1" si="217"/>
        <v>-0.2502425936471423</v>
      </c>
      <c r="U987" s="12">
        <f t="shared" ca="1" si="227"/>
        <v>7900</v>
      </c>
      <c r="V987" s="14">
        <f t="shared" ca="1" si="228"/>
        <v>-5360.7594936708865</v>
      </c>
      <c r="W987" s="12">
        <f t="shared" ca="1" si="218"/>
        <v>-3653.1645569620255</v>
      </c>
      <c r="X987" s="7">
        <f ca="1">AVERAGE(E987:OFFSET(F987,-$X$5+1,0))</f>
        <v>10672.3</v>
      </c>
      <c r="Y987" s="7">
        <f ca="1">AVERAGE(E987:OFFSET(F987,-$Y$5+1,0))</f>
        <v>10572</v>
      </c>
      <c r="Z987" s="7">
        <f t="shared" ca="1" si="220"/>
        <v>0</v>
      </c>
    </row>
    <row r="988" spans="1:26">
      <c r="A988" s="3" t="s">
        <v>71</v>
      </c>
      <c r="B988" s="4">
        <v>43105</v>
      </c>
      <c r="C988" s="3">
        <v>10838</v>
      </c>
      <c r="D988" s="3">
        <v>10867</v>
      </c>
      <c r="E988" s="3">
        <v>10801</v>
      </c>
      <c r="F988" s="3">
        <v>10857</v>
      </c>
      <c r="G988" s="3">
        <v>110637</v>
      </c>
      <c r="H988" s="3">
        <v>1.0449999999999999</v>
      </c>
      <c r="I988" s="2">
        <f t="shared" si="229"/>
        <v>0</v>
      </c>
      <c r="J988" s="10">
        <f t="shared" si="231"/>
        <v>1</v>
      </c>
      <c r="K988" s="10">
        <f t="shared" si="230"/>
        <v>19</v>
      </c>
      <c r="L988" s="10">
        <f t="shared" ca="1" si="219"/>
        <v>0</v>
      </c>
      <c r="M988" s="10">
        <f t="shared" ca="1" si="221"/>
        <v>0</v>
      </c>
      <c r="N988" s="30">
        <f t="shared" ca="1" si="222"/>
        <v>0</v>
      </c>
      <c r="O988" s="10">
        <f t="shared" ca="1" si="223"/>
        <v>0</v>
      </c>
      <c r="P988" s="29">
        <f t="shared" ca="1" si="224"/>
        <v>0</v>
      </c>
      <c r="Q988" s="12">
        <f t="shared" ca="1" si="225"/>
        <v>-415600</v>
      </c>
      <c r="R988" s="10">
        <f t="shared" ca="1" si="226"/>
        <v>0</v>
      </c>
      <c r="S988" s="10">
        <f t="shared" ca="1" si="216"/>
        <v>-0.43543460914068732</v>
      </c>
      <c r="T988" s="14">
        <f t="shared" ca="1" si="217"/>
        <v>-0.23409623690589298</v>
      </c>
      <c r="U988" s="12">
        <f t="shared" ca="1" si="227"/>
        <v>7900</v>
      </c>
      <c r="V988" s="14">
        <f t="shared" ca="1" si="228"/>
        <v>-5360.7594936708865</v>
      </c>
      <c r="W988" s="12">
        <f t="shared" ca="1" si="218"/>
        <v>-3653.1645569620255</v>
      </c>
      <c r="X988" s="7">
        <f ca="1">AVERAGE(E988:OFFSET(F988,-$X$5+1,0))</f>
        <v>10732.5</v>
      </c>
      <c r="Y988" s="7">
        <f ca="1">AVERAGE(E988:OFFSET(F988,-$Y$5+1,0))</f>
        <v>10606.3</v>
      </c>
      <c r="Z988" s="7">
        <f t="shared" ca="1" si="220"/>
        <v>0</v>
      </c>
    </row>
    <row r="989" spans="1:26">
      <c r="A989" s="3" t="s">
        <v>71</v>
      </c>
      <c r="B989" s="4">
        <v>43108</v>
      </c>
      <c r="C989" s="3">
        <v>10886</v>
      </c>
      <c r="D989" s="3">
        <v>10900</v>
      </c>
      <c r="E989" s="3">
        <v>10843</v>
      </c>
      <c r="F989" s="3">
        <v>10886</v>
      </c>
      <c r="G989" s="3">
        <v>106537</v>
      </c>
      <c r="H989" s="3">
        <v>1.0449999999999999</v>
      </c>
      <c r="I989" s="2">
        <f t="shared" si="229"/>
        <v>0</v>
      </c>
      <c r="J989" s="10">
        <f t="shared" si="231"/>
        <v>29</v>
      </c>
      <c r="K989" s="10">
        <f t="shared" si="230"/>
        <v>0</v>
      </c>
      <c r="L989" s="10">
        <f t="shared" ca="1" si="219"/>
        <v>0</v>
      </c>
      <c r="M989" s="10">
        <f t="shared" ca="1" si="221"/>
        <v>0</v>
      </c>
      <c r="N989" s="30">
        <f t="shared" ca="1" si="222"/>
        <v>0</v>
      </c>
      <c r="O989" s="10">
        <f t="shared" ca="1" si="223"/>
        <v>0</v>
      </c>
      <c r="P989" s="29">
        <f t="shared" ca="1" si="224"/>
        <v>0</v>
      </c>
      <c r="Q989" s="12">
        <f t="shared" ca="1" si="225"/>
        <v>-415600</v>
      </c>
      <c r="R989" s="10">
        <f t="shared" ca="1" si="226"/>
        <v>0</v>
      </c>
      <c r="S989" s="10">
        <f t="shared" ca="1" si="216"/>
        <v>-0.51110255069752086</v>
      </c>
      <c r="T989" s="14">
        <f t="shared" ca="1" si="217"/>
        <v>-0.24607869972742397</v>
      </c>
      <c r="U989" s="12">
        <f t="shared" ca="1" si="227"/>
        <v>7900</v>
      </c>
      <c r="V989" s="14">
        <f t="shared" ca="1" si="228"/>
        <v>-5360.7594936708865</v>
      </c>
      <c r="W989" s="12">
        <f t="shared" ca="1" si="218"/>
        <v>-3653.1645569620255</v>
      </c>
      <c r="X989" s="7">
        <f ca="1">AVERAGE(E989:OFFSET(F989,-$X$5+1,0))</f>
        <v>10784.2</v>
      </c>
      <c r="Y989" s="7">
        <f ca="1">AVERAGE(E989:OFFSET(F989,-$Y$5+1,0))</f>
        <v>10642.35</v>
      </c>
      <c r="Z989" s="7">
        <f t="shared" ca="1" si="220"/>
        <v>0</v>
      </c>
    </row>
    <row r="990" spans="1:26">
      <c r="A990" s="3" t="s">
        <v>71</v>
      </c>
      <c r="B990" s="4">
        <v>43109</v>
      </c>
      <c r="C990" s="3">
        <v>10889</v>
      </c>
      <c r="D990" s="3">
        <v>10909</v>
      </c>
      <c r="E990" s="3">
        <v>10850</v>
      </c>
      <c r="F990" s="3">
        <v>10881</v>
      </c>
      <c r="G990" s="3">
        <v>97025</v>
      </c>
      <c r="H990" s="3">
        <v>1.0449999999999999</v>
      </c>
      <c r="I990" s="2">
        <f t="shared" si="229"/>
        <v>0</v>
      </c>
      <c r="J990" s="10">
        <f t="shared" si="231"/>
        <v>3</v>
      </c>
      <c r="K990" s="10">
        <f t="shared" si="230"/>
        <v>-8</v>
      </c>
      <c r="L990" s="10">
        <f t="shared" ca="1" si="219"/>
        <v>0</v>
      </c>
      <c r="M990" s="10">
        <f t="shared" ca="1" si="221"/>
        <v>0</v>
      </c>
      <c r="N990" s="30">
        <f t="shared" ca="1" si="222"/>
        <v>0</v>
      </c>
      <c r="O990" s="10">
        <f t="shared" ca="1" si="223"/>
        <v>0</v>
      </c>
      <c r="P990" s="29">
        <f t="shared" ca="1" si="224"/>
        <v>0</v>
      </c>
      <c r="Q990" s="12">
        <f t="shared" ca="1" si="225"/>
        <v>-415600</v>
      </c>
      <c r="R990" s="10">
        <f t="shared" ca="1" si="226"/>
        <v>0</v>
      </c>
      <c r="S990" s="10">
        <f t="shared" ca="1" si="216"/>
        <v>-0.50078419503067995</v>
      </c>
      <c r="T990" s="14">
        <f t="shared" ca="1" si="217"/>
        <v>-0.24818168219888545</v>
      </c>
      <c r="U990" s="12">
        <f t="shared" ca="1" si="227"/>
        <v>7900</v>
      </c>
      <c r="V990" s="14">
        <f t="shared" ca="1" si="228"/>
        <v>-5360.7594936708865</v>
      </c>
      <c r="W990" s="12">
        <f t="shared" ca="1" si="218"/>
        <v>-3653.1645569620255</v>
      </c>
      <c r="X990" s="7">
        <f ca="1">AVERAGE(E990:OFFSET(F990,-$X$5+1,0))</f>
        <v>10824.3</v>
      </c>
      <c r="Y990" s="7">
        <f ca="1">AVERAGE(E990:OFFSET(F990,-$Y$5+1,0))</f>
        <v>10676.6</v>
      </c>
      <c r="Z990" s="7">
        <f t="shared" ca="1" si="220"/>
        <v>0</v>
      </c>
    </row>
    <row r="991" spans="1:26">
      <c r="A991" s="3" t="s">
        <v>71</v>
      </c>
      <c r="B991" s="4">
        <v>43110</v>
      </c>
      <c r="C991" s="3">
        <v>10885</v>
      </c>
      <c r="D991" s="3">
        <v>10904</v>
      </c>
      <c r="E991" s="3">
        <v>10806</v>
      </c>
      <c r="F991" s="3">
        <v>10809</v>
      </c>
      <c r="G991" s="3">
        <v>132570</v>
      </c>
      <c r="H991" s="3">
        <v>1.0449999999999999</v>
      </c>
      <c r="I991" s="2">
        <f t="shared" si="229"/>
        <v>0</v>
      </c>
      <c r="J991" s="10">
        <f t="shared" si="231"/>
        <v>4</v>
      </c>
      <c r="K991" s="10">
        <f t="shared" si="230"/>
        <v>-76</v>
      </c>
      <c r="L991" s="10">
        <f t="shared" ca="1" si="219"/>
        <v>0</v>
      </c>
      <c r="M991" s="10">
        <f t="shared" ca="1" si="221"/>
        <v>0</v>
      </c>
      <c r="N991" s="30">
        <f t="shared" ca="1" si="222"/>
        <v>0</v>
      </c>
      <c r="O991" s="10">
        <f t="shared" ca="1" si="223"/>
        <v>0</v>
      </c>
      <c r="P991" s="29">
        <f t="shared" ca="1" si="224"/>
        <v>0</v>
      </c>
      <c r="Q991" s="12">
        <f t="shared" ca="1" si="225"/>
        <v>-415600</v>
      </c>
      <c r="R991" s="10">
        <f t="shared" ca="1" si="226"/>
        <v>0</v>
      </c>
      <c r="S991" s="10">
        <f t="shared" ca="1" si="216"/>
        <v>-0.50078419503067995</v>
      </c>
      <c r="T991" s="14">
        <f t="shared" ca="1" si="217"/>
        <v>-0.24818275268655415</v>
      </c>
      <c r="U991" s="12">
        <f t="shared" ca="1" si="227"/>
        <v>7900</v>
      </c>
      <c r="V991" s="14">
        <f t="shared" ca="1" si="228"/>
        <v>-5360.7594936708865</v>
      </c>
      <c r="W991" s="12">
        <f t="shared" ca="1" si="218"/>
        <v>-3653.1645569620255</v>
      </c>
      <c r="X991" s="7">
        <f ca="1">AVERAGE(E991:OFFSET(F991,-$X$5+1,0))</f>
        <v>10834</v>
      </c>
      <c r="Y991" s="7">
        <f ca="1">AVERAGE(E991:OFFSET(F991,-$Y$5+1,0))</f>
        <v>10716.25</v>
      </c>
      <c r="Z991" s="7">
        <f t="shared" ca="1" si="220"/>
        <v>0</v>
      </c>
    </row>
    <row r="992" spans="1:26">
      <c r="A992" s="3" t="s">
        <v>71</v>
      </c>
      <c r="B992" s="4">
        <v>43111</v>
      </c>
      <c r="C992" s="3">
        <v>10808</v>
      </c>
      <c r="D992" s="3">
        <v>10834</v>
      </c>
      <c r="E992" s="3">
        <v>10765</v>
      </c>
      <c r="F992" s="3">
        <v>10801</v>
      </c>
      <c r="G992" s="3">
        <v>135869</v>
      </c>
      <c r="H992" s="3">
        <v>1.0449999999999999</v>
      </c>
      <c r="I992" s="2">
        <f t="shared" si="229"/>
        <v>0</v>
      </c>
      <c r="J992" s="10">
        <f t="shared" si="231"/>
        <v>-1</v>
      </c>
      <c r="K992" s="10">
        <f t="shared" si="230"/>
        <v>-7</v>
      </c>
      <c r="L992" s="10">
        <f t="shared" ca="1" si="219"/>
        <v>0</v>
      </c>
      <c r="M992" s="10">
        <f t="shared" ca="1" si="221"/>
        <v>0</v>
      </c>
      <c r="N992" s="30">
        <f t="shared" ca="1" si="222"/>
        <v>0</v>
      </c>
      <c r="O992" s="10">
        <f t="shared" ca="1" si="223"/>
        <v>0</v>
      </c>
      <c r="P992" s="29">
        <f t="shared" ca="1" si="224"/>
        <v>0</v>
      </c>
      <c r="Q992" s="12">
        <f t="shared" ca="1" si="225"/>
        <v>-415600</v>
      </c>
      <c r="R992" s="10">
        <f t="shared" ca="1" si="226"/>
        <v>0</v>
      </c>
      <c r="S992" s="10">
        <f t="shared" ca="1" si="216"/>
        <v>-0.43268304762952975</v>
      </c>
      <c r="T992" s="14">
        <f t="shared" ca="1" si="217"/>
        <v>-0.24094361519888829</v>
      </c>
      <c r="U992" s="12">
        <f t="shared" ca="1" si="227"/>
        <v>7900</v>
      </c>
      <c r="V992" s="14">
        <f t="shared" ca="1" si="228"/>
        <v>-5360.7594936708865</v>
      </c>
      <c r="W992" s="12">
        <f t="shared" ca="1" si="218"/>
        <v>-3653.1645569620255</v>
      </c>
      <c r="X992" s="7">
        <f ca="1">AVERAGE(E992:OFFSET(F992,-$X$5+1,0))</f>
        <v>10829.9</v>
      </c>
      <c r="Y992" s="7">
        <f ca="1">AVERAGE(E992:OFFSET(F992,-$Y$5+1,0))</f>
        <v>10751.1</v>
      </c>
      <c r="Z992" s="7">
        <f t="shared" ca="1" si="220"/>
        <v>0</v>
      </c>
    </row>
    <row r="993" spans="1:26">
      <c r="A993" s="3" t="s">
        <v>71</v>
      </c>
      <c r="B993" s="4">
        <v>43112</v>
      </c>
      <c r="C993" s="3">
        <v>10824</v>
      </c>
      <c r="D993" s="3">
        <v>10898</v>
      </c>
      <c r="E993" s="3">
        <v>10818</v>
      </c>
      <c r="F993" s="3">
        <v>10876</v>
      </c>
      <c r="G993" s="3">
        <v>124266</v>
      </c>
      <c r="H993" s="3">
        <v>1.0449999999999999</v>
      </c>
      <c r="I993" s="2">
        <f t="shared" si="229"/>
        <v>0</v>
      </c>
      <c r="J993" s="10">
        <f t="shared" si="231"/>
        <v>23</v>
      </c>
      <c r="K993" s="10">
        <f t="shared" si="230"/>
        <v>52</v>
      </c>
      <c r="L993" s="10">
        <f t="shared" ca="1" si="219"/>
        <v>0</v>
      </c>
      <c r="M993" s="10">
        <f t="shared" ca="1" si="221"/>
        <v>0</v>
      </c>
      <c r="N993" s="30">
        <f t="shared" ca="1" si="222"/>
        <v>0</v>
      </c>
      <c r="O993" s="10">
        <f t="shared" ca="1" si="223"/>
        <v>0</v>
      </c>
      <c r="P993" s="29">
        <f t="shared" ca="1" si="224"/>
        <v>0</v>
      </c>
      <c r="Q993" s="12">
        <f t="shared" ca="1" si="225"/>
        <v>-415600</v>
      </c>
      <c r="R993" s="10">
        <f t="shared" ca="1" si="226"/>
        <v>0</v>
      </c>
      <c r="S993" s="10">
        <f t="shared" ca="1" si="216"/>
        <v>-0.32674792944996284</v>
      </c>
      <c r="T993" s="14">
        <f t="shared" ca="1" si="217"/>
        <v>-0.22386008304503202</v>
      </c>
      <c r="U993" s="12">
        <f t="shared" ca="1" si="227"/>
        <v>7900</v>
      </c>
      <c r="V993" s="14">
        <f t="shared" ca="1" si="228"/>
        <v>-5360.7594936708865</v>
      </c>
      <c r="W993" s="12">
        <f t="shared" ca="1" si="218"/>
        <v>-3653.1645569620255</v>
      </c>
      <c r="X993" s="7">
        <f ca="1">AVERAGE(E993:OFFSET(F993,-$X$5+1,0))</f>
        <v>10833.5</v>
      </c>
      <c r="Y993" s="7">
        <f ca="1">AVERAGE(E993:OFFSET(F993,-$Y$5+1,0))</f>
        <v>10783</v>
      </c>
      <c r="Z993" s="7">
        <f t="shared" ca="1" si="220"/>
        <v>0</v>
      </c>
    </row>
    <row r="994" spans="1:26">
      <c r="A994" s="3" t="s">
        <v>71</v>
      </c>
      <c r="B994" s="4">
        <v>43115</v>
      </c>
      <c r="C994" s="3">
        <v>10930</v>
      </c>
      <c r="D994" s="3">
        <v>10958</v>
      </c>
      <c r="E994" s="3">
        <v>10902</v>
      </c>
      <c r="F994" s="3">
        <v>10955</v>
      </c>
      <c r="G994" s="3">
        <v>134712</v>
      </c>
      <c r="H994" s="3">
        <v>1.0449999999999999</v>
      </c>
      <c r="I994" s="2">
        <f t="shared" si="229"/>
        <v>0</v>
      </c>
      <c r="J994" s="10">
        <f t="shared" si="231"/>
        <v>54</v>
      </c>
      <c r="K994" s="10">
        <f t="shared" si="230"/>
        <v>25</v>
      </c>
      <c r="L994" s="10">
        <f t="shared" ca="1" si="219"/>
        <v>0</v>
      </c>
      <c r="M994" s="10">
        <f t="shared" ca="1" si="221"/>
        <v>0</v>
      </c>
      <c r="N994" s="30">
        <f t="shared" ca="1" si="222"/>
        <v>0</v>
      </c>
      <c r="O994" s="10">
        <f t="shared" ca="1" si="223"/>
        <v>0</v>
      </c>
      <c r="P994" s="29">
        <f t="shared" ca="1" si="224"/>
        <v>0</v>
      </c>
      <c r="Q994" s="12">
        <f t="shared" ca="1" si="225"/>
        <v>-415600</v>
      </c>
      <c r="R994" s="10">
        <f t="shared" ca="1" si="226"/>
        <v>0</v>
      </c>
      <c r="S994" s="10">
        <f t="shared" ca="1" si="216"/>
        <v>-0.27309247998239</v>
      </c>
      <c r="T994" s="14">
        <f t="shared" ca="1" si="217"/>
        <v>-0.2154470384058495</v>
      </c>
      <c r="U994" s="12">
        <f t="shared" ca="1" si="227"/>
        <v>7900</v>
      </c>
      <c r="V994" s="14">
        <f t="shared" ca="1" si="228"/>
        <v>-5360.7594936708865</v>
      </c>
      <c r="W994" s="12">
        <f t="shared" ca="1" si="218"/>
        <v>-3653.1645569620255</v>
      </c>
      <c r="X994" s="7">
        <f ca="1">AVERAGE(E994:OFFSET(F994,-$X$5+1,0))</f>
        <v>10846.3</v>
      </c>
      <c r="Y994" s="7">
        <f ca="1">AVERAGE(E994:OFFSET(F994,-$Y$5+1,0))</f>
        <v>10815.25</v>
      </c>
      <c r="Z994" s="7">
        <f t="shared" ca="1" si="220"/>
        <v>0</v>
      </c>
    </row>
    <row r="995" spans="1:26">
      <c r="A995" s="3" t="s">
        <v>71</v>
      </c>
      <c r="B995" s="4">
        <v>43116</v>
      </c>
      <c r="C995" s="3">
        <v>10939</v>
      </c>
      <c r="D995" s="3">
        <v>10986</v>
      </c>
      <c r="E995" s="3">
        <v>10918</v>
      </c>
      <c r="F995" s="3">
        <v>10983</v>
      </c>
      <c r="G995" s="3">
        <v>118376</v>
      </c>
      <c r="H995" s="3">
        <v>1.0449999999999999</v>
      </c>
      <c r="I995" s="2">
        <f t="shared" si="229"/>
        <v>0</v>
      </c>
      <c r="J995" s="10">
        <f t="shared" si="231"/>
        <v>-16</v>
      </c>
      <c r="K995" s="10">
        <f t="shared" si="230"/>
        <v>44</v>
      </c>
      <c r="L995" s="10">
        <f t="shared" ca="1" si="219"/>
        <v>0</v>
      </c>
      <c r="M995" s="10">
        <f t="shared" ca="1" si="221"/>
        <v>0</v>
      </c>
      <c r="N995" s="30">
        <f t="shared" ca="1" si="222"/>
        <v>0</v>
      </c>
      <c r="O995" s="10">
        <f t="shared" ca="1" si="223"/>
        <v>0</v>
      </c>
      <c r="P995" s="29">
        <f t="shared" ca="1" si="224"/>
        <v>0</v>
      </c>
      <c r="Q995" s="12">
        <f t="shared" ca="1" si="225"/>
        <v>-415600</v>
      </c>
      <c r="R995" s="10">
        <f t="shared" ca="1" si="226"/>
        <v>0</v>
      </c>
      <c r="S995" s="10">
        <f t="shared" ca="1" si="216"/>
        <v>-0.19536086729218832</v>
      </c>
      <c r="T995" s="14">
        <f t="shared" ca="1" si="217"/>
        <v>-0.20291374029257603</v>
      </c>
      <c r="U995" s="12">
        <f t="shared" ca="1" si="227"/>
        <v>7900</v>
      </c>
      <c r="V995" s="14">
        <f t="shared" ca="1" si="228"/>
        <v>-5360.7594936708865</v>
      </c>
      <c r="W995" s="12">
        <f t="shared" ca="1" si="218"/>
        <v>-3653.1645569620255</v>
      </c>
      <c r="X995" s="7">
        <f ca="1">AVERAGE(E995:OFFSET(F995,-$X$5+1,0))</f>
        <v>10863.3</v>
      </c>
      <c r="Y995" s="7">
        <f ca="1">AVERAGE(E995:OFFSET(F995,-$Y$5+1,0))</f>
        <v>10843.8</v>
      </c>
      <c r="Z995" s="7">
        <f t="shared" ca="1" si="220"/>
        <v>0</v>
      </c>
    </row>
    <row r="996" spans="1:26">
      <c r="A996" s="3" t="s">
        <v>71</v>
      </c>
      <c r="B996" s="4">
        <v>43117</v>
      </c>
      <c r="C996" s="3">
        <v>10955</v>
      </c>
      <c r="D996" s="3">
        <v>11024</v>
      </c>
      <c r="E996" s="3">
        <v>10940</v>
      </c>
      <c r="F996" s="3">
        <v>11020</v>
      </c>
      <c r="G996" s="3">
        <v>85210</v>
      </c>
      <c r="H996" s="3">
        <v>1.0449999999999999</v>
      </c>
      <c r="I996" s="2">
        <f t="shared" si="229"/>
        <v>1</v>
      </c>
      <c r="J996" s="10">
        <f t="shared" si="231"/>
        <v>-28</v>
      </c>
      <c r="K996" s="10">
        <f t="shared" si="230"/>
        <v>65</v>
      </c>
      <c r="L996" s="10">
        <f t="shared" ca="1" si="219"/>
        <v>0</v>
      </c>
      <c r="M996" s="10">
        <f t="shared" si="221"/>
        <v>0</v>
      </c>
      <c r="N996" s="30">
        <f t="shared" si="222"/>
        <v>0</v>
      </c>
      <c r="O996" s="10">
        <f t="shared" si="223"/>
        <v>0</v>
      </c>
      <c r="P996" s="29">
        <f t="shared" ca="1" si="224"/>
        <v>0</v>
      </c>
      <c r="Q996" s="12">
        <f t="shared" ca="1" si="225"/>
        <v>-415600</v>
      </c>
      <c r="R996" s="10">
        <f t="shared" ca="1" si="226"/>
        <v>0</v>
      </c>
      <c r="S996" s="10">
        <f t="shared" ca="1" si="216"/>
        <v>-0.19536086729218832</v>
      </c>
      <c r="T996" s="14">
        <f t="shared" ca="1" si="217"/>
        <v>-0.20292539335915613</v>
      </c>
      <c r="U996" s="12">
        <f t="shared" ca="1" si="227"/>
        <v>7900</v>
      </c>
      <c r="V996" s="14">
        <f t="shared" ca="1" si="228"/>
        <v>-5360.7594936708865</v>
      </c>
      <c r="W996" s="12">
        <f t="shared" ca="1" si="218"/>
        <v>-3653.1645569620255</v>
      </c>
      <c r="X996" s="7">
        <f ca="1">AVERAGE(E996:OFFSET(F996,-$X$5+1,0))</f>
        <v>10897.8</v>
      </c>
      <c r="Y996" s="7">
        <f ca="1">AVERAGE(E996:OFFSET(F996,-$Y$5+1,0))</f>
        <v>10865.9</v>
      </c>
      <c r="Z996" s="7">
        <f t="shared" ca="1" si="220"/>
        <v>0</v>
      </c>
    </row>
    <row r="997" spans="1:26">
      <c r="A997" s="3" t="s">
        <v>72</v>
      </c>
      <c r="B997" s="4">
        <v>43118</v>
      </c>
      <c r="C997" s="3">
        <v>11063</v>
      </c>
      <c r="D997" s="3">
        <v>11137</v>
      </c>
      <c r="E997" s="3">
        <v>11036</v>
      </c>
      <c r="F997" s="3">
        <v>11054</v>
      </c>
      <c r="G997" s="3">
        <v>179169</v>
      </c>
      <c r="H997" s="3">
        <v>1.0449999999999999</v>
      </c>
      <c r="I997" s="2">
        <f t="shared" si="229"/>
        <v>0</v>
      </c>
      <c r="J997" s="10">
        <f t="shared" si="231"/>
        <v>43</v>
      </c>
      <c r="K997" s="10">
        <f t="shared" si="230"/>
        <v>-9</v>
      </c>
      <c r="L997" s="10">
        <f t="shared" ca="1" si="219"/>
        <v>0</v>
      </c>
      <c r="M997" s="10">
        <f t="shared" ca="1" si="221"/>
        <v>0</v>
      </c>
      <c r="N997" s="30">
        <f t="shared" ca="1" si="222"/>
        <v>0</v>
      </c>
      <c r="O997" s="10">
        <f t="shared" ca="1" si="223"/>
        <v>0</v>
      </c>
      <c r="P997" s="29">
        <f t="shared" ca="1" si="224"/>
        <v>0</v>
      </c>
      <c r="Q997" s="12">
        <f t="shared" ca="1" si="225"/>
        <v>-415600</v>
      </c>
      <c r="R997" s="10">
        <f t="shared" ca="1" si="226"/>
        <v>0</v>
      </c>
      <c r="S997" s="10">
        <f t="shared" ca="1" si="216"/>
        <v>-0.19536086729218832</v>
      </c>
      <c r="T997" s="14">
        <f t="shared" ca="1" si="217"/>
        <v>-0.20292485550538075</v>
      </c>
      <c r="U997" s="12">
        <f t="shared" ca="1" si="227"/>
        <v>7900</v>
      </c>
      <c r="V997" s="14">
        <f t="shared" ca="1" si="228"/>
        <v>-5360.7594936708865</v>
      </c>
      <c r="W997" s="12">
        <f t="shared" ca="1" si="218"/>
        <v>-3653.1645569620255</v>
      </c>
      <c r="X997" s="7">
        <f ca="1">AVERAGE(E997:OFFSET(F997,-$X$5+1,0))</f>
        <v>10950.2</v>
      </c>
      <c r="Y997" s="7">
        <f ca="1">AVERAGE(E997:OFFSET(F997,-$Y$5+1,0))</f>
        <v>10890.05</v>
      </c>
      <c r="Z997" s="7">
        <f t="shared" ca="1" si="220"/>
        <v>0</v>
      </c>
    </row>
    <row r="998" spans="1:26">
      <c r="A998" s="3" t="s">
        <v>72</v>
      </c>
      <c r="B998" s="4">
        <v>43119</v>
      </c>
      <c r="C998" s="3">
        <v>11096</v>
      </c>
      <c r="D998" s="3">
        <v>11142</v>
      </c>
      <c r="E998" s="3">
        <v>11080</v>
      </c>
      <c r="F998" s="3">
        <v>11139</v>
      </c>
      <c r="G998" s="3">
        <v>106496</v>
      </c>
      <c r="H998" s="3">
        <v>1.0449999999999999</v>
      </c>
      <c r="I998" s="2">
        <f t="shared" si="229"/>
        <v>0</v>
      </c>
      <c r="J998" s="10">
        <f t="shared" si="231"/>
        <v>42</v>
      </c>
      <c r="K998" s="10">
        <f t="shared" si="230"/>
        <v>43</v>
      </c>
      <c r="L998" s="10">
        <f t="shared" ca="1" si="219"/>
        <v>0</v>
      </c>
      <c r="M998" s="10">
        <f t="shared" ca="1" si="221"/>
        <v>0</v>
      </c>
      <c r="N998" s="30">
        <f t="shared" ca="1" si="222"/>
        <v>0</v>
      </c>
      <c r="O998" s="10">
        <f t="shared" ca="1" si="223"/>
        <v>0</v>
      </c>
      <c r="P998" s="29">
        <f t="shared" ca="1" si="224"/>
        <v>0</v>
      </c>
      <c r="Q998" s="12">
        <f t="shared" ca="1" si="225"/>
        <v>-415600</v>
      </c>
      <c r="R998" s="10">
        <f t="shared" ca="1" si="226"/>
        <v>0</v>
      </c>
      <c r="S998" s="10">
        <f t="shared" ca="1" si="216"/>
        <v>-0.19536086729218832</v>
      </c>
      <c r="T998" s="14">
        <f t="shared" ca="1" si="217"/>
        <v>-0.20379397016717207</v>
      </c>
      <c r="U998" s="12">
        <f t="shared" ca="1" si="227"/>
        <v>7900</v>
      </c>
      <c r="V998" s="14">
        <f t="shared" ca="1" si="228"/>
        <v>-5360.7594936708865</v>
      </c>
      <c r="W998" s="12">
        <f t="shared" ca="1" si="218"/>
        <v>-3653.1645569620255</v>
      </c>
      <c r="X998" s="7">
        <f ca="1">AVERAGE(E998:OFFSET(F998,-$X$5+1,0))</f>
        <v>11002.7</v>
      </c>
      <c r="Y998" s="7">
        <f ca="1">AVERAGE(E998:OFFSET(F998,-$Y$5+1,0))</f>
        <v>10918.1</v>
      </c>
      <c r="Z998" s="7">
        <f t="shared" ca="1" si="220"/>
        <v>0</v>
      </c>
    </row>
    <row r="999" spans="1:26">
      <c r="A999" s="3" t="s">
        <v>72</v>
      </c>
      <c r="B999" s="4">
        <v>43122</v>
      </c>
      <c r="C999" s="3">
        <v>11136</v>
      </c>
      <c r="D999" s="3">
        <v>11225</v>
      </c>
      <c r="E999" s="3">
        <v>11113</v>
      </c>
      <c r="F999" s="3">
        <v>11222</v>
      </c>
      <c r="G999" s="3">
        <v>139799</v>
      </c>
      <c r="H999" s="3">
        <v>1.0449999999999999</v>
      </c>
      <c r="I999" s="2">
        <f t="shared" si="229"/>
        <v>0</v>
      </c>
      <c r="J999" s="10">
        <f t="shared" si="231"/>
        <v>-3</v>
      </c>
      <c r="K999" s="10">
        <f t="shared" si="230"/>
        <v>86</v>
      </c>
      <c r="L999" s="10">
        <f t="shared" ca="1" si="219"/>
        <v>0</v>
      </c>
      <c r="M999" s="10">
        <f t="shared" ca="1" si="221"/>
        <v>0</v>
      </c>
      <c r="N999" s="30">
        <f t="shared" ca="1" si="222"/>
        <v>0</v>
      </c>
      <c r="O999" s="10">
        <f t="shared" ca="1" si="223"/>
        <v>0</v>
      </c>
      <c r="P999" s="29">
        <f t="shared" ca="1" si="224"/>
        <v>0</v>
      </c>
      <c r="Q999" s="12">
        <f t="shared" ca="1" si="225"/>
        <v>-415600</v>
      </c>
      <c r="R999" s="10">
        <f t="shared" ca="1" si="226"/>
        <v>0</v>
      </c>
      <c r="S999" s="10">
        <f t="shared" ca="1" si="216"/>
        <v>-0.19536086729218832</v>
      </c>
      <c r="T999" s="14">
        <f t="shared" ca="1" si="217"/>
        <v>-0.20503838953961762</v>
      </c>
      <c r="U999" s="12">
        <f t="shared" ca="1" si="227"/>
        <v>7900</v>
      </c>
      <c r="V999" s="14">
        <f t="shared" ca="1" si="228"/>
        <v>-5360.7594936708865</v>
      </c>
      <c r="W999" s="12">
        <f t="shared" ca="1" si="218"/>
        <v>-3653.1645569620255</v>
      </c>
      <c r="X999" s="7">
        <f ca="1">AVERAGE(E999:OFFSET(F999,-$X$5+1,0))</f>
        <v>11050.5</v>
      </c>
      <c r="Y999" s="7">
        <f ca="1">AVERAGE(E999:OFFSET(F999,-$Y$5+1,0))</f>
        <v>10948.4</v>
      </c>
      <c r="Z999" s="7">
        <f t="shared" ca="1" si="220"/>
        <v>0</v>
      </c>
    </row>
    <row r="1000" spans="1:26">
      <c r="A1000" s="3" t="s">
        <v>72</v>
      </c>
      <c r="B1000" s="4">
        <v>43123</v>
      </c>
      <c r="C1000" s="3">
        <v>11241</v>
      </c>
      <c r="D1000" s="3">
        <v>11253</v>
      </c>
      <c r="E1000" s="3">
        <v>11181</v>
      </c>
      <c r="F1000" s="3">
        <v>11225</v>
      </c>
      <c r="G1000" s="3">
        <v>152547</v>
      </c>
      <c r="H1000" s="3">
        <v>1.0449999999999999</v>
      </c>
      <c r="I1000" s="2">
        <f t="shared" si="229"/>
        <v>0</v>
      </c>
      <c r="J1000" s="10">
        <f t="shared" si="231"/>
        <v>19</v>
      </c>
      <c r="K1000" s="10">
        <f t="shared" si="230"/>
        <v>-16</v>
      </c>
      <c r="L1000" s="10">
        <f t="shared" ca="1" si="219"/>
        <v>0</v>
      </c>
      <c r="M1000" s="10">
        <f t="shared" ca="1" si="221"/>
        <v>0</v>
      </c>
      <c r="N1000" s="30">
        <f t="shared" ca="1" si="222"/>
        <v>0</v>
      </c>
      <c r="O1000" s="10">
        <f t="shared" ca="1" si="223"/>
        <v>0</v>
      </c>
      <c r="P1000" s="29">
        <f t="shared" ca="1" si="224"/>
        <v>0</v>
      </c>
      <c r="Q1000" s="12">
        <f t="shared" ca="1" si="225"/>
        <v>-415600</v>
      </c>
      <c r="R1000" s="10">
        <f t="shared" ca="1" si="226"/>
        <v>0</v>
      </c>
      <c r="S1000" s="10">
        <f t="shared" ca="1" si="216"/>
        <v>-0.19536086729218832</v>
      </c>
      <c r="T1000" s="14">
        <f t="shared" ca="1" si="217"/>
        <v>-0.20510558710452198</v>
      </c>
      <c r="U1000" s="12">
        <f t="shared" ca="1" si="227"/>
        <v>7900</v>
      </c>
      <c r="V1000" s="14">
        <f t="shared" ca="1" si="228"/>
        <v>-5360.7594936708865</v>
      </c>
      <c r="W1000" s="12">
        <f t="shared" ca="1" si="218"/>
        <v>-3653.1645569620255</v>
      </c>
      <c r="X1000" s="7">
        <f ca="1">AVERAGE(E1000:OFFSET(F1000,-$X$5+1,0))</f>
        <v>11101</v>
      </c>
      <c r="Y1000" s="7">
        <f ca="1">AVERAGE(E1000:OFFSET(F1000,-$Y$5+1,0))</f>
        <v>10982.15</v>
      </c>
      <c r="Z1000" s="7">
        <f t="shared" ca="1" si="220"/>
        <v>0</v>
      </c>
    </row>
    <row r="1001" spans="1:26">
      <c r="A1001" s="3" t="s">
        <v>72</v>
      </c>
      <c r="B1001" s="4">
        <v>43124</v>
      </c>
      <c r="C1001" s="3">
        <v>11199</v>
      </c>
      <c r="D1001" s="3">
        <v>11203</v>
      </c>
      <c r="E1001" s="3">
        <v>11090</v>
      </c>
      <c r="F1001" s="3">
        <v>11126</v>
      </c>
      <c r="G1001" s="3">
        <v>171874</v>
      </c>
      <c r="H1001" s="3">
        <v>1.0449999999999999</v>
      </c>
      <c r="I1001" s="2">
        <f t="shared" si="229"/>
        <v>0</v>
      </c>
      <c r="J1001" s="10">
        <f t="shared" si="231"/>
        <v>-26</v>
      </c>
      <c r="K1001" s="10">
        <f t="shared" si="230"/>
        <v>-73</v>
      </c>
      <c r="L1001" s="10">
        <f t="shared" ca="1" si="219"/>
        <v>0</v>
      </c>
      <c r="M1001" s="10">
        <f t="shared" ca="1" si="221"/>
        <v>0</v>
      </c>
      <c r="N1001" s="30">
        <f t="shared" ca="1" si="222"/>
        <v>0</v>
      </c>
      <c r="O1001" s="10">
        <f t="shared" ca="1" si="223"/>
        <v>0</v>
      </c>
      <c r="P1001" s="29">
        <f t="shared" ca="1" si="224"/>
        <v>0</v>
      </c>
      <c r="Q1001" s="12">
        <f t="shared" ca="1" si="225"/>
        <v>-415600</v>
      </c>
      <c r="R1001" s="10">
        <f t="shared" ca="1" si="226"/>
        <v>0</v>
      </c>
      <c r="S1001" s="10">
        <f t="shared" ca="1" si="216"/>
        <v>-0.19536086729218832</v>
      </c>
      <c r="T1001" s="14">
        <f t="shared" ca="1" si="217"/>
        <v>-0.20510531085478628</v>
      </c>
      <c r="U1001" s="12">
        <f t="shared" ca="1" si="227"/>
        <v>7900</v>
      </c>
      <c r="V1001" s="14">
        <f t="shared" ca="1" si="228"/>
        <v>-5360.7594936708865</v>
      </c>
      <c r="W1001" s="12">
        <f t="shared" ca="1" si="218"/>
        <v>-3653.1645569620255</v>
      </c>
      <c r="X1001" s="7">
        <f ca="1">AVERAGE(E1001:OFFSET(F1001,-$X$5+1,0))</f>
        <v>11126.6</v>
      </c>
      <c r="Y1001" s="7">
        <f ca="1">AVERAGE(E1001:OFFSET(F1001,-$Y$5+1,0))</f>
        <v>11012.2</v>
      </c>
      <c r="Z1001" s="7">
        <f t="shared" ca="1" si="220"/>
        <v>0</v>
      </c>
    </row>
    <row r="1002" spans="1:26">
      <c r="A1002" s="3" t="s">
        <v>72</v>
      </c>
      <c r="B1002" s="4">
        <v>43125</v>
      </c>
      <c r="C1002" s="3">
        <v>11117</v>
      </c>
      <c r="D1002" s="3">
        <v>11271</v>
      </c>
      <c r="E1002" s="3">
        <v>11116</v>
      </c>
      <c r="F1002" s="3">
        <v>11154</v>
      </c>
      <c r="G1002" s="3">
        <v>207680</v>
      </c>
      <c r="H1002" s="3">
        <v>1.0449999999999999</v>
      </c>
      <c r="I1002" s="2">
        <f t="shared" si="229"/>
        <v>0</v>
      </c>
      <c r="J1002" s="10">
        <f t="shared" si="231"/>
        <v>-9</v>
      </c>
      <c r="K1002" s="10">
        <f t="shared" si="230"/>
        <v>37</v>
      </c>
      <c r="L1002" s="10">
        <f t="shared" ca="1" si="219"/>
        <v>0</v>
      </c>
      <c r="M1002" s="10">
        <f t="shared" ca="1" si="221"/>
        <v>0</v>
      </c>
      <c r="N1002" s="30">
        <f t="shared" ca="1" si="222"/>
        <v>0</v>
      </c>
      <c r="O1002" s="10">
        <f t="shared" ca="1" si="223"/>
        <v>0</v>
      </c>
      <c r="P1002" s="29">
        <f t="shared" ca="1" si="224"/>
        <v>0</v>
      </c>
      <c r="Q1002" s="12">
        <f t="shared" ca="1" si="225"/>
        <v>-415600</v>
      </c>
      <c r="R1002" s="10">
        <f t="shared" ca="1" si="226"/>
        <v>0</v>
      </c>
      <c r="S1002" s="10">
        <f t="shared" ca="1" si="216"/>
        <v>-0.19536086729218832</v>
      </c>
      <c r="T1002" s="14">
        <f t="shared" ca="1" si="217"/>
        <v>-0.20510531085478628</v>
      </c>
      <c r="U1002" s="12">
        <f t="shared" ca="1" si="227"/>
        <v>7900</v>
      </c>
      <c r="V1002" s="14">
        <f t="shared" ca="1" si="228"/>
        <v>-5360.7594936708865</v>
      </c>
      <c r="W1002" s="12">
        <f t="shared" ca="1" si="218"/>
        <v>-3653.1645569620255</v>
      </c>
      <c r="X1002" s="7">
        <f ca="1">AVERAGE(E1002:OFFSET(F1002,-$X$5+1,0))</f>
        <v>11144.6</v>
      </c>
      <c r="Y1002" s="7">
        <f ca="1">AVERAGE(E1002:OFFSET(F1002,-$Y$5+1,0))</f>
        <v>11047.4</v>
      </c>
      <c r="Z1002" s="7">
        <f t="shared" ca="1" si="220"/>
        <v>0</v>
      </c>
    </row>
    <row r="1003" spans="1:26">
      <c r="A1003" s="3" t="s">
        <v>72</v>
      </c>
      <c r="B1003" s="4">
        <v>43126</v>
      </c>
      <c r="C1003" s="3">
        <v>11170</v>
      </c>
      <c r="D1003" s="3">
        <v>11186</v>
      </c>
      <c r="E1003" s="3">
        <v>11079</v>
      </c>
      <c r="F1003" s="3">
        <v>11146</v>
      </c>
      <c r="G1003" s="3">
        <v>172894</v>
      </c>
      <c r="H1003" s="3">
        <v>1.0449999999999999</v>
      </c>
      <c r="I1003" s="2">
        <f t="shared" si="229"/>
        <v>0</v>
      </c>
      <c r="J1003" s="10">
        <f t="shared" si="231"/>
        <v>16</v>
      </c>
      <c r="K1003" s="10">
        <f t="shared" si="230"/>
        <v>-24</v>
      </c>
      <c r="L1003" s="10">
        <f t="shared" ca="1" si="219"/>
        <v>0</v>
      </c>
      <c r="M1003" s="10">
        <f t="shared" ca="1" si="221"/>
        <v>0</v>
      </c>
      <c r="N1003" s="30">
        <f t="shared" ca="1" si="222"/>
        <v>0</v>
      </c>
      <c r="O1003" s="10">
        <f t="shared" ca="1" si="223"/>
        <v>0</v>
      </c>
      <c r="P1003" s="29">
        <f t="shared" ca="1" si="224"/>
        <v>0</v>
      </c>
      <c r="Q1003" s="12">
        <f t="shared" ca="1" si="225"/>
        <v>-415600</v>
      </c>
      <c r="R1003" s="10">
        <f t="shared" ca="1" si="226"/>
        <v>0</v>
      </c>
      <c r="S1003" s="10">
        <f t="shared" ca="1" si="216"/>
        <v>-0.19536086729218832</v>
      </c>
      <c r="T1003" s="14">
        <f t="shared" ca="1" si="217"/>
        <v>-0.20510531085478628</v>
      </c>
      <c r="U1003" s="12">
        <f t="shared" ca="1" si="227"/>
        <v>7900</v>
      </c>
      <c r="V1003" s="14">
        <f t="shared" ca="1" si="228"/>
        <v>-5360.7594936708865</v>
      </c>
      <c r="W1003" s="12">
        <f t="shared" ca="1" si="218"/>
        <v>-3653.1645569620255</v>
      </c>
      <c r="X1003" s="7">
        <f ca="1">AVERAGE(E1003:OFFSET(F1003,-$X$5+1,0))</f>
        <v>11145.2</v>
      </c>
      <c r="Y1003" s="7">
        <f ca="1">AVERAGE(E1003:OFFSET(F1003,-$Y$5+1,0))</f>
        <v>11073.95</v>
      </c>
      <c r="Z1003" s="7">
        <f t="shared" ca="1" si="220"/>
        <v>0</v>
      </c>
    </row>
    <row r="1004" spans="1:26">
      <c r="A1004" s="3" t="s">
        <v>72</v>
      </c>
      <c r="B1004" s="4">
        <v>43129</v>
      </c>
      <c r="C1004" s="3">
        <v>11215</v>
      </c>
      <c r="D1004" s="3">
        <v>11238</v>
      </c>
      <c r="E1004" s="3">
        <v>11155</v>
      </c>
      <c r="F1004" s="3">
        <v>11196</v>
      </c>
      <c r="G1004" s="3">
        <v>139210</v>
      </c>
      <c r="H1004" s="3">
        <v>1.0449999999999999</v>
      </c>
      <c r="I1004" s="2">
        <f t="shared" si="229"/>
        <v>0</v>
      </c>
      <c r="J1004" s="10">
        <f t="shared" si="231"/>
        <v>69</v>
      </c>
      <c r="K1004" s="10">
        <f t="shared" si="230"/>
        <v>-19</v>
      </c>
      <c r="L1004" s="10">
        <f t="shared" ca="1" si="219"/>
        <v>0</v>
      </c>
      <c r="M1004" s="10">
        <f t="shared" ca="1" si="221"/>
        <v>0</v>
      </c>
      <c r="N1004" s="30">
        <f t="shared" ca="1" si="222"/>
        <v>0</v>
      </c>
      <c r="O1004" s="10">
        <f t="shared" ca="1" si="223"/>
        <v>0</v>
      </c>
      <c r="P1004" s="29">
        <f t="shared" ca="1" si="224"/>
        <v>0</v>
      </c>
      <c r="Q1004" s="12">
        <f t="shared" ca="1" si="225"/>
        <v>-415600</v>
      </c>
      <c r="R1004" s="10">
        <f t="shared" ca="1" si="226"/>
        <v>0</v>
      </c>
      <c r="S1004" s="10">
        <f t="shared" ref="S1004:S1067" ca="1" si="232">100*SUM(P765:P1004)/SUM(N765:N1004)</f>
        <v>-0.19536086729218832</v>
      </c>
      <c r="T1004" s="14">
        <f t="shared" ca="1" si="217"/>
        <v>-0.20510531085478628</v>
      </c>
      <c r="U1004" s="12">
        <f t="shared" ca="1" si="227"/>
        <v>7900</v>
      </c>
      <c r="V1004" s="14">
        <f t="shared" ca="1" si="228"/>
        <v>-5360.7594936708865</v>
      </c>
      <c r="W1004" s="12">
        <f t="shared" ca="1" si="218"/>
        <v>-3653.1645569620255</v>
      </c>
      <c r="X1004" s="7">
        <f ca="1">AVERAGE(E1004:OFFSET(F1004,-$X$5+1,0))</f>
        <v>11146.8</v>
      </c>
      <c r="Y1004" s="7">
        <f ca="1">AVERAGE(E1004:OFFSET(F1004,-$Y$5+1,0))</f>
        <v>11098.65</v>
      </c>
      <c r="Z1004" s="7">
        <f t="shared" ca="1" si="220"/>
        <v>0</v>
      </c>
    </row>
    <row r="1005" spans="1:26">
      <c r="A1005" s="3" t="s">
        <v>72</v>
      </c>
      <c r="B1005" s="4">
        <v>43130</v>
      </c>
      <c r="C1005" s="3">
        <v>11164</v>
      </c>
      <c r="D1005" s="3">
        <v>11190</v>
      </c>
      <c r="E1005" s="3">
        <v>11064</v>
      </c>
      <c r="F1005" s="3">
        <v>11064</v>
      </c>
      <c r="G1005" s="3">
        <v>176699</v>
      </c>
      <c r="H1005" s="3">
        <v>1.0449999999999999</v>
      </c>
      <c r="I1005" s="2">
        <f t="shared" si="229"/>
        <v>0</v>
      </c>
      <c r="J1005" s="10">
        <f t="shared" si="231"/>
        <v>-32</v>
      </c>
      <c r="K1005" s="10">
        <f t="shared" si="230"/>
        <v>-100</v>
      </c>
      <c r="L1005" s="10">
        <f t="shared" ca="1" si="219"/>
        <v>0</v>
      </c>
      <c r="M1005" s="10">
        <f t="shared" ca="1" si="221"/>
        <v>0</v>
      </c>
      <c r="N1005" s="30">
        <f t="shared" ca="1" si="222"/>
        <v>0</v>
      </c>
      <c r="O1005" s="10">
        <f t="shared" ca="1" si="223"/>
        <v>0</v>
      </c>
      <c r="P1005" s="29">
        <f t="shared" ca="1" si="224"/>
        <v>0</v>
      </c>
      <c r="Q1005" s="12">
        <f t="shared" ca="1" si="225"/>
        <v>-415600</v>
      </c>
      <c r="R1005" s="10">
        <f t="shared" ca="1" si="226"/>
        <v>0</v>
      </c>
      <c r="S1005" s="10">
        <f t="shared" ca="1" si="232"/>
        <v>-0.19536086729218832</v>
      </c>
      <c r="T1005" s="14">
        <f t="shared" ref="T1005:T1068" ca="1" si="233">(S1005-AVERAGE(H736:H1005))/(_xlfn.STDEV.S(R736:R1005)*SQRT(240))</f>
        <v>-0.20510531085478628</v>
      </c>
      <c r="U1005" s="12">
        <f t="shared" ca="1" si="227"/>
        <v>7900</v>
      </c>
      <c r="V1005" s="14">
        <f t="shared" ca="1" si="228"/>
        <v>-5360.7594936708865</v>
      </c>
      <c r="W1005" s="12">
        <f t="shared" ref="W1005:W1068" ca="1" si="234">MAX(V766:V1005)</f>
        <v>-3653.1645569620255</v>
      </c>
      <c r="X1005" s="7">
        <f ca="1">AVERAGE(E1005:OFFSET(F1005,-$X$5+1,0))</f>
        <v>11119</v>
      </c>
      <c r="Y1005" s="7">
        <f ca="1">AVERAGE(E1005:OFFSET(F1005,-$Y$5+1,0))</f>
        <v>11110</v>
      </c>
      <c r="Z1005" s="7">
        <f t="shared" ca="1" si="220"/>
        <v>0</v>
      </c>
    </row>
    <row r="1006" spans="1:26">
      <c r="A1006" s="3" t="s">
        <v>72</v>
      </c>
      <c r="B1006" s="4">
        <v>43131</v>
      </c>
      <c r="C1006" s="3">
        <v>11050</v>
      </c>
      <c r="D1006" s="3">
        <v>11144</v>
      </c>
      <c r="E1006" s="3">
        <v>11017</v>
      </c>
      <c r="F1006" s="3">
        <v>11098</v>
      </c>
      <c r="G1006" s="3">
        <v>190849</v>
      </c>
      <c r="H1006" s="3">
        <v>1.0449999999999999</v>
      </c>
      <c r="I1006" s="2">
        <f t="shared" si="229"/>
        <v>0</v>
      </c>
      <c r="J1006" s="10">
        <f t="shared" si="231"/>
        <v>-14</v>
      </c>
      <c r="K1006" s="10">
        <f t="shared" si="230"/>
        <v>48</v>
      </c>
      <c r="L1006" s="10">
        <f t="shared" ca="1" si="219"/>
        <v>-1</v>
      </c>
      <c r="M1006" s="10">
        <f t="shared" ca="1" si="221"/>
        <v>0</v>
      </c>
      <c r="N1006" s="30">
        <f t="shared" ca="1" si="222"/>
        <v>0</v>
      </c>
      <c r="O1006" s="10">
        <f t="shared" ca="1" si="223"/>
        <v>0</v>
      </c>
      <c r="P1006" s="29">
        <f t="shared" ca="1" si="224"/>
        <v>0</v>
      </c>
      <c r="Q1006" s="12">
        <f t="shared" ca="1" si="225"/>
        <v>-415600</v>
      </c>
      <c r="R1006" s="10">
        <f t="shared" ca="1" si="226"/>
        <v>0</v>
      </c>
      <c r="S1006" s="10">
        <f t="shared" ca="1" si="232"/>
        <v>-0.19536086729218832</v>
      </c>
      <c r="T1006" s="14">
        <f t="shared" ca="1" si="233"/>
        <v>-0.20510531085478628</v>
      </c>
      <c r="U1006" s="12">
        <f t="shared" ca="1" si="227"/>
        <v>7900</v>
      </c>
      <c r="V1006" s="14">
        <f t="shared" ca="1" si="228"/>
        <v>-5360.7594936708865</v>
      </c>
      <c r="W1006" s="12">
        <f t="shared" ca="1" si="234"/>
        <v>-3653.1645569620255</v>
      </c>
      <c r="X1006" s="7">
        <f ca="1">AVERAGE(E1006:OFFSET(F1006,-$X$5+1,0))</f>
        <v>11108.9</v>
      </c>
      <c r="Y1006" s="7">
        <f ca="1">AVERAGE(E1006:OFFSET(F1006,-$Y$5+1,0))</f>
        <v>11117.75</v>
      </c>
      <c r="Z1006" s="7">
        <f t="shared" ca="1" si="220"/>
        <v>-1</v>
      </c>
    </row>
    <row r="1007" spans="1:26">
      <c r="A1007" s="3" t="s">
        <v>72</v>
      </c>
      <c r="B1007" s="4">
        <v>43132</v>
      </c>
      <c r="C1007" s="3">
        <v>11127</v>
      </c>
      <c r="D1007" s="3">
        <v>11199</v>
      </c>
      <c r="E1007" s="3">
        <v>11112</v>
      </c>
      <c r="F1007" s="3">
        <v>11160</v>
      </c>
      <c r="G1007" s="3">
        <v>141148</v>
      </c>
      <c r="H1007" s="3">
        <v>1.0449999999999999</v>
      </c>
      <c r="I1007" s="2">
        <f t="shared" si="229"/>
        <v>0</v>
      </c>
      <c r="J1007" s="10">
        <f t="shared" si="231"/>
        <v>29</v>
      </c>
      <c r="K1007" s="10">
        <f t="shared" si="230"/>
        <v>33</v>
      </c>
      <c r="L1007" s="10">
        <f t="shared" ca="1" si="219"/>
        <v>0</v>
      </c>
      <c r="M1007" s="10">
        <f t="shared" ca="1" si="221"/>
        <v>-1</v>
      </c>
      <c r="N1007" s="30">
        <f t="shared" ca="1" si="222"/>
        <v>0</v>
      </c>
      <c r="O1007" s="10">
        <f t="shared" ca="1" si="223"/>
        <v>2225400</v>
      </c>
      <c r="P1007" s="29">
        <f t="shared" ca="1" si="224"/>
        <v>-7100</v>
      </c>
      <c r="Q1007" s="12">
        <f t="shared" ca="1" si="225"/>
        <v>-422700</v>
      </c>
      <c r="R1007" s="10">
        <f t="shared" ca="1" si="226"/>
        <v>-0.31904376741259999</v>
      </c>
      <c r="S1007" s="10">
        <f t="shared" ca="1" si="232"/>
        <v>-0.24420108411523539</v>
      </c>
      <c r="T1007" s="14">
        <f t="shared" ca="1" si="233"/>
        <v>-0.21293734815074164</v>
      </c>
      <c r="U1007" s="12">
        <f t="shared" ca="1" si="227"/>
        <v>7900</v>
      </c>
      <c r="V1007" s="14">
        <f t="shared" ca="1" si="228"/>
        <v>-5450.6329113924048</v>
      </c>
      <c r="W1007" s="12">
        <f t="shared" ca="1" si="234"/>
        <v>-3653.1645569620255</v>
      </c>
      <c r="X1007" s="7">
        <f ca="1">AVERAGE(E1007:OFFSET(F1007,-$X$5+1,0))</f>
        <v>11109.1</v>
      </c>
      <c r="Y1007" s="7">
        <f ca="1">AVERAGE(E1007:OFFSET(F1007,-$Y$5+1,0))</f>
        <v>11126.85</v>
      </c>
      <c r="Z1007" s="7">
        <f t="shared" ca="1" si="220"/>
        <v>0</v>
      </c>
    </row>
    <row r="1008" spans="1:26">
      <c r="A1008" s="3" t="s">
        <v>72</v>
      </c>
      <c r="B1008" s="4">
        <v>43133</v>
      </c>
      <c r="C1008" s="3">
        <v>11111</v>
      </c>
      <c r="D1008" s="3">
        <v>11132</v>
      </c>
      <c r="E1008" s="3">
        <v>11041</v>
      </c>
      <c r="F1008" s="3">
        <v>11116</v>
      </c>
      <c r="G1008" s="3">
        <v>176534</v>
      </c>
      <c r="H1008" s="3">
        <v>1.0449999999999999</v>
      </c>
      <c r="I1008" s="2">
        <f t="shared" si="229"/>
        <v>0</v>
      </c>
      <c r="J1008" s="10">
        <f t="shared" si="231"/>
        <v>-49</v>
      </c>
      <c r="K1008" s="10">
        <f t="shared" si="230"/>
        <v>5</v>
      </c>
      <c r="L1008" s="10">
        <f t="shared" ca="1" si="219"/>
        <v>0</v>
      </c>
      <c r="M1008" s="10">
        <f t="shared" ca="1" si="221"/>
        <v>-1</v>
      </c>
      <c r="N1008" s="30">
        <f t="shared" ca="1" si="222"/>
        <v>0</v>
      </c>
      <c r="O1008" s="10">
        <f t="shared" ca="1" si="223"/>
        <v>2225400</v>
      </c>
      <c r="P1008" s="29">
        <f t="shared" ca="1" si="224"/>
        <v>8800</v>
      </c>
      <c r="Q1008" s="12">
        <f t="shared" ca="1" si="225"/>
        <v>-413900</v>
      </c>
      <c r="R1008" s="10">
        <f t="shared" ca="1" si="226"/>
        <v>0.39543452862406758</v>
      </c>
      <c r="S1008" s="10">
        <f t="shared" ca="1" si="232"/>
        <v>-0.18366673086976859</v>
      </c>
      <c r="T1008" s="14">
        <f t="shared" ca="1" si="233"/>
        <v>-0.20253052362114979</v>
      </c>
      <c r="U1008" s="12">
        <f t="shared" ca="1" si="227"/>
        <v>7900</v>
      </c>
      <c r="V1008" s="14">
        <f t="shared" ca="1" si="228"/>
        <v>-5339.2405063291135</v>
      </c>
      <c r="W1008" s="12">
        <f t="shared" ca="1" si="234"/>
        <v>-3653.1645569620255</v>
      </c>
      <c r="X1008" s="7">
        <f ca="1">AVERAGE(E1008:OFFSET(F1008,-$X$5+1,0))</f>
        <v>11102.3</v>
      </c>
      <c r="Y1008" s="7">
        <f ca="1">AVERAGE(E1008:OFFSET(F1008,-$Y$5+1,0))</f>
        <v>11123.75</v>
      </c>
      <c r="Z1008" s="7">
        <f t="shared" ca="1" si="220"/>
        <v>0</v>
      </c>
    </row>
    <row r="1009" spans="1:26">
      <c r="A1009" s="3" t="s">
        <v>72</v>
      </c>
      <c r="B1009" s="4">
        <v>43136</v>
      </c>
      <c r="C1009" s="3">
        <v>10888</v>
      </c>
      <c r="D1009" s="3">
        <v>10952</v>
      </c>
      <c r="E1009" s="3">
        <v>10848</v>
      </c>
      <c r="F1009" s="3">
        <v>10928</v>
      </c>
      <c r="G1009" s="3">
        <v>185574</v>
      </c>
      <c r="H1009" s="3">
        <v>1.0449999999999999</v>
      </c>
      <c r="I1009" s="2">
        <f t="shared" si="229"/>
        <v>0</v>
      </c>
      <c r="J1009" s="10">
        <f t="shared" si="231"/>
        <v>-228</v>
      </c>
      <c r="K1009" s="10">
        <f t="shared" si="230"/>
        <v>40</v>
      </c>
      <c r="L1009" s="10">
        <f t="shared" ca="1" si="219"/>
        <v>0</v>
      </c>
      <c r="M1009" s="10">
        <f t="shared" ca="1" si="221"/>
        <v>-1</v>
      </c>
      <c r="N1009" s="30">
        <f t="shared" ca="1" si="222"/>
        <v>0</v>
      </c>
      <c r="O1009" s="10">
        <f t="shared" ca="1" si="223"/>
        <v>2225400</v>
      </c>
      <c r="P1009" s="29">
        <f t="shared" ca="1" si="224"/>
        <v>37600</v>
      </c>
      <c r="Q1009" s="12">
        <f t="shared" ca="1" si="225"/>
        <v>-376300</v>
      </c>
      <c r="R1009" s="10">
        <f t="shared" ca="1" si="226"/>
        <v>1.689583895030107</v>
      </c>
      <c r="S1009" s="10">
        <f t="shared" ca="1" si="232"/>
        <v>7.4980051179044105E-2</v>
      </c>
      <c r="T1009" s="14">
        <f t="shared" ca="1" si="233"/>
        <v>-0.15458653910583156</v>
      </c>
      <c r="U1009" s="12">
        <f t="shared" ca="1" si="227"/>
        <v>7900</v>
      </c>
      <c r="V1009" s="14">
        <f t="shared" ca="1" si="228"/>
        <v>-4863.2911392405067</v>
      </c>
      <c r="W1009" s="12">
        <f t="shared" ca="1" si="234"/>
        <v>-3653.1645569620255</v>
      </c>
      <c r="X1009" s="7">
        <f ca="1">AVERAGE(E1009:OFFSET(F1009,-$X$5+1,0))</f>
        <v>11044.8</v>
      </c>
      <c r="Y1009" s="7">
        <f ca="1">AVERAGE(E1009:OFFSET(F1009,-$Y$5+1,0))</f>
        <v>11095.8</v>
      </c>
      <c r="Z1009" s="7">
        <f t="shared" ca="1" si="220"/>
        <v>0</v>
      </c>
    </row>
    <row r="1010" spans="1:26">
      <c r="A1010" s="3" t="s">
        <v>72</v>
      </c>
      <c r="B1010" s="4">
        <v>43137</v>
      </c>
      <c r="C1010" s="3">
        <v>10643</v>
      </c>
      <c r="D1010" s="3">
        <v>10663</v>
      </c>
      <c r="E1010" s="3">
        <v>10242</v>
      </c>
      <c r="F1010" s="3">
        <v>10399</v>
      </c>
      <c r="G1010" s="3">
        <v>409245</v>
      </c>
      <c r="H1010" s="3">
        <v>1.0449999999999999</v>
      </c>
      <c r="I1010" s="2">
        <f t="shared" si="229"/>
        <v>0</v>
      </c>
      <c r="J1010" s="10">
        <f t="shared" si="231"/>
        <v>-285</v>
      </c>
      <c r="K1010" s="10">
        <f t="shared" si="230"/>
        <v>-244</v>
      </c>
      <c r="L1010" s="10">
        <f t="shared" ca="1" si="219"/>
        <v>0</v>
      </c>
      <c r="M1010" s="10">
        <f t="shared" ca="1" si="221"/>
        <v>-1</v>
      </c>
      <c r="N1010" s="30">
        <f t="shared" ca="1" si="222"/>
        <v>0</v>
      </c>
      <c r="O1010" s="10">
        <f t="shared" ca="1" si="223"/>
        <v>2225400</v>
      </c>
      <c r="P1010" s="29">
        <f t="shared" ca="1" si="224"/>
        <v>105800</v>
      </c>
      <c r="Q1010" s="12">
        <f t="shared" ca="1" si="225"/>
        <v>-270500</v>
      </c>
      <c r="R1010" s="10">
        <f t="shared" ca="1" si="226"/>
        <v>4.7542014918666311</v>
      </c>
      <c r="S1010" s="10">
        <f t="shared" ca="1" si="232"/>
        <v>0.8027680708802245</v>
      </c>
      <c r="T1010" s="14">
        <f t="shared" ca="1" si="233"/>
        <v>-3.1404666574716723E-2</v>
      </c>
      <c r="U1010" s="12">
        <f t="shared" ca="1" si="227"/>
        <v>7900</v>
      </c>
      <c r="V1010" s="14">
        <f t="shared" ca="1" si="228"/>
        <v>-3524.0506329113923</v>
      </c>
      <c r="W1010" s="12">
        <f t="shared" ca="1" si="234"/>
        <v>-3524.0506329113923</v>
      </c>
      <c r="X1010" s="7">
        <f ca="1">AVERAGE(E1010:OFFSET(F1010,-$X$5+1,0))</f>
        <v>10896.1</v>
      </c>
      <c r="Y1010" s="7">
        <f ca="1">AVERAGE(E1010:OFFSET(F1010,-$Y$5+1,0))</f>
        <v>11007.55</v>
      </c>
      <c r="Z1010" s="7">
        <f t="shared" ca="1" si="220"/>
        <v>0</v>
      </c>
    </row>
    <row r="1011" spans="1:26">
      <c r="A1011" s="3" t="s">
        <v>72</v>
      </c>
      <c r="B1011" s="4">
        <v>43138</v>
      </c>
      <c r="C1011" s="3">
        <v>10600</v>
      </c>
      <c r="D1011" s="3">
        <v>10669</v>
      </c>
      <c r="E1011" s="3">
        <v>10510</v>
      </c>
      <c r="F1011" s="3">
        <v>10517</v>
      </c>
      <c r="G1011" s="3">
        <v>236946</v>
      </c>
      <c r="H1011" s="3">
        <v>1.0449999999999999</v>
      </c>
      <c r="I1011" s="2">
        <f t="shared" si="229"/>
        <v>0</v>
      </c>
      <c r="J1011" s="10">
        <f t="shared" si="231"/>
        <v>201</v>
      </c>
      <c r="K1011" s="10">
        <f t="shared" si="230"/>
        <v>-83</v>
      </c>
      <c r="L1011" s="10">
        <f t="shared" ca="1" si="219"/>
        <v>0</v>
      </c>
      <c r="M1011" s="10">
        <f t="shared" ca="1" si="221"/>
        <v>-1</v>
      </c>
      <c r="N1011" s="30">
        <f t="shared" ca="1" si="222"/>
        <v>0</v>
      </c>
      <c r="O1011" s="10">
        <f t="shared" ca="1" si="223"/>
        <v>2225400</v>
      </c>
      <c r="P1011" s="29">
        <f t="shared" ca="1" si="224"/>
        <v>-23600</v>
      </c>
      <c r="Q1011" s="12">
        <f t="shared" ca="1" si="225"/>
        <v>-294100</v>
      </c>
      <c r="R1011" s="10">
        <f t="shared" ca="1" si="226"/>
        <v>-1.0604835085827267</v>
      </c>
      <c r="S1011" s="10">
        <f t="shared" ca="1" si="232"/>
        <v>0.64042594172192724</v>
      </c>
      <c r="T1011" s="14">
        <f t="shared" ca="1" si="233"/>
        <v>-5.2202650645818742E-2</v>
      </c>
      <c r="U1011" s="12">
        <f t="shared" ca="1" si="227"/>
        <v>7900</v>
      </c>
      <c r="V1011" s="14">
        <f t="shared" ca="1" si="228"/>
        <v>-3822.7848101265822</v>
      </c>
      <c r="W1011" s="12">
        <f t="shared" ca="1" si="234"/>
        <v>-3524.0506329113923</v>
      </c>
      <c r="X1011" s="7">
        <f ca="1">AVERAGE(E1011:OFFSET(F1011,-$X$5+1,0))</f>
        <v>10787.3</v>
      </c>
      <c r="Y1011" s="7">
        <f ca="1">AVERAGE(E1011:OFFSET(F1011,-$Y$5+1,0))</f>
        <v>10948.1</v>
      </c>
      <c r="Z1011" s="7">
        <f t="shared" ca="1" si="220"/>
        <v>0</v>
      </c>
    </row>
    <row r="1012" spans="1:26">
      <c r="A1012" s="3" t="s">
        <v>72</v>
      </c>
      <c r="B1012" s="4">
        <v>43139</v>
      </c>
      <c r="C1012" s="3">
        <v>10526</v>
      </c>
      <c r="D1012" s="3">
        <v>10595</v>
      </c>
      <c r="E1012" s="3">
        <v>10492</v>
      </c>
      <c r="F1012" s="3">
        <v>10518</v>
      </c>
      <c r="G1012" s="3">
        <v>182147</v>
      </c>
      <c r="H1012" s="3">
        <v>1.0449999999999999</v>
      </c>
      <c r="I1012" s="2">
        <f t="shared" si="229"/>
        <v>0</v>
      </c>
      <c r="J1012" s="10">
        <f t="shared" si="231"/>
        <v>9</v>
      </c>
      <c r="K1012" s="10">
        <f t="shared" si="230"/>
        <v>-8</v>
      </c>
      <c r="L1012" s="10">
        <f t="shared" ca="1" si="219"/>
        <v>0</v>
      </c>
      <c r="M1012" s="10">
        <f t="shared" ca="1" si="221"/>
        <v>-1</v>
      </c>
      <c r="N1012" s="30">
        <f t="shared" ca="1" si="222"/>
        <v>0</v>
      </c>
      <c r="O1012" s="10">
        <f t="shared" ca="1" si="223"/>
        <v>2225400</v>
      </c>
      <c r="P1012" s="29">
        <f t="shared" ca="1" si="224"/>
        <v>-200</v>
      </c>
      <c r="Q1012" s="12">
        <f t="shared" ca="1" si="225"/>
        <v>-294300</v>
      </c>
      <c r="R1012" s="10">
        <f t="shared" ca="1" si="226"/>
        <v>-8.9871483778197186E-3</v>
      </c>
      <c r="S1012" s="10">
        <f t="shared" ca="1" si="232"/>
        <v>0.63905016096634837</v>
      </c>
      <c r="T1012" s="14">
        <f t="shared" ca="1" si="233"/>
        <v>-5.2411719700049243E-2</v>
      </c>
      <c r="U1012" s="12">
        <f t="shared" ca="1" si="227"/>
        <v>7900</v>
      </c>
      <c r="V1012" s="14">
        <f t="shared" ca="1" si="228"/>
        <v>-3825.3164556962024</v>
      </c>
      <c r="W1012" s="12">
        <f t="shared" ca="1" si="234"/>
        <v>-3524.0506329113923</v>
      </c>
      <c r="X1012" s="7">
        <f ca="1">AVERAGE(E1012:OFFSET(F1012,-$X$5+1,0))</f>
        <v>10661.1</v>
      </c>
      <c r="Y1012" s="7">
        <f ca="1">AVERAGE(E1012:OFFSET(F1012,-$Y$5+1,0))</f>
        <v>10885.1</v>
      </c>
      <c r="Z1012" s="7">
        <f t="shared" ca="1" si="220"/>
        <v>0</v>
      </c>
    </row>
    <row r="1013" spans="1:26">
      <c r="A1013" s="3" t="s">
        <v>72</v>
      </c>
      <c r="B1013" s="4">
        <v>43140</v>
      </c>
      <c r="C1013" s="3">
        <v>10203</v>
      </c>
      <c r="D1013" s="3">
        <v>10368</v>
      </c>
      <c r="E1013" s="3">
        <v>10121</v>
      </c>
      <c r="F1013" s="3">
        <v>10353</v>
      </c>
      <c r="G1013" s="3">
        <v>257335</v>
      </c>
      <c r="H1013" s="3">
        <v>1.0449999999999999</v>
      </c>
      <c r="I1013" s="2">
        <f t="shared" si="229"/>
        <v>0</v>
      </c>
      <c r="J1013" s="10">
        <f t="shared" si="231"/>
        <v>-315</v>
      </c>
      <c r="K1013" s="10">
        <f t="shared" si="230"/>
        <v>150</v>
      </c>
      <c r="L1013" s="10">
        <f t="shared" ca="1" si="219"/>
        <v>0</v>
      </c>
      <c r="M1013" s="10">
        <f t="shared" ca="1" si="221"/>
        <v>-1</v>
      </c>
      <c r="N1013" s="30">
        <f t="shared" ca="1" si="222"/>
        <v>0</v>
      </c>
      <c r="O1013" s="10">
        <f t="shared" ca="1" si="223"/>
        <v>2225400</v>
      </c>
      <c r="P1013" s="29">
        <f t="shared" ca="1" si="224"/>
        <v>33000</v>
      </c>
      <c r="Q1013" s="12">
        <f t="shared" ca="1" si="225"/>
        <v>-261300</v>
      </c>
      <c r="R1013" s="10">
        <f t="shared" ca="1" si="226"/>
        <v>1.4828794823402534</v>
      </c>
      <c r="S1013" s="10">
        <f t="shared" ca="1" si="232"/>
        <v>0.86605398563684888</v>
      </c>
      <c r="T1013" s="14">
        <f t="shared" ca="1" si="233"/>
        <v>-2.2749662316842011E-2</v>
      </c>
      <c r="U1013" s="12">
        <f t="shared" ca="1" si="227"/>
        <v>7900</v>
      </c>
      <c r="V1013" s="14">
        <f t="shared" ca="1" si="228"/>
        <v>-3407.5949367088606</v>
      </c>
      <c r="W1013" s="12">
        <f t="shared" ca="1" si="234"/>
        <v>-3407.5949367088606</v>
      </c>
      <c r="X1013" s="7">
        <f ca="1">AVERAGE(E1013:OFFSET(F1013,-$X$5+1,0))</f>
        <v>10492.8</v>
      </c>
      <c r="Y1013" s="7">
        <f ca="1">AVERAGE(E1013:OFFSET(F1013,-$Y$5+1,0))</f>
        <v>10797.55</v>
      </c>
      <c r="Z1013" s="7">
        <f t="shared" ca="1" si="220"/>
        <v>0</v>
      </c>
    </row>
    <row r="1014" spans="1:26">
      <c r="A1014" s="3" t="s">
        <v>72</v>
      </c>
      <c r="B1014" s="4">
        <v>43143</v>
      </c>
      <c r="C1014" s="3">
        <v>10420</v>
      </c>
      <c r="D1014" s="3">
        <v>10438</v>
      </c>
      <c r="E1014" s="3">
        <v>10377</v>
      </c>
      <c r="F1014" s="3">
        <v>10410</v>
      </c>
      <c r="G1014" s="3">
        <v>151528</v>
      </c>
      <c r="H1014" s="3">
        <v>1.0449999999999999</v>
      </c>
      <c r="I1014" s="2">
        <f t="shared" si="229"/>
        <v>0</v>
      </c>
      <c r="J1014" s="10">
        <f t="shared" si="231"/>
        <v>67</v>
      </c>
      <c r="K1014" s="10">
        <f t="shared" si="230"/>
        <v>-10</v>
      </c>
      <c r="L1014" s="10">
        <f t="shared" ca="1" si="219"/>
        <v>0</v>
      </c>
      <c r="M1014" s="10">
        <f t="shared" ca="1" si="221"/>
        <v>-1</v>
      </c>
      <c r="N1014" s="30">
        <f t="shared" ca="1" si="222"/>
        <v>0</v>
      </c>
      <c r="O1014" s="10">
        <f t="shared" ca="1" si="223"/>
        <v>2225400</v>
      </c>
      <c r="P1014" s="29">
        <f t="shared" ca="1" si="224"/>
        <v>-11400</v>
      </c>
      <c r="Q1014" s="12">
        <f t="shared" ca="1" si="225"/>
        <v>-272700</v>
      </c>
      <c r="R1014" s="10">
        <f t="shared" ca="1" si="226"/>
        <v>-0.51226745753572389</v>
      </c>
      <c r="S1014" s="10">
        <f t="shared" ca="1" si="232"/>
        <v>0.69476928156728945</v>
      </c>
      <c r="T1014" s="14">
        <f t="shared" ca="1" si="233"/>
        <v>-4.4438084268423321E-2</v>
      </c>
      <c r="U1014" s="12">
        <f t="shared" ca="1" si="227"/>
        <v>7900</v>
      </c>
      <c r="V1014" s="14">
        <f t="shared" ca="1" si="228"/>
        <v>-3551.8987341772154</v>
      </c>
      <c r="W1014" s="12">
        <f t="shared" ca="1" si="234"/>
        <v>-3407.5949367088606</v>
      </c>
      <c r="X1014" s="7">
        <f ca="1">AVERAGE(E1014:OFFSET(F1014,-$X$5+1,0))</f>
        <v>10393.9</v>
      </c>
      <c r="Y1014" s="7">
        <f ca="1">AVERAGE(E1014:OFFSET(F1014,-$Y$5+1,0))</f>
        <v>10719.35</v>
      </c>
      <c r="Z1014" s="7">
        <f t="shared" ca="1" si="220"/>
        <v>0</v>
      </c>
    </row>
    <row r="1015" spans="1:26">
      <c r="A1015" s="3" t="s">
        <v>72</v>
      </c>
      <c r="B1015" s="4">
        <v>43152</v>
      </c>
      <c r="C1015" s="3">
        <v>10630</v>
      </c>
      <c r="D1015" s="3">
        <v>10718</v>
      </c>
      <c r="E1015" s="3">
        <v>10591</v>
      </c>
      <c r="F1015" s="3">
        <v>10705</v>
      </c>
      <c r="G1015" s="3">
        <v>94033</v>
      </c>
      <c r="H1015" s="3">
        <v>1.0449999999999999</v>
      </c>
      <c r="I1015" s="2">
        <f t="shared" si="229"/>
        <v>1</v>
      </c>
      <c r="J1015" s="10">
        <f t="shared" si="231"/>
        <v>220</v>
      </c>
      <c r="K1015" s="10">
        <f t="shared" si="230"/>
        <v>75</v>
      </c>
      <c r="L1015" s="10">
        <f t="shared" ca="1" si="219"/>
        <v>0</v>
      </c>
      <c r="M1015" s="10">
        <f t="shared" si="221"/>
        <v>0</v>
      </c>
      <c r="N1015" s="30">
        <f t="shared" si="222"/>
        <v>0</v>
      </c>
      <c r="O1015" s="10">
        <f t="shared" si="223"/>
        <v>0</v>
      </c>
      <c r="P1015" s="29">
        <f t="shared" ca="1" si="224"/>
        <v>-44500</v>
      </c>
      <c r="Q1015" s="12">
        <f t="shared" ca="1" si="225"/>
        <v>-317200</v>
      </c>
      <c r="R1015" s="10">
        <f t="shared" ca="1" si="226"/>
        <v>-1.9996405140648872</v>
      </c>
      <c r="S1015" s="10">
        <f t="shared" ca="1" si="232"/>
        <v>0.30335965660512343</v>
      </c>
      <c r="T1015" s="14">
        <f t="shared" ca="1" si="233"/>
        <v>-9.1495723397382545E-2</v>
      </c>
      <c r="U1015" s="12">
        <f t="shared" ca="1" si="227"/>
        <v>7900</v>
      </c>
      <c r="V1015" s="14">
        <f t="shared" ca="1" si="228"/>
        <v>-4115.1898734177212</v>
      </c>
      <c r="W1015" s="12">
        <f t="shared" ca="1" si="234"/>
        <v>-3407.5949367088606</v>
      </c>
      <c r="X1015" s="7">
        <f ca="1">AVERAGE(E1015:OFFSET(F1015,-$X$5+1,0))</f>
        <v>10459.4</v>
      </c>
      <c r="Y1015" s="7">
        <f ca="1">AVERAGE(E1015:OFFSET(F1015,-$Y$5+1,0))</f>
        <v>10677.75</v>
      </c>
      <c r="Z1015" s="7">
        <f t="shared" ca="1" si="220"/>
        <v>0</v>
      </c>
    </row>
    <row r="1016" spans="1:26">
      <c r="A1016" s="3" t="s">
        <v>73</v>
      </c>
      <c r="B1016" s="4">
        <v>43153</v>
      </c>
      <c r="C1016" s="3">
        <v>10646</v>
      </c>
      <c r="D1016" s="3">
        <v>10655</v>
      </c>
      <c r="E1016" s="3">
        <v>10593</v>
      </c>
      <c r="F1016" s="3">
        <v>10626</v>
      </c>
      <c r="G1016" s="3">
        <v>124336</v>
      </c>
      <c r="H1016" s="3">
        <v>1.0449999999999999</v>
      </c>
      <c r="I1016" s="2">
        <f t="shared" si="229"/>
        <v>0</v>
      </c>
      <c r="J1016" s="10">
        <f t="shared" si="231"/>
        <v>-59</v>
      </c>
      <c r="K1016" s="10">
        <f t="shared" si="230"/>
        <v>-20</v>
      </c>
      <c r="L1016" s="10">
        <f t="shared" ca="1" si="219"/>
        <v>0</v>
      </c>
      <c r="M1016" s="10">
        <f t="shared" ca="1" si="221"/>
        <v>0</v>
      </c>
      <c r="N1016" s="30">
        <f t="shared" ca="1" si="222"/>
        <v>0</v>
      </c>
      <c r="O1016" s="10">
        <f t="shared" ca="1" si="223"/>
        <v>0</v>
      </c>
      <c r="P1016" s="29">
        <f t="shared" ca="1" si="224"/>
        <v>0</v>
      </c>
      <c r="Q1016" s="12">
        <f t="shared" ca="1" si="225"/>
        <v>-317200</v>
      </c>
      <c r="R1016" s="10">
        <f t="shared" ca="1" si="226"/>
        <v>0</v>
      </c>
      <c r="S1016" s="10">
        <f t="shared" ca="1" si="232"/>
        <v>0.3776518174063781</v>
      </c>
      <c r="T1016" s="14">
        <f t="shared" ca="1" si="233"/>
        <v>-8.2667757510788184E-2</v>
      </c>
      <c r="U1016" s="12">
        <f t="shared" ca="1" si="227"/>
        <v>7900</v>
      </c>
      <c r="V1016" s="14">
        <f t="shared" ca="1" si="228"/>
        <v>-4115.1898734177212</v>
      </c>
      <c r="W1016" s="12">
        <f t="shared" ca="1" si="234"/>
        <v>-3407.5949367088606</v>
      </c>
      <c r="X1016" s="7">
        <f ca="1">AVERAGE(E1016:OFFSET(F1016,-$X$5+1,0))</f>
        <v>10478.6</v>
      </c>
      <c r="Y1016" s="7">
        <f ca="1">AVERAGE(E1016:OFFSET(F1016,-$Y$5+1,0))</f>
        <v>10632.95</v>
      </c>
      <c r="Z1016" s="7">
        <f t="shared" ca="1" si="220"/>
        <v>0</v>
      </c>
    </row>
    <row r="1017" spans="1:26">
      <c r="A1017" s="3" t="s">
        <v>73</v>
      </c>
      <c r="B1017" s="4">
        <v>43154</v>
      </c>
      <c r="C1017" s="3">
        <v>10680</v>
      </c>
      <c r="D1017" s="3">
        <v>10789</v>
      </c>
      <c r="E1017" s="3">
        <v>10676</v>
      </c>
      <c r="F1017" s="3">
        <v>10781</v>
      </c>
      <c r="G1017" s="3">
        <v>131504</v>
      </c>
      <c r="H1017" s="3">
        <v>1.0449999999999999</v>
      </c>
      <c r="I1017" s="2">
        <f t="shared" si="229"/>
        <v>0</v>
      </c>
      <c r="J1017" s="10">
        <f t="shared" si="231"/>
        <v>54</v>
      </c>
      <c r="K1017" s="10">
        <f t="shared" si="230"/>
        <v>101</v>
      </c>
      <c r="L1017" s="10">
        <f t="shared" ca="1" si="219"/>
        <v>0</v>
      </c>
      <c r="M1017" s="10">
        <f t="shared" ca="1" si="221"/>
        <v>0</v>
      </c>
      <c r="N1017" s="30">
        <f t="shared" ca="1" si="222"/>
        <v>0</v>
      </c>
      <c r="O1017" s="10">
        <f t="shared" ca="1" si="223"/>
        <v>0</v>
      </c>
      <c r="P1017" s="29">
        <f t="shared" ca="1" si="224"/>
        <v>0</v>
      </c>
      <c r="Q1017" s="12">
        <f t="shared" ca="1" si="225"/>
        <v>-317200</v>
      </c>
      <c r="R1017" s="10">
        <f t="shared" ca="1" si="226"/>
        <v>0</v>
      </c>
      <c r="S1017" s="10">
        <f t="shared" ca="1" si="232"/>
        <v>0.4381861706518449</v>
      </c>
      <c r="T1017" s="14">
        <f t="shared" ca="1" si="233"/>
        <v>-7.5246809065446299E-2</v>
      </c>
      <c r="U1017" s="12">
        <f t="shared" ca="1" si="227"/>
        <v>7900</v>
      </c>
      <c r="V1017" s="14">
        <f t="shared" ca="1" si="228"/>
        <v>-4115.1898734177212</v>
      </c>
      <c r="W1017" s="12">
        <f t="shared" ca="1" si="234"/>
        <v>-3407.5949367088606</v>
      </c>
      <c r="X1017" s="7">
        <f ca="1">AVERAGE(E1017:OFFSET(F1017,-$X$5+1,0))</f>
        <v>10523.3</v>
      </c>
      <c r="Y1017" s="7">
        <f ca="1">AVERAGE(E1017:OFFSET(F1017,-$Y$5+1,0))</f>
        <v>10592.2</v>
      </c>
      <c r="Z1017" s="7">
        <f t="shared" ca="1" si="220"/>
        <v>0</v>
      </c>
    </row>
    <row r="1018" spans="1:26">
      <c r="A1018" s="3" t="s">
        <v>73</v>
      </c>
      <c r="B1018" s="4">
        <v>43157</v>
      </c>
      <c r="C1018" s="3">
        <v>10867</v>
      </c>
      <c r="D1018" s="3">
        <v>10868</v>
      </c>
      <c r="E1018" s="3">
        <v>10801</v>
      </c>
      <c r="F1018" s="3">
        <v>10822</v>
      </c>
      <c r="G1018" s="3">
        <v>101181</v>
      </c>
      <c r="H1018" s="3">
        <v>1.0449999999999999</v>
      </c>
      <c r="I1018" s="2">
        <f t="shared" si="229"/>
        <v>0</v>
      </c>
      <c r="J1018" s="10">
        <f t="shared" si="231"/>
        <v>86</v>
      </c>
      <c r="K1018" s="10">
        <f t="shared" si="230"/>
        <v>-45</v>
      </c>
      <c r="L1018" s="10">
        <f t="shared" ca="1" si="219"/>
        <v>1</v>
      </c>
      <c r="M1018" s="10">
        <f t="shared" ca="1" si="221"/>
        <v>0</v>
      </c>
      <c r="N1018" s="30">
        <f t="shared" ca="1" si="222"/>
        <v>0</v>
      </c>
      <c r="O1018" s="10">
        <f t="shared" ca="1" si="223"/>
        <v>0</v>
      </c>
      <c r="P1018" s="29">
        <f t="shared" ca="1" si="224"/>
        <v>0</v>
      </c>
      <c r="Q1018" s="12">
        <f t="shared" ca="1" si="225"/>
        <v>-317200</v>
      </c>
      <c r="R1018" s="10">
        <f t="shared" ca="1" si="226"/>
        <v>0</v>
      </c>
      <c r="S1018" s="10">
        <f t="shared" ca="1" si="232"/>
        <v>0.46707756651899951</v>
      </c>
      <c r="T1018" s="14">
        <f t="shared" ca="1" si="233"/>
        <v>-7.211310235478291E-2</v>
      </c>
      <c r="U1018" s="12">
        <f t="shared" ca="1" si="227"/>
        <v>7900</v>
      </c>
      <c r="V1018" s="14">
        <f t="shared" ca="1" si="228"/>
        <v>-4115.1898734177212</v>
      </c>
      <c r="W1018" s="12">
        <f t="shared" ca="1" si="234"/>
        <v>-3407.5949367088606</v>
      </c>
      <c r="X1018" s="7">
        <f ca="1">AVERAGE(E1018:OFFSET(F1018,-$X$5+1,0))</f>
        <v>10638.2</v>
      </c>
      <c r="Y1018" s="7">
        <f ca="1">AVERAGE(E1018:OFFSET(F1018,-$Y$5+1,0))</f>
        <v>10565.5</v>
      </c>
      <c r="Z1018" s="7">
        <f t="shared" ca="1" si="220"/>
        <v>1</v>
      </c>
    </row>
    <row r="1019" spans="1:26">
      <c r="A1019" s="3" t="s">
        <v>73</v>
      </c>
      <c r="B1019" s="4">
        <v>43158</v>
      </c>
      <c r="C1019" s="3">
        <v>10890</v>
      </c>
      <c r="D1019" s="3">
        <v>10914</v>
      </c>
      <c r="E1019" s="3">
        <v>10784</v>
      </c>
      <c r="F1019" s="3">
        <v>10791</v>
      </c>
      <c r="G1019" s="3">
        <v>119787</v>
      </c>
      <c r="H1019" s="3">
        <v>1.0449999999999999</v>
      </c>
      <c r="I1019" s="2">
        <f t="shared" si="229"/>
        <v>0</v>
      </c>
      <c r="J1019" s="10">
        <f t="shared" si="231"/>
        <v>68</v>
      </c>
      <c r="K1019" s="10">
        <f t="shared" si="230"/>
        <v>-99</v>
      </c>
      <c r="L1019" s="10">
        <f t="shared" ca="1" si="219"/>
        <v>0</v>
      </c>
      <c r="M1019" s="10">
        <f t="shared" ca="1" si="221"/>
        <v>1</v>
      </c>
      <c r="N1019" s="30">
        <f t="shared" ca="1" si="222"/>
        <v>2178000</v>
      </c>
      <c r="O1019" s="10">
        <f t="shared" ca="1" si="223"/>
        <v>2178000</v>
      </c>
      <c r="P1019" s="29">
        <f t="shared" ca="1" si="224"/>
        <v>-20300</v>
      </c>
      <c r="Q1019" s="12">
        <f t="shared" ca="1" si="225"/>
        <v>-337500</v>
      </c>
      <c r="R1019" s="10">
        <f t="shared" ca="1" si="226"/>
        <v>-0.93204775022956843</v>
      </c>
      <c r="S1019" s="10">
        <f t="shared" ca="1" si="232"/>
        <v>0.16990523595290513</v>
      </c>
      <c r="T1019" s="14">
        <f t="shared" ca="1" si="233"/>
        <v>-0.1087994371977873</v>
      </c>
      <c r="U1019" s="12">
        <f t="shared" ca="1" si="227"/>
        <v>7900</v>
      </c>
      <c r="V1019" s="14">
        <f t="shared" ca="1" si="228"/>
        <v>-4372.1518987341769</v>
      </c>
      <c r="W1019" s="12">
        <f t="shared" ca="1" si="234"/>
        <v>-3407.5949367088606</v>
      </c>
      <c r="X1019" s="7">
        <f ca="1">AVERAGE(E1019:OFFSET(F1019,-$X$5+1,0))</f>
        <v>10717</v>
      </c>
      <c r="Y1019" s="7">
        <f ca="1">AVERAGE(E1019:OFFSET(F1019,-$Y$5+1,0))</f>
        <v>10555.45</v>
      </c>
      <c r="Z1019" s="7">
        <f t="shared" ca="1" si="220"/>
        <v>0</v>
      </c>
    </row>
    <row r="1020" spans="1:26">
      <c r="A1020" s="3" t="s">
        <v>73</v>
      </c>
      <c r="B1020" s="4">
        <v>43160</v>
      </c>
      <c r="C1020" s="3">
        <v>10604</v>
      </c>
      <c r="D1020" s="3">
        <v>10778</v>
      </c>
      <c r="E1020" s="3">
        <v>10600</v>
      </c>
      <c r="F1020" s="3">
        <v>10735</v>
      </c>
      <c r="G1020" s="3">
        <v>150471</v>
      </c>
      <c r="H1020" s="3">
        <v>1.0449999999999999</v>
      </c>
      <c r="I1020" s="2">
        <f t="shared" si="229"/>
        <v>0</v>
      </c>
      <c r="J1020" s="10">
        <f t="shared" si="231"/>
        <v>-187</v>
      </c>
      <c r="K1020" s="10">
        <f t="shared" si="230"/>
        <v>131</v>
      </c>
      <c r="L1020" s="10">
        <f t="shared" ca="1" si="219"/>
        <v>0</v>
      </c>
      <c r="M1020" s="10">
        <f t="shared" ca="1" si="221"/>
        <v>1</v>
      </c>
      <c r="N1020" s="30">
        <f t="shared" ca="1" si="222"/>
        <v>0</v>
      </c>
      <c r="O1020" s="10">
        <f t="shared" ca="1" si="223"/>
        <v>2178000</v>
      </c>
      <c r="P1020" s="29">
        <f t="shared" ca="1" si="224"/>
        <v>-11200</v>
      </c>
      <c r="Q1020" s="12">
        <f t="shared" ca="1" si="225"/>
        <v>-348700</v>
      </c>
      <c r="R1020" s="10">
        <f t="shared" ca="1" si="226"/>
        <v>-0.51423324150596883</v>
      </c>
      <c r="S1020" s="10">
        <f t="shared" ca="1" si="232"/>
        <v>7.0594429022685937E-2</v>
      </c>
      <c r="T1020" s="14">
        <f t="shared" ca="1" si="233"/>
        <v>-0.12093297923569772</v>
      </c>
      <c r="U1020" s="12">
        <f t="shared" ca="1" si="227"/>
        <v>7900</v>
      </c>
      <c r="V1020" s="14">
        <f t="shared" ca="1" si="228"/>
        <v>-4513.9240506329115</v>
      </c>
      <c r="W1020" s="12">
        <f t="shared" ca="1" si="234"/>
        <v>-3407.5949367088606</v>
      </c>
      <c r="X1020" s="7">
        <f ca="1">AVERAGE(E1020:OFFSET(F1020,-$X$5+1,0))</f>
        <v>10720.9</v>
      </c>
      <c r="Y1020" s="7">
        <f ca="1">AVERAGE(E1020:OFFSET(F1020,-$Y$5+1,0))</f>
        <v>10590.15</v>
      </c>
      <c r="Z1020" s="7">
        <f t="shared" ca="1" si="220"/>
        <v>0</v>
      </c>
    </row>
    <row r="1021" spans="1:26">
      <c r="A1021" s="3" t="s">
        <v>73</v>
      </c>
      <c r="B1021" s="4">
        <v>43161</v>
      </c>
      <c r="C1021" s="3">
        <v>10614</v>
      </c>
      <c r="D1021" s="3">
        <v>10696</v>
      </c>
      <c r="E1021" s="3">
        <v>10579</v>
      </c>
      <c r="F1021" s="3">
        <v>10681</v>
      </c>
      <c r="G1021" s="3">
        <v>167243</v>
      </c>
      <c r="H1021" s="3">
        <v>1.0449999999999999</v>
      </c>
      <c r="I1021" s="2">
        <f t="shared" si="229"/>
        <v>0</v>
      </c>
      <c r="J1021" s="10">
        <f t="shared" si="231"/>
        <v>-121</v>
      </c>
      <c r="K1021" s="10">
        <f t="shared" si="230"/>
        <v>67</v>
      </c>
      <c r="L1021" s="10">
        <f t="shared" ref="L1021:L1084" ca="1" si="235">Z1021</f>
        <v>0</v>
      </c>
      <c r="M1021" s="10">
        <f t="shared" ca="1" si="221"/>
        <v>1</v>
      </c>
      <c r="N1021" s="30">
        <f t="shared" ca="1" si="222"/>
        <v>0</v>
      </c>
      <c r="O1021" s="10">
        <f t="shared" ca="1" si="223"/>
        <v>2178000</v>
      </c>
      <c r="P1021" s="29">
        <f t="shared" ca="1" si="224"/>
        <v>-10800</v>
      </c>
      <c r="Q1021" s="12">
        <f t="shared" ca="1" si="225"/>
        <v>-359500</v>
      </c>
      <c r="R1021" s="10">
        <f t="shared" ca="1" si="226"/>
        <v>-0.49586776859504134</v>
      </c>
      <c r="S1021" s="10">
        <f t="shared" ca="1" si="232"/>
        <v>8.6149133722599788E-2</v>
      </c>
      <c r="T1021" s="14">
        <f t="shared" ca="1" si="233"/>
        <v>-0.1188047061078595</v>
      </c>
      <c r="U1021" s="12">
        <f t="shared" ca="1" si="227"/>
        <v>7900</v>
      </c>
      <c r="V1021" s="14">
        <f t="shared" ca="1" si="228"/>
        <v>-4650.6329113924048</v>
      </c>
      <c r="W1021" s="12">
        <f t="shared" ca="1" si="234"/>
        <v>-3407.5949367088606</v>
      </c>
      <c r="X1021" s="7">
        <f ca="1">AVERAGE(E1021:OFFSET(F1021,-$X$5+1,0))</f>
        <v>10725</v>
      </c>
      <c r="Y1021" s="7">
        <f ca="1">AVERAGE(E1021:OFFSET(F1021,-$Y$5+1,0))</f>
        <v>10601.8</v>
      </c>
      <c r="Z1021" s="7">
        <f t="shared" ref="Z1021:Z1084" ca="1" si="236">IF(AND(X1020&lt;=Y1020,X1021&gt;Y1021),1,IF(AND(X1020&gt;Y1020,X1021&lt;=Y1021),-1,0))</f>
        <v>0</v>
      </c>
    </row>
    <row r="1022" spans="1:26">
      <c r="A1022" s="3" t="s">
        <v>73</v>
      </c>
      <c r="B1022" s="4">
        <v>43164</v>
      </c>
      <c r="C1022" s="3">
        <v>10695</v>
      </c>
      <c r="D1022" s="3">
        <v>10741</v>
      </c>
      <c r="E1022" s="3">
        <v>10598</v>
      </c>
      <c r="F1022" s="3">
        <v>10635</v>
      </c>
      <c r="G1022" s="3">
        <v>172804</v>
      </c>
      <c r="H1022" s="3">
        <v>1.0449999999999999</v>
      </c>
      <c r="I1022" s="2">
        <f t="shared" si="229"/>
        <v>0</v>
      </c>
      <c r="J1022" s="10">
        <f t="shared" si="231"/>
        <v>14</v>
      </c>
      <c r="K1022" s="10">
        <f t="shared" si="230"/>
        <v>-60</v>
      </c>
      <c r="L1022" s="10">
        <f t="shared" ca="1" si="235"/>
        <v>0</v>
      </c>
      <c r="M1022" s="10">
        <f t="shared" ref="M1022:M1085" ca="1" si="237">IF(I1022=1,0,IF(M1021+L1021&gt;=$M$5,$M$5,IF(M1021+L1021&lt;=$M$7,$M$7,M1021+L1021)))</f>
        <v>1</v>
      </c>
      <c r="N1022" s="30">
        <f t="shared" ref="N1022:N1085" ca="1" si="238">IF(M1022=0,0,IF(M1022&gt;M1021,(C1022+N1021*M1021)*$S$5,0))</f>
        <v>0</v>
      </c>
      <c r="O1022" s="10">
        <f t="shared" ref="O1022:O1085" ca="1" si="239">IF(M1022=0,0,IF(M1022=M1021,O1021,((M1022-M1021)*C1022+N1021*M1021)*$S$5/M1022))</f>
        <v>2178000</v>
      </c>
      <c r="P1022" s="29">
        <f t="shared" ref="P1022:P1085" ca="1" si="240">IF(M1021=M1022,(M1021*J1022+M1022*K1022)*$S$5,(M1021*J1022+M1022*K1022)*$S$5-$S$6)</f>
        <v>-9200</v>
      </c>
      <c r="Q1022" s="12">
        <f t="shared" ref="Q1022:Q1085" ca="1" si="241">P1022+Q1021</f>
        <v>-368700</v>
      </c>
      <c r="R1022" s="10">
        <f t="shared" ref="R1022:R1085" ca="1" si="242">IF(P1022=0,0,IF(O1022=0,100*P1022/O1021,100*P1022/O1022))</f>
        <v>-0.42240587695133147</v>
      </c>
      <c r="S1022" s="10">
        <f t="shared" ca="1" si="232"/>
        <v>9.9310806930219195E-2</v>
      </c>
      <c r="T1022" s="14">
        <f t="shared" ca="1" si="233"/>
        <v>-0.11725827620747893</v>
      </c>
      <c r="U1022" s="12">
        <f t="shared" ref="U1022:U1085" ca="1" si="243">IF(Q1022&gt;U1021,Q1022,U1021)</f>
        <v>7900</v>
      </c>
      <c r="V1022" s="14">
        <f t="shared" ref="V1022:V1085" ca="1" si="244">IF(U1022=0,0,100*(Q1022-U1022)/U1022)</f>
        <v>-4767.0886075949365</v>
      </c>
      <c r="W1022" s="12">
        <f t="shared" ca="1" si="234"/>
        <v>-3407.5949367088606</v>
      </c>
      <c r="X1022" s="7">
        <f ca="1">AVERAGE(E1022:OFFSET(F1022,-$X$5+1,0))</f>
        <v>10702.6</v>
      </c>
      <c r="Y1022" s="7">
        <f ca="1">AVERAGE(E1022:OFFSET(F1022,-$Y$5+1,0))</f>
        <v>10612.95</v>
      </c>
      <c r="Z1022" s="7">
        <f t="shared" ca="1" si="236"/>
        <v>0</v>
      </c>
    </row>
    <row r="1023" spans="1:26">
      <c r="A1023" s="3" t="s">
        <v>73</v>
      </c>
      <c r="B1023" s="4">
        <v>43165</v>
      </c>
      <c r="C1023" s="3">
        <v>10730</v>
      </c>
      <c r="D1023" s="3">
        <v>10789</v>
      </c>
      <c r="E1023" s="3">
        <v>10712</v>
      </c>
      <c r="F1023" s="3">
        <v>10787</v>
      </c>
      <c r="G1023" s="3">
        <v>142401</v>
      </c>
      <c r="H1023" s="3">
        <v>1.0449999999999999</v>
      </c>
      <c r="I1023" s="2">
        <f t="shared" si="229"/>
        <v>0</v>
      </c>
      <c r="J1023" s="10">
        <f t="shared" si="231"/>
        <v>95</v>
      </c>
      <c r="K1023" s="10">
        <f t="shared" si="230"/>
        <v>57</v>
      </c>
      <c r="L1023" s="10">
        <f t="shared" ca="1" si="235"/>
        <v>0</v>
      </c>
      <c r="M1023" s="10">
        <f t="shared" ca="1" si="237"/>
        <v>1</v>
      </c>
      <c r="N1023" s="30">
        <f t="shared" ca="1" si="238"/>
        <v>0</v>
      </c>
      <c r="O1023" s="10">
        <f t="shared" ca="1" si="239"/>
        <v>2178000</v>
      </c>
      <c r="P1023" s="29">
        <f t="shared" ca="1" si="240"/>
        <v>30400</v>
      </c>
      <c r="Q1023" s="12">
        <f t="shared" ca="1" si="241"/>
        <v>-338300</v>
      </c>
      <c r="R1023" s="10">
        <f t="shared" ca="1" si="242"/>
        <v>1.3957759412304866</v>
      </c>
      <c r="S1023" s="10">
        <f t="shared" ca="1" si="232"/>
        <v>0.27579687948693404</v>
      </c>
      <c r="T1023" s="14">
        <f t="shared" ca="1" si="233"/>
        <v>-9.456210943669606E-2</v>
      </c>
      <c r="U1023" s="12">
        <f t="shared" ca="1" si="243"/>
        <v>7900</v>
      </c>
      <c r="V1023" s="14">
        <f t="shared" ca="1" si="244"/>
        <v>-4382.2784810126586</v>
      </c>
      <c r="W1023" s="12">
        <f t="shared" ca="1" si="234"/>
        <v>-3407.5949367088606</v>
      </c>
      <c r="X1023" s="7">
        <f ca="1">AVERAGE(E1023:OFFSET(F1023,-$X$5+1,0))</f>
        <v>10690.2</v>
      </c>
      <c r="Y1023" s="7">
        <f ca="1">AVERAGE(E1023:OFFSET(F1023,-$Y$5+1,0))</f>
        <v>10664.2</v>
      </c>
      <c r="Z1023" s="7">
        <f t="shared" ca="1" si="236"/>
        <v>0</v>
      </c>
    </row>
    <row r="1024" spans="1:26">
      <c r="A1024" s="3" t="s">
        <v>73</v>
      </c>
      <c r="B1024" s="4">
        <v>43166</v>
      </c>
      <c r="C1024" s="3">
        <v>10712</v>
      </c>
      <c r="D1024" s="3">
        <v>10817</v>
      </c>
      <c r="E1024" s="3">
        <v>10700</v>
      </c>
      <c r="F1024" s="3">
        <v>10712</v>
      </c>
      <c r="G1024" s="3">
        <v>158990</v>
      </c>
      <c r="H1024" s="3">
        <v>1.0449999999999999</v>
      </c>
      <c r="I1024" s="2">
        <f t="shared" si="229"/>
        <v>0</v>
      </c>
      <c r="J1024" s="10">
        <f t="shared" si="231"/>
        <v>-75</v>
      </c>
      <c r="K1024" s="10">
        <f t="shared" si="230"/>
        <v>0</v>
      </c>
      <c r="L1024" s="10">
        <f t="shared" ca="1" si="235"/>
        <v>-1</v>
      </c>
      <c r="M1024" s="10">
        <f t="shared" ca="1" si="237"/>
        <v>1</v>
      </c>
      <c r="N1024" s="30">
        <f t="shared" ca="1" si="238"/>
        <v>0</v>
      </c>
      <c r="O1024" s="10">
        <f t="shared" ca="1" si="239"/>
        <v>2178000</v>
      </c>
      <c r="P1024" s="29">
        <f t="shared" ca="1" si="240"/>
        <v>-15000</v>
      </c>
      <c r="Q1024" s="12">
        <f t="shared" ca="1" si="241"/>
        <v>-353300</v>
      </c>
      <c r="R1024" s="10">
        <f t="shared" ca="1" si="242"/>
        <v>-0.68870523415977958</v>
      </c>
      <c r="S1024" s="10">
        <f t="shared" ca="1" si="232"/>
        <v>0.23092753900641333</v>
      </c>
      <c r="T1024" s="14">
        <f t="shared" ca="1" si="233"/>
        <v>-9.9876422008735588E-2</v>
      </c>
      <c r="U1024" s="12">
        <f t="shared" ca="1" si="243"/>
        <v>7900</v>
      </c>
      <c r="V1024" s="14">
        <f t="shared" ca="1" si="244"/>
        <v>-4572.1518987341769</v>
      </c>
      <c r="W1024" s="12">
        <f t="shared" ca="1" si="234"/>
        <v>-3407.5949367088606</v>
      </c>
      <c r="X1024" s="7">
        <f ca="1">AVERAGE(E1024:OFFSET(F1024,-$X$5+1,0))</f>
        <v>10673.9</v>
      </c>
      <c r="Y1024" s="7">
        <f ca="1">AVERAGE(E1024:OFFSET(F1024,-$Y$5+1,0))</f>
        <v>10695.45</v>
      </c>
      <c r="Z1024" s="7">
        <f t="shared" ca="1" si="236"/>
        <v>-1</v>
      </c>
    </row>
    <row r="1025" spans="1:26">
      <c r="A1025" s="3" t="s">
        <v>73</v>
      </c>
      <c r="B1025" s="4">
        <v>43167</v>
      </c>
      <c r="C1025" s="3">
        <v>10778</v>
      </c>
      <c r="D1025" s="3">
        <v>10847</v>
      </c>
      <c r="E1025" s="3">
        <v>10767</v>
      </c>
      <c r="F1025" s="3">
        <v>10829</v>
      </c>
      <c r="G1025" s="3">
        <v>119702</v>
      </c>
      <c r="H1025" s="3">
        <v>1.0449999999999999</v>
      </c>
      <c r="I1025" s="2">
        <f t="shared" si="229"/>
        <v>0</v>
      </c>
      <c r="J1025" s="10">
        <f t="shared" si="231"/>
        <v>66</v>
      </c>
      <c r="K1025" s="10">
        <f t="shared" si="230"/>
        <v>51</v>
      </c>
      <c r="L1025" s="10">
        <f t="shared" ca="1" si="235"/>
        <v>0</v>
      </c>
      <c r="M1025" s="10">
        <f t="shared" ca="1" si="237"/>
        <v>0</v>
      </c>
      <c r="N1025" s="30">
        <f t="shared" ca="1" si="238"/>
        <v>0</v>
      </c>
      <c r="O1025" s="10">
        <f t="shared" ca="1" si="239"/>
        <v>0</v>
      </c>
      <c r="P1025" s="29">
        <f t="shared" ca="1" si="240"/>
        <v>12700</v>
      </c>
      <c r="Q1025" s="12">
        <f t="shared" ca="1" si="241"/>
        <v>-340600</v>
      </c>
      <c r="R1025" s="10">
        <f t="shared" ca="1" si="242"/>
        <v>0.58310376492194671</v>
      </c>
      <c r="S1025" s="10">
        <f t="shared" ca="1" si="232"/>
        <v>0.32186273571360197</v>
      </c>
      <c r="T1025" s="14">
        <f t="shared" ca="1" si="233"/>
        <v>-8.8745796679348218E-2</v>
      </c>
      <c r="U1025" s="12">
        <f t="shared" ca="1" si="243"/>
        <v>7900</v>
      </c>
      <c r="V1025" s="14">
        <f t="shared" ca="1" si="244"/>
        <v>-4411.3924050632913</v>
      </c>
      <c r="W1025" s="12">
        <f t="shared" ca="1" si="234"/>
        <v>-3407.5949367088606</v>
      </c>
      <c r="X1025" s="7">
        <f ca="1">AVERAGE(E1025:OFFSET(F1025,-$X$5+1,0))</f>
        <v>10700</v>
      </c>
      <c r="Y1025" s="7">
        <f ca="1">AVERAGE(E1025:OFFSET(F1025,-$Y$5+1,0))</f>
        <v>10710.45</v>
      </c>
      <c r="Z1025" s="7">
        <f t="shared" ca="1" si="236"/>
        <v>0</v>
      </c>
    </row>
    <row r="1026" spans="1:26">
      <c r="A1026" s="3" t="s">
        <v>73</v>
      </c>
      <c r="B1026" s="4">
        <v>43168</v>
      </c>
      <c r="C1026" s="3">
        <v>10906</v>
      </c>
      <c r="D1026" s="3">
        <v>10910</v>
      </c>
      <c r="E1026" s="3">
        <v>10827</v>
      </c>
      <c r="F1026" s="3">
        <v>10865</v>
      </c>
      <c r="G1026" s="3">
        <v>128355</v>
      </c>
      <c r="H1026" s="3">
        <v>1.0449999999999999</v>
      </c>
      <c r="I1026" s="2">
        <f t="shared" si="229"/>
        <v>0</v>
      </c>
      <c r="J1026" s="10">
        <f t="shared" si="231"/>
        <v>77</v>
      </c>
      <c r="K1026" s="10">
        <f t="shared" si="230"/>
        <v>-41</v>
      </c>
      <c r="L1026" s="10">
        <f t="shared" ca="1" si="235"/>
        <v>1</v>
      </c>
      <c r="M1026" s="10">
        <f t="shared" ca="1" si="237"/>
        <v>0</v>
      </c>
      <c r="N1026" s="30">
        <f t="shared" ca="1" si="238"/>
        <v>0</v>
      </c>
      <c r="O1026" s="10">
        <f t="shared" ca="1" si="239"/>
        <v>0</v>
      </c>
      <c r="P1026" s="29">
        <f t="shared" ca="1" si="240"/>
        <v>0</v>
      </c>
      <c r="Q1026" s="12">
        <f t="shared" ca="1" si="241"/>
        <v>-340600</v>
      </c>
      <c r="R1026" s="10">
        <f t="shared" ca="1" si="242"/>
        <v>0</v>
      </c>
      <c r="S1026" s="10">
        <f t="shared" ca="1" si="232"/>
        <v>0.32186273571360197</v>
      </c>
      <c r="T1026" s="14">
        <f t="shared" ca="1" si="233"/>
        <v>-8.8745796679348218E-2</v>
      </c>
      <c r="U1026" s="12">
        <f t="shared" ca="1" si="243"/>
        <v>7900</v>
      </c>
      <c r="V1026" s="14">
        <f t="shared" ca="1" si="244"/>
        <v>-4411.3924050632913</v>
      </c>
      <c r="W1026" s="12">
        <f t="shared" ca="1" si="234"/>
        <v>-3407.5949367088606</v>
      </c>
      <c r="X1026" s="7">
        <f ca="1">AVERAGE(E1026:OFFSET(F1026,-$X$5+1,0))</f>
        <v>10743.2</v>
      </c>
      <c r="Y1026" s="7">
        <f ca="1">AVERAGE(E1026:OFFSET(F1026,-$Y$5+1,0))</f>
        <v>10734.1</v>
      </c>
      <c r="Z1026" s="7">
        <f t="shared" ca="1" si="236"/>
        <v>1</v>
      </c>
    </row>
    <row r="1027" spans="1:26">
      <c r="A1027" s="3" t="s">
        <v>73</v>
      </c>
      <c r="B1027" s="4">
        <v>43171</v>
      </c>
      <c r="C1027" s="3">
        <v>10965</v>
      </c>
      <c r="D1027" s="3">
        <v>11025</v>
      </c>
      <c r="E1027" s="3">
        <v>10948</v>
      </c>
      <c r="F1027" s="3">
        <v>11024</v>
      </c>
      <c r="G1027" s="3">
        <v>122637</v>
      </c>
      <c r="H1027" s="3">
        <v>1.0449999999999999</v>
      </c>
      <c r="I1027" s="2">
        <f t="shared" si="229"/>
        <v>0</v>
      </c>
      <c r="J1027" s="10">
        <f t="shared" si="231"/>
        <v>100</v>
      </c>
      <c r="K1027" s="10">
        <f t="shared" si="230"/>
        <v>59</v>
      </c>
      <c r="L1027" s="10">
        <f t="shared" ca="1" si="235"/>
        <v>0</v>
      </c>
      <c r="M1027" s="10">
        <f t="shared" ca="1" si="237"/>
        <v>1</v>
      </c>
      <c r="N1027" s="30">
        <f t="shared" ca="1" si="238"/>
        <v>2193000</v>
      </c>
      <c r="O1027" s="10">
        <f t="shared" ca="1" si="239"/>
        <v>2193000</v>
      </c>
      <c r="P1027" s="29">
        <f t="shared" ca="1" si="240"/>
        <v>11300</v>
      </c>
      <c r="Q1027" s="12">
        <f t="shared" ca="1" si="241"/>
        <v>-329300</v>
      </c>
      <c r="R1027" s="10">
        <f t="shared" ca="1" si="242"/>
        <v>0.51527587779297768</v>
      </c>
      <c r="S1027" s="10">
        <f t="shared" ca="1" si="232"/>
        <v>0.34429506774838431</v>
      </c>
      <c r="T1027" s="14">
        <f t="shared" ca="1" si="233"/>
        <v>-8.5844976882728546E-2</v>
      </c>
      <c r="U1027" s="12">
        <f t="shared" ca="1" si="243"/>
        <v>7900</v>
      </c>
      <c r="V1027" s="14">
        <f t="shared" ca="1" si="244"/>
        <v>-4268.3544303797471</v>
      </c>
      <c r="W1027" s="12">
        <f t="shared" ca="1" si="234"/>
        <v>-3407.5949367088606</v>
      </c>
      <c r="X1027" s="7">
        <f ca="1">AVERAGE(E1027:OFFSET(F1027,-$X$5+1,0))</f>
        <v>10817.1</v>
      </c>
      <c r="Y1027" s="7">
        <f ca="1">AVERAGE(E1027:OFFSET(F1027,-$Y$5+1,0))</f>
        <v>10759.85</v>
      </c>
      <c r="Z1027" s="7">
        <f t="shared" ca="1" si="236"/>
        <v>0</v>
      </c>
    </row>
    <row r="1028" spans="1:26">
      <c r="A1028" s="3" t="s">
        <v>73</v>
      </c>
      <c r="B1028" s="4">
        <v>43172</v>
      </c>
      <c r="C1028" s="3">
        <v>11028</v>
      </c>
      <c r="D1028" s="3">
        <v>11103</v>
      </c>
      <c r="E1028" s="3">
        <v>11013</v>
      </c>
      <c r="F1028" s="3">
        <v>11100</v>
      </c>
      <c r="G1028" s="3">
        <v>108806</v>
      </c>
      <c r="H1028" s="3">
        <v>1.0449999999999999</v>
      </c>
      <c r="I1028" s="2">
        <f t="shared" ref="I1028:I1091" si="245">IF(A1028=A1029,0,1)</f>
        <v>0</v>
      </c>
      <c r="J1028" s="10">
        <f t="shared" si="231"/>
        <v>4</v>
      </c>
      <c r="K1028" s="10">
        <f t="shared" ref="K1028:K1091" si="246">F1028-C1028</f>
        <v>72</v>
      </c>
      <c r="L1028" s="10">
        <f t="shared" ca="1" si="235"/>
        <v>0</v>
      </c>
      <c r="M1028" s="10">
        <f t="shared" ca="1" si="237"/>
        <v>1</v>
      </c>
      <c r="N1028" s="30">
        <f t="shared" ca="1" si="238"/>
        <v>0</v>
      </c>
      <c r="O1028" s="10">
        <f t="shared" ca="1" si="239"/>
        <v>2193000</v>
      </c>
      <c r="P1028" s="29">
        <f t="shared" ca="1" si="240"/>
        <v>15200</v>
      </c>
      <c r="Q1028" s="12">
        <f t="shared" ca="1" si="241"/>
        <v>-314100</v>
      </c>
      <c r="R1028" s="10">
        <f t="shared" ca="1" si="242"/>
        <v>0.69311445508435932</v>
      </c>
      <c r="S1028" s="10">
        <f t="shared" ca="1" si="232"/>
        <v>0.42468347066352163</v>
      </c>
      <c r="T1028" s="14">
        <f t="shared" ca="1" si="233"/>
        <v>-7.5760758831553421E-2</v>
      </c>
      <c r="U1028" s="12">
        <f t="shared" ca="1" si="243"/>
        <v>7900</v>
      </c>
      <c r="V1028" s="14">
        <f t="shared" ca="1" si="244"/>
        <v>-4075.9493670886077</v>
      </c>
      <c r="W1028" s="12">
        <f t="shared" ca="1" si="234"/>
        <v>-3407.5949367088606</v>
      </c>
      <c r="X1028" s="7">
        <f ca="1">AVERAGE(E1028:OFFSET(F1028,-$X$5+1,0))</f>
        <v>10878.5</v>
      </c>
      <c r="Y1028" s="7">
        <f ca="1">AVERAGE(E1028:OFFSET(F1028,-$Y$5+1,0))</f>
        <v>10784.35</v>
      </c>
      <c r="Z1028" s="7">
        <f t="shared" ca="1" si="236"/>
        <v>0</v>
      </c>
    </row>
    <row r="1029" spans="1:26">
      <c r="A1029" s="3" t="s">
        <v>73</v>
      </c>
      <c r="B1029" s="4">
        <v>43173</v>
      </c>
      <c r="C1029" s="3">
        <v>11048</v>
      </c>
      <c r="D1029" s="3">
        <v>11066</v>
      </c>
      <c r="E1029" s="3">
        <v>11003</v>
      </c>
      <c r="F1029" s="3">
        <v>11031</v>
      </c>
      <c r="G1029" s="3">
        <v>127357</v>
      </c>
      <c r="H1029" s="3">
        <v>1.0449999999999999</v>
      </c>
      <c r="I1029" s="2">
        <f t="shared" si="245"/>
        <v>0</v>
      </c>
      <c r="J1029" s="10">
        <f t="shared" ref="J1029:J1092" si="247">C1029-F1028</f>
        <v>-52</v>
      </c>
      <c r="K1029" s="10">
        <f t="shared" si="246"/>
        <v>-17</v>
      </c>
      <c r="L1029" s="10">
        <f t="shared" ca="1" si="235"/>
        <v>0</v>
      </c>
      <c r="M1029" s="10">
        <f t="shared" ca="1" si="237"/>
        <v>1</v>
      </c>
      <c r="N1029" s="30">
        <f t="shared" ca="1" si="238"/>
        <v>0</v>
      </c>
      <c r="O1029" s="10">
        <f t="shared" ca="1" si="239"/>
        <v>2193000</v>
      </c>
      <c r="P1029" s="29">
        <f t="shared" ca="1" si="240"/>
        <v>-13800</v>
      </c>
      <c r="Q1029" s="12">
        <f t="shared" ca="1" si="241"/>
        <v>-327900</v>
      </c>
      <c r="R1029" s="10">
        <f t="shared" ca="1" si="242"/>
        <v>-0.62927496580027364</v>
      </c>
      <c r="S1029" s="10">
        <f t="shared" ca="1" si="232"/>
        <v>0.35169926275372587</v>
      </c>
      <c r="T1029" s="14">
        <f t="shared" ca="1" si="233"/>
        <v>-8.4444499123463898E-2</v>
      </c>
      <c r="U1029" s="12">
        <f t="shared" ca="1" si="243"/>
        <v>7900</v>
      </c>
      <c r="V1029" s="14">
        <f t="shared" ca="1" si="244"/>
        <v>-4250.6329113924048</v>
      </c>
      <c r="W1029" s="12">
        <f t="shared" ca="1" si="234"/>
        <v>-3407.5949367088606</v>
      </c>
      <c r="X1029" s="7">
        <f ca="1">AVERAGE(E1029:OFFSET(F1029,-$X$5+1,0))</f>
        <v>10940.7</v>
      </c>
      <c r="Y1029" s="7">
        <f ca="1">AVERAGE(E1029:OFFSET(F1029,-$Y$5+1,0))</f>
        <v>10807.3</v>
      </c>
      <c r="Z1029" s="7">
        <f t="shared" ca="1" si="236"/>
        <v>0</v>
      </c>
    </row>
    <row r="1030" spans="1:26">
      <c r="A1030" s="3" t="s">
        <v>73</v>
      </c>
      <c r="B1030" s="4">
        <v>43174</v>
      </c>
      <c r="C1030" s="3">
        <v>10994</v>
      </c>
      <c r="D1030" s="3">
        <v>11068</v>
      </c>
      <c r="E1030" s="3">
        <v>10985</v>
      </c>
      <c r="F1030" s="3">
        <v>11041</v>
      </c>
      <c r="G1030" s="3">
        <v>111968</v>
      </c>
      <c r="H1030" s="3">
        <v>1.0449999999999999</v>
      </c>
      <c r="I1030" s="2">
        <f t="shared" si="245"/>
        <v>0</v>
      </c>
      <c r="J1030" s="10">
        <f t="shared" si="247"/>
        <v>-37</v>
      </c>
      <c r="K1030" s="10">
        <f t="shared" si="246"/>
        <v>47</v>
      </c>
      <c r="L1030" s="10">
        <f t="shared" ca="1" si="235"/>
        <v>0</v>
      </c>
      <c r="M1030" s="10">
        <f t="shared" ca="1" si="237"/>
        <v>1</v>
      </c>
      <c r="N1030" s="30">
        <f t="shared" ca="1" si="238"/>
        <v>0</v>
      </c>
      <c r="O1030" s="10">
        <f t="shared" ca="1" si="239"/>
        <v>2193000</v>
      </c>
      <c r="P1030" s="29">
        <f t="shared" ca="1" si="240"/>
        <v>2000</v>
      </c>
      <c r="Q1030" s="12">
        <f t="shared" ca="1" si="241"/>
        <v>-325900</v>
      </c>
      <c r="R1030" s="10">
        <f t="shared" ca="1" si="242"/>
        <v>9.1199270405836752E-2</v>
      </c>
      <c r="S1030" s="10">
        <f t="shared" ca="1" si="232"/>
        <v>0.3622766841899282</v>
      </c>
      <c r="T1030" s="14">
        <f t="shared" ca="1" si="233"/>
        <v>-8.315259271401311E-2</v>
      </c>
      <c r="U1030" s="12">
        <f t="shared" ca="1" si="243"/>
        <v>7900</v>
      </c>
      <c r="V1030" s="14">
        <f t="shared" ca="1" si="244"/>
        <v>-4225.3164556962029</v>
      </c>
      <c r="W1030" s="12">
        <f t="shared" ca="1" si="234"/>
        <v>-3407.5949367088606</v>
      </c>
      <c r="X1030" s="7">
        <f ca="1">AVERAGE(E1030:OFFSET(F1030,-$X$5+1,0))</f>
        <v>10983.7</v>
      </c>
      <c r="Y1030" s="7">
        <f ca="1">AVERAGE(E1030:OFFSET(F1030,-$Y$5+1,0))</f>
        <v>10841.85</v>
      </c>
      <c r="Z1030" s="7">
        <f t="shared" ca="1" si="236"/>
        <v>0</v>
      </c>
    </row>
    <row r="1031" spans="1:26">
      <c r="A1031" s="3" t="s">
        <v>73</v>
      </c>
      <c r="B1031" s="4">
        <v>43175</v>
      </c>
      <c r="C1031" s="3">
        <v>11038</v>
      </c>
      <c r="D1031" s="3">
        <v>11043</v>
      </c>
      <c r="E1031" s="3">
        <v>10923</v>
      </c>
      <c r="F1031" s="3">
        <v>11018</v>
      </c>
      <c r="G1031" s="3">
        <v>189713</v>
      </c>
      <c r="H1031" s="3">
        <v>1.0449999999999999</v>
      </c>
      <c r="I1031" s="2">
        <f t="shared" si="245"/>
        <v>0</v>
      </c>
      <c r="J1031" s="10">
        <f t="shared" si="247"/>
        <v>-3</v>
      </c>
      <c r="K1031" s="10">
        <f t="shared" si="246"/>
        <v>-20</v>
      </c>
      <c r="L1031" s="10">
        <f t="shared" ca="1" si="235"/>
        <v>0</v>
      </c>
      <c r="M1031" s="10">
        <f t="shared" ca="1" si="237"/>
        <v>1</v>
      </c>
      <c r="N1031" s="30">
        <f t="shared" ca="1" si="238"/>
        <v>0</v>
      </c>
      <c r="O1031" s="10">
        <f t="shared" ca="1" si="239"/>
        <v>2193000</v>
      </c>
      <c r="P1031" s="29">
        <f t="shared" ca="1" si="240"/>
        <v>-4600</v>
      </c>
      <c r="Q1031" s="12">
        <f t="shared" ca="1" si="241"/>
        <v>-330500</v>
      </c>
      <c r="R1031" s="10">
        <f t="shared" ca="1" si="242"/>
        <v>-0.20975832193342453</v>
      </c>
      <c r="S1031" s="10">
        <f t="shared" ca="1" si="232"/>
        <v>0.33794861488666295</v>
      </c>
      <c r="T1031" s="14">
        <f t="shared" ca="1" si="233"/>
        <v>-8.6088233094874497E-2</v>
      </c>
      <c r="U1031" s="12">
        <f t="shared" ca="1" si="243"/>
        <v>7900</v>
      </c>
      <c r="V1031" s="14">
        <f t="shared" ca="1" si="244"/>
        <v>-4283.5443037974683</v>
      </c>
      <c r="W1031" s="12">
        <f t="shared" ca="1" si="234"/>
        <v>-3407.5949367088606</v>
      </c>
      <c r="X1031" s="7">
        <f ca="1">AVERAGE(E1031:OFFSET(F1031,-$X$5+1,0))</f>
        <v>11008.6</v>
      </c>
      <c r="Y1031" s="7">
        <f ca="1">AVERAGE(E1031:OFFSET(F1031,-$Y$5+1,0))</f>
        <v>10875.9</v>
      </c>
      <c r="Z1031" s="7">
        <f t="shared" ca="1" si="236"/>
        <v>0</v>
      </c>
    </row>
    <row r="1032" spans="1:26">
      <c r="A1032" s="3" t="s">
        <v>73</v>
      </c>
      <c r="B1032" s="4">
        <v>43178</v>
      </c>
      <c r="C1032" s="3">
        <v>10975</v>
      </c>
      <c r="D1032" s="3">
        <v>11054</v>
      </c>
      <c r="E1032" s="3">
        <v>10959</v>
      </c>
      <c r="F1032" s="3">
        <v>11028</v>
      </c>
      <c r="G1032" s="3">
        <v>151802</v>
      </c>
      <c r="H1032" s="3">
        <v>1.0449999999999999</v>
      </c>
      <c r="I1032" s="2">
        <f t="shared" si="245"/>
        <v>0</v>
      </c>
      <c r="J1032" s="10">
        <f t="shared" si="247"/>
        <v>-43</v>
      </c>
      <c r="K1032" s="10">
        <f t="shared" si="246"/>
        <v>53</v>
      </c>
      <c r="L1032" s="10">
        <f t="shared" ca="1" si="235"/>
        <v>0</v>
      </c>
      <c r="M1032" s="10">
        <f t="shared" ca="1" si="237"/>
        <v>1</v>
      </c>
      <c r="N1032" s="30">
        <f t="shared" ca="1" si="238"/>
        <v>0</v>
      </c>
      <c r="O1032" s="10">
        <f t="shared" ca="1" si="239"/>
        <v>2193000</v>
      </c>
      <c r="P1032" s="29">
        <f t="shared" ca="1" si="240"/>
        <v>2000</v>
      </c>
      <c r="Q1032" s="12">
        <f t="shared" ca="1" si="241"/>
        <v>-328500</v>
      </c>
      <c r="R1032" s="10">
        <f t="shared" ca="1" si="242"/>
        <v>9.1199270405836752E-2</v>
      </c>
      <c r="S1032" s="10">
        <f t="shared" ca="1" si="232"/>
        <v>0.34852603632286522</v>
      </c>
      <c r="T1032" s="14">
        <f t="shared" ca="1" si="233"/>
        <v>-8.4796679146002196E-2</v>
      </c>
      <c r="U1032" s="12">
        <f t="shared" ca="1" si="243"/>
        <v>7900</v>
      </c>
      <c r="V1032" s="14">
        <f t="shared" ca="1" si="244"/>
        <v>-4258.2278481012654</v>
      </c>
      <c r="W1032" s="12">
        <f t="shared" ca="1" si="234"/>
        <v>-3407.5949367088606</v>
      </c>
      <c r="X1032" s="7">
        <f ca="1">AVERAGE(E1032:OFFSET(F1032,-$X$5+1,0))</f>
        <v>11010.1</v>
      </c>
      <c r="Y1032" s="7">
        <f ca="1">AVERAGE(E1032:OFFSET(F1032,-$Y$5+1,0))</f>
        <v>10913.6</v>
      </c>
      <c r="Z1032" s="7">
        <f t="shared" ca="1" si="236"/>
        <v>0</v>
      </c>
    </row>
    <row r="1033" spans="1:26">
      <c r="A1033" s="3" t="s">
        <v>73</v>
      </c>
      <c r="B1033" s="4">
        <v>43179</v>
      </c>
      <c r="C1033" s="3">
        <v>10973</v>
      </c>
      <c r="D1033" s="3">
        <v>11025</v>
      </c>
      <c r="E1033" s="3">
        <v>10957</v>
      </c>
      <c r="F1033" s="3">
        <v>11012</v>
      </c>
      <c r="G1033" s="3">
        <v>123903</v>
      </c>
      <c r="H1033" s="3">
        <v>1.0449999999999999</v>
      </c>
      <c r="I1033" s="2">
        <f t="shared" si="245"/>
        <v>0</v>
      </c>
      <c r="J1033" s="10">
        <f t="shared" si="247"/>
        <v>-55</v>
      </c>
      <c r="K1033" s="10">
        <f t="shared" si="246"/>
        <v>39</v>
      </c>
      <c r="L1033" s="10">
        <f t="shared" ca="1" si="235"/>
        <v>0</v>
      </c>
      <c r="M1033" s="10">
        <f t="shared" ca="1" si="237"/>
        <v>1</v>
      </c>
      <c r="N1033" s="30">
        <f t="shared" ca="1" si="238"/>
        <v>0</v>
      </c>
      <c r="O1033" s="10">
        <f t="shared" ca="1" si="239"/>
        <v>2193000</v>
      </c>
      <c r="P1033" s="29">
        <f t="shared" ca="1" si="240"/>
        <v>-3200</v>
      </c>
      <c r="Q1033" s="12">
        <f t="shared" ca="1" si="241"/>
        <v>-331700</v>
      </c>
      <c r="R1033" s="10">
        <f t="shared" ca="1" si="242"/>
        <v>-0.1459188326493388</v>
      </c>
      <c r="S1033" s="10">
        <f t="shared" ca="1" si="232"/>
        <v>0.33160216202494158</v>
      </c>
      <c r="T1033" s="14">
        <f t="shared" ca="1" si="233"/>
        <v>-8.684336625641792E-2</v>
      </c>
      <c r="U1033" s="12">
        <f t="shared" ca="1" si="243"/>
        <v>7900</v>
      </c>
      <c r="V1033" s="14">
        <f t="shared" ca="1" si="244"/>
        <v>-4298.7341772151894</v>
      </c>
      <c r="W1033" s="12">
        <f t="shared" ca="1" si="234"/>
        <v>-3407.5949367088606</v>
      </c>
      <c r="X1033" s="7">
        <f ca="1">AVERAGE(E1033:OFFSET(F1033,-$X$5+1,0))</f>
        <v>10995.7</v>
      </c>
      <c r="Y1033" s="7">
        <f ca="1">AVERAGE(E1033:OFFSET(F1033,-$Y$5+1,0))</f>
        <v>10937.1</v>
      </c>
      <c r="Z1033" s="7">
        <f t="shared" ca="1" si="236"/>
        <v>0</v>
      </c>
    </row>
    <row r="1034" spans="1:26">
      <c r="A1034" s="3" t="s">
        <v>73</v>
      </c>
      <c r="B1034" s="4">
        <v>43180</v>
      </c>
      <c r="C1034" s="3">
        <v>11030</v>
      </c>
      <c r="D1034" s="3">
        <v>11073</v>
      </c>
      <c r="E1034" s="3">
        <v>11011</v>
      </c>
      <c r="F1034" s="3">
        <v>11044</v>
      </c>
      <c r="G1034" s="3">
        <v>80714</v>
      </c>
      <c r="H1034" s="3">
        <v>1.0449999999999999</v>
      </c>
      <c r="I1034" s="2">
        <f t="shared" si="245"/>
        <v>1</v>
      </c>
      <c r="J1034" s="10">
        <f t="shared" si="247"/>
        <v>18</v>
      </c>
      <c r="K1034" s="10">
        <f t="shared" si="246"/>
        <v>14</v>
      </c>
      <c r="L1034" s="10">
        <f t="shared" ca="1" si="235"/>
        <v>0</v>
      </c>
      <c r="M1034" s="10">
        <f t="shared" si="237"/>
        <v>0</v>
      </c>
      <c r="N1034" s="30">
        <f t="shared" si="238"/>
        <v>0</v>
      </c>
      <c r="O1034" s="10">
        <f t="shared" si="239"/>
        <v>0</v>
      </c>
      <c r="P1034" s="29">
        <f t="shared" ca="1" si="240"/>
        <v>3100</v>
      </c>
      <c r="Q1034" s="12">
        <f t="shared" ca="1" si="241"/>
        <v>-328600</v>
      </c>
      <c r="R1034" s="10">
        <f t="shared" ca="1" si="242"/>
        <v>0.14135886912904697</v>
      </c>
      <c r="S1034" s="10">
        <f t="shared" ca="1" si="232"/>
        <v>0.33583313059942249</v>
      </c>
      <c r="T1034" s="14">
        <f t="shared" ca="1" si="233"/>
        <v>-8.631845121383469E-2</v>
      </c>
      <c r="U1034" s="12">
        <f t="shared" ca="1" si="243"/>
        <v>7900</v>
      </c>
      <c r="V1034" s="14">
        <f t="shared" ca="1" si="244"/>
        <v>-4259.493670886076</v>
      </c>
      <c r="W1034" s="12">
        <f t="shared" ca="1" si="234"/>
        <v>-3407.5949367088606</v>
      </c>
      <c r="X1034" s="7">
        <f ca="1">AVERAGE(E1034:OFFSET(F1034,-$X$5+1,0))</f>
        <v>10997.8</v>
      </c>
      <c r="Y1034" s="7">
        <f ca="1">AVERAGE(E1034:OFFSET(F1034,-$Y$5+1,0))</f>
        <v>10969.25</v>
      </c>
      <c r="Z1034" s="7">
        <f t="shared" ca="1" si="236"/>
        <v>0</v>
      </c>
    </row>
    <row r="1035" spans="1:26">
      <c r="A1035" s="3" t="s">
        <v>74</v>
      </c>
      <c r="B1035" s="4">
        <v>43181</v>
      </c>
      <c r="C1035" s="3">
        <v>11036</v>
      </c>
      <c r="D1035" s="3">
        <v>11122</v>
      </c>
      <c r="E1035" s="3">
        <v>10961</v>
      </c>
      <c r="F1035" s="3">
        <v>10989</v>
      </c>
      <c r="G1035" s="3">
        <v>192263</v>
      </c>
      <c r="H1035" s="3">
        <v>1.0449999999999999</v>
      </c>
      <c r="I1035" s="2">
        <f t="shared" si="245"/>
        <v>0</v>
      </c>
      <c r="J1035" s="10">
        <f t="shared" si="247"/>
        <v>-8</v>
      </c>
      <c r="K1035" s="10">
        <f t="shared" si="246"/>
        <v>-47</v>
      </c>
      <c r="L1035" s="10">
        <f t="shared" ca="1" si="235"/>
        <v>0</v>
      </c>
      <c r="M1035" s="10">
        <f t="shared" ca="1" si="237"/>
        <v>0</v>
      </c>
      <c r="N1035" s="30">
        <f t="shared" ca="1" si="238"/>
        <v>0</v>
      </c>
      <c r="O1035" s="10">
        <f t="shared" ca="1" si="239"/>
        <v>0</v>
      </c>
      <c r="P1035" s="29">
        <f t="shared" ca="1" si="240"/>
        <v>0</v>
      </c>
      <c r="Q1035" s="12">
        <f t="shared" ca="1" si="241"/>
        <v>-328600</v>
      </c>
      <c r="R1035" s="10">
        <f t="shared" ca="1" si="242"/>
        <v>0</v>
      </c>
      <c r="S1035" s="10">
        <f t="shared" ca="1" si="232"/>
        <v>0.30515860843443587</v>
      </c>
      <c r="T1035" s="14">
        <f t="shared" ca="1" si="233"/>
        <v>-9.0052096085378286E-2</v>
      </c>
      <c r="U1035" s="12">
        <f t="shared" ca="1" si="243"/>
        <v>7900</v>
      </c>
      <c r="V1035" s="14">
        <f t="shared" ca="1" si="244"/>
        <v>-4259.493670886076</v>
      </c>
      <c r="W1035" s="12">
        <f t="shared" ca="1" si="234"/>
        <v>-3407.5949367088606</v>
      </c>
      <c r="X1035" s="7">
        <f ca="1">AVERAGE(E1035:OFFSET(F1035,-$X$5+1,0))</f>
        <v>10990.2</v>
      </c>
      <c r="Y1035" s="7">
        <f ca="1">AVERAGE(E1035:OFFSET(F1035,-$Y$5+1,0))</f>
        <v>10986.95</v>
      </c>
      <c r="Z1035" s="7">
        <f t="shared" ca="1" si="236"/>
        <v>0</v>
      </c>
    </row>
    <row r="1036" spans="1:26">
      <c r="A1036" s="3" t="s">
        <v>74</v>
      </c>
      <c r="B1036" s="4">
        <v>43182</v>
      </c>
      <c r="C1036" s="3">
        <v>10730</v>
      </c>
      <c r="D1036" s="3">
        <v>10816</v>
      </c>
      <c r="E1036" s="3">
        <v>10718</v>
      </c>
      <c r="F1036" s="3">
        <v>10734</v>
      </c>
      <c r="G1036" s="3">
        <v>178593</v>
      </c>
      <c r="H1036" s="3">
        <v>1.0449999999999999</v>
      </c>
      <c r="I1036" s="2">
        <f t="shared" si="245"/>
        <v>0</v>
      </c>
      <c r="J1036" s="10">
        <f t="shared" si="247"/>
        <v>-259</v>
      </c>
      <c r="K1036" s="10">
        <f t="shared" si="246"/>
        <v>4</v>
      </c>
      <c r="L1036" s="10">
        <f t="shared" ca="1" si="235"/>
        <v>-1</v>
      </c>
      <c r="M1036" s="10">
        <f t="shared" ca="1" si="237"/>
        <v>0</v>
      </c>
      <c r="N1036" s="30">
        <f t="shared" ca="1" si="238"/>
        <v>0</v>
      </c>
      <c r="O1036" s="10">
        <f t="shared" ca="1" si="239"/>
        <v>0</v>
      </c>
      <c r="P1036" s="29">
        <f t="shared" ca="1" si="240"/>
        <v>0</v>
      </c>
      <c r="Q1036" s="12">
        <f t="shared" ca="1" si="241"/>
        <v>-328600</v>
      </c>
      <c r="R1036" s="10">
        <f t="shared" ca="1" si="242"/>
        <v>0</v>
      </c>
      <c r="S1036" s="10">
        <f t="shared" ca="1" si="232"/>
        <v>0.4532425085412678</v>
      </c>
      <c r="T1036" s="14">
        <f t="shared" ca="1" si="233"/>
        <v>-7.2027603602064325E-2</v>
      </c>
      <c r="U1036" s="12">
        <f t="shared" ca="1" si="243"/>
        <v>7900</v>
      </c>
      <c r="V1036" s="14">
        <f t="shared" ca="1" si="244"/>
        <v>-4259.493670886076</v>
      </c>
      <c r="W1036" s="12">
        <f t="shared" ca="1" si="234"/>
        <v>-3407.5949367088606</v>
      </c>
      <c r="X1036" s="7">
        <f ca="1">AVERAGE(E1036:OFFSET(F1036,-$X$5+1,0))</f>
        <v>10941.3</v>
      </c>
      <c r="Y1036" s="7">
        <f ca="1">AVERAGE(E1036:OFFSET(F1036,-$Y$5+1,0))</f>
        <v>10974.95</v>
      </c>
      <c r="Z1036" s="7">
        <f t="shared" ca="1" si="236"/>
        <v>-1</v>
      </c>
    </row>
    <row r="1037" spans="1:26">
      <c r="A1037" s="3" t="s">
        <v>74</v>
      </c>
      <c r="B1037" s="4">
        <v>43185</v>
      </c>
      <c r="C1037" s="3">
        <v>10693</v>
      </c>
      <c r="D1037" s="3">
        <v>10847</v>
      </c>
      <c r="E1037" s="3">
        <v>10682</v>
      </c>
      <c r="F1037" s="3">
        <v>10840</v>
      </c>
      <c r="G1037" s="3">
        <v>147862</v>
      </c>
      <c r="H1037" s="3">
        <v>1.0449999999999999</v>
      </c>
      <c r="I1037" s="2">
        <f t="shared" si="245"/>
        <v>0</v>
      </c>
      <c r="J1037" s="10">
        <f t="shared" si="247"/>
        <v>-41</v>
      </c>
      <c r="K1037" s="10">
        <f t="shared" si="246"/>
        <v>147</v>
      </c>
      <c r="L1037" s="10">
        <f t="shared" ca="1" si="235"/>
        <v>0</v>
      </c>
      <c r="M1037" s="10">
        <f t="shared" ca="1" si="237"/>
        <v>-1</v>
      </c>
      <c r="N1037" s="30">
        <f t="shared" ca="1" si="238"/>
        <v>0</v>
      </c>
      <c r="O1037" s="10">
        <f t="shared" ca="1" si="239"/>
        <v>2138600</v>
      </c>
      <c r="P1037" s="29">
        <f t="shared" ca="1" si="240"/>
        <v>-29900</v>
      </c>
      <c r="Q1037" s="12">
        <f t="shared" ca="1" si="241"/>
        <v>-358500</v>
      </c>
      <c r="R1037" s="10">
        <f t="shared" ca="1" si="242"/>
        <v>-1.3981109136818479</v>
      </c>
      <c r="S1037" s="10">
        <f t="shared" ca="1" si="232"/>
        <v>0.22741456087834908</v>
      </c>
      <c r="T1037" s="14">
        <f t="shared" ca="1" si="233"/>
        <v>-9.8241051900387358E-2</v>
      </c>
      <c r="U1037" s="12">
        <f t="shared" ca="1" si="243"/>
        <v>7900</v>
      </c>
      <c r="V1037" s="14">
        <f t="shared" ca="1" si="244"/>
        <v>-4637.9746835443038</v>
      </c>
      <c r="W1037" s="12">
        <f t="shared" ca="1" si="234"/>
        <v>-3407.5949367088606</v>
      </c>
      <c r="X1037" s="7">
        <f ca="1">AVERAGE(E1037:OFFSET(F1037,-$X$5+1,0))</f>
        <v>10894.8</v>
      </c>
      <c r="Y1037" s="7">
        <f ca="1">AVERAGE(E1037:OFFSET(F1037,-$Y$5+1,0))</f>
        <v>10952.45</v>
      </c>
      <c r="Z1037" s="7">
        <f t="shared" ca="1" si="236"/>
        <v>0</v>
      </c>
    </row>
    <row r="1038" spans="1:26">
      <c r="A1038" s="3" t="s">
        <v>74</v>
      </c>
      <c r="B1038" s="4">
        <v>43186</v>
      </c>
      <c r="C1038" s="3">
        <v>10948</v>
      </c>
      <c r="D1038" s="3">
        <v>10991</v>
      </c>
      <c r="E1038" s="3">
        <v>10906</v>
      </c>
      <c r="F1038" s="3">
        <v>10989</v>
      </c>
      <c r="G1038" s="3">
        <v>131507</v>
      </c>
      <c r="H1038" s="3">
        <v>1.0449999999999999</v>
      </c>
      <c r="I1038" s="2">
        <f t="shared" si="245"/>
        <v>0</v>
      </c>
      <c r="J1038" s="10">
        <f t="shared" si="247"/>
        <v>108</v>
      </c>
      <c r="K1038" s="10">
        <f t="shared" si="246"/>
        <v>41</v>
      </c>
      <c r="L1038" s="10">
        <f t="shared" ca="1" si="235"/>
        <v>0</v>
      </c>
      <c r="M1038" s="10">
        <f t="shared" ca="1" si="237"/>
        <v>-1</v>
      </c>
      <c r="N1038" s="30">
        <f t="shared" ca="1" si="238"/>
        <v>0</v>
      </c>
      <c r="O1038" s="10">
        <f t="shared" ca="1" si="239"/>
        <v>2138600</v>
      </c>
      <c r="P1038" s="29">
        <f t="shared" ca="1" si="240"/>
        <v>-29800</v>
      </c>
      <c r="Q1038" s="12">
        <f t="shared" ca="1" si="241"/>
        <v>-388300</v>
      </c>
      <c r="R1038" s="10">
        <f t="shared" ca="1" si="242"/>
        <v>-1.3934349574487983</v>
      </c>
      <c r="S1038" s="10">
        <f t="shared" ca="1" si="232"/>
        <v>3.3847748595847306E-2</v>
      </c>
      <c r="T1038" s="14">
        <f t="shared" ca="1" si="233"/>
        <v>-0.12000427847798939</v>
      </c>
      <c r="U1038" s="12">
        <f t="shared" ca="1" si="243"/>
        <v>7900</v>
      </c>
      <c r="V1038" s="14">
        <f t="shared" ca="1" si="244"/>
        <v>-5015.1898734177212</v>
      </c>
      <c r="W1038" s="12">
        <f t="shared" ca="1" si="234"/>
        <v>-3407.5949367088606</v>
      </c>
      <c r="X1038" s="7">
        <f ca="1">AVERAGE(E1038:OFFSET(F1038,-$X$5+1,0))</f>
        <v>10887.4</v>
      </c>
      <c r="Y1038" s="7">
        <f ca="1">AVERAGE(E1038:OFFSET(F1038,-$Y$5+1,0))</f>
        <v>10941.55</v>
      </c>
      <c r="Z1038" s="7">
        <f t="shared" ca="1" si="236"/>
        <v>0</v>
      </c>
    </row>
    <row r="1039" spans="1:26">
      <c r="A1039" s="3" t="s">
        <v>74</v>
      </c>
      <c r="B1039" s="4">
        <v>43187</v>
      </c>
      <c r="C1039" s="3">
        <v>10879</v>
      </c>
      <c r="D1039" s="3">
        <v>10910</v>
      </c>
      <c r="E1039" s="3">
        <v>10809</v>
      </c>
      <c r="F1039" s="3">
        <v>10820</v>
      </c>
      <c r="G1039" s="3">
        <v>155315</v>
      </c>
      <c r="H1039" s="3">
        <v>1.0449999999999999</v>
      </c>
      <c r="I1039" s="2">
        <f t="shared" si="245"/>
        <v>0</v>
      </c>
      <c r="J1039" s="10">
        <f t="shared" si="247"/>
        <v>-110</v>
      </c>
      <c r="K1039" s="10">
        <f t="shared" si="246"/>
        <v>-59</v>
      </c>
      <c r="L1039" s="10">
        <f t="shared" ca="1" si="235"/>
        <v>0</v>
      </c>
      <c r="M1039" s="10">
        <f t="shared" ca="1" si="237"/>
        <v>-1</v>
      </c>
      <c r="N1039" s="30">
        <f t="shared" ca="1" si="238"/>
        <v>0</v>
      </c>
      <c r="O1039" s="10">
        <f t="shared" ca="1" si="239"/>
        <v>2138600</v>
      </c>
      <c r="P1039" s="29">
        <f t="shared" ca="1" si="240"/>
        <v>33800</v>
      </c>
      <c r="Q1039" s="12">
        <f t="shared" ca="1" si="241"/>
        <v>-354500</v>
      </c>
      <c r="R1039" s="10">
        <f t="shared" ca="1" si="242"/>
        <v>1.5804732067707847</v>
      </c>
      <c r="S1039" s="10">
        <f t="shared" ca="1" si="232"/>
        <v>0.22635681873472885</v>
      </c>
      <c r="T1039" s="14">
        <f t="shared" ca="1" si="233"/>
        <v>-9.567156995843755E-2</v>
      </c>
      <c r="U1039" s="12">
        <f t="shared" ca="1" si="243"/>
        <v>7900</v>
      </c>
      <c r="V1039" s="14">
        <f t="shared" ca="1" si="244"/>
        <v>-4587.341772151899</v>
      </c>
      <c r="W1039" s="12">
        <f t="shared" ca="1" si="234"/>
        <v>-3407.5949367088606</v>
      </c>
      <c r="X1039" s="7">
        <f ca="1">AVERAGE(E1039:OFFSET(F1039,-$X$5+1,0))</f>
        <v>10844.8</v>
      </c>
      <c r="Y1039" s="7">
        <f ca="1">AVERAGE(E1039:OFFSET(F1039,-$Y$5+1,0))</f>
        <v>10921.3</v>
      </c>
      <c r="Z1039" s="7">
        <f t="shared" ca="1" si="236"/>
        <v>0</v>
      </c>
    </row>
    <row r="1040" spans="1:26">
      <c r="A1040" s="3" t="s">
        <v>74</v>
      </c>
      <c r="B1040" s="4">
        <v>43188</v>
      </c>
      <c r="C1040" s="3">
        <v>10830</v>
      </c>
      <c r="D1040" s="3">
        <v>10859</v>
      </c>
      <c r="E1040" s="3">
        <v>10773</v>
      </c>
      <c r="F1040" s="3">
        <v>10840</v>
      </c>
      <c r="G1040" s="3">
        <v>149221</v>
      </c>
      <c r="H1040" s="3">
        <v>1.0449999999999999</v>
      </c>
      <c r="I1040" s="2">
        <f t="shared" si="245"/>
        <v>0</v>
      </c>
      <c r="J1040" s="10">
        <f t="shared" si="247"/>
        <v>10</v>
      </c>
      <c r="K1040" s="10">
        <f t="shared" si="246"/>
        <v>10</v>
      </c>
      <c r="L1040" s="10">
        <f t="shared" ca="1" si="235"/>
        <v>0</v>
      </c>
      <c r="M1040" s="10">
        <f t="shared" ca="1" si="237"/>
        <v>-1</v>
      </c>
      <c r="N1040" s="30">
        <f t="shared" ca="1" si="238"/>
        <v>0</v>
      </c>
      <c r="O1040" s="10">
        <f t="shared" ca="1" si="239"/>
        <v>2138600</v>
      </c>
      <c r="P1040" s="29">
        <f t="shared" ca="1" si="240"/>
        <v>-4000</v>
      </c>
      <c r="Q1040" s="12">
        <f t="shared" ca="1" si="241"/>
        <v>-358500</v>
      </c>
      <c r="R1040" s="10">
        <f t="shared" ca="1" si="242"/>
        <v>-0.18703824932198634</v>
      </c>
      <c r="S1040" s="10">
        <f t="shared" ca="1" si="232"/>
        <v>0.14173744724511059</v>
      </c>
      <c r="T1040" s="14">
        <f t="shared" ca="1" si="233"/>
        <v>-0.10553702406039087</v>
      </c>
      <c r="U1040" s="12">
        <f t="shared" ca="1" si="243"/>
        <v>7900</v>
      </c>
      <c r="V1040" s="14">
        <f t="shared" ca="1" si="244"/>
        <v>-4637.9746835443038</v>
      </c>
      <c r="W1040" s="12">
        <f t="shared" ca="1" si="234"/>
        <v>-3407.5949367088606</v>
      </c>
      <c r="X1040" s="7">
        <f ca="1">AVERAGE(E1040:OFFSET(F1040,-$X$5+1,0))</f>
        <v>10811.1</v>
      </c>
      <c r="Y1040" s="7">
        <f ca="1">AVERAGE(E1040:OFFSET(F1040,-$Y$5+1,0))</f>
        <v>10900.65</v>
      </c>
      <c r="Z1040" s="7">
        <f t="shared" ca="1" si="236"/>
        <v>0</v>
      </c>
    </row>
    <row r="1041" spans="1:26">
      <c r="A1041" s="3" t="s">
        <v>74</v>
      </c>
      <c r="B1041" s="4">
        <v>43189</v>
      </c>
      <c r="C1041" s="3">
        <v>10921</v>
      </c>
      <c r="D1041" s="3">
        <v>10974</v>
      </c>
      <c r="E1041" s="3">
        <v>10904</v>
      </c>
      <c r="F1041" s="3">
        <v>10919</v>
      </c>
      <c r="G1041" s="3">
        <v>111968</v>
      </c>
      <c r="H1041" s="3">
        <v>1.0449999999999999</v>
      </c>
      <c r="I1041" s="2">
        <f t="shared" si="245"/>
        <v>0</v>
      </c>
      <c r="J1041" s="10">
        <f t="shared" si="247"/>
        <v>81</v>
      </c>
      <c r="K1041" s="10">
        <f t="shared" si="246"/>
        <v>-2</v>
      </c>
      <c r="L1041" s="10">
        <f t="shared" ca="1" si="235"/>
        <v>0</v>
      </c>
      <c r="M1041" s="10">
        <f t="shared" ca="1" si="237"/>
        <v>-1</v>
      </c>
      <c r="N1041" s="30">
        <f t="shared" ca="1" si="238"/>
        <v>0</v>
      </c>
      <c r="O1041" s="10">
        <f t="shared" ca="1" si="239"/>
        <v>2138600</v>
      </c>
      <c r="P1041" s="29">
        <f t="shared" ca="1" si="240"/>
        <v>-15800</v>
      </c>
      <c r="Q1041" s="12">
        <f t="shared" ca="1" si="241"/>
        <v>-374300</v>
      </c>
      <c r="R1041" s="10">
        <f t="shared" ca="1" si="242"/>
        <v>-0.73880108482184603</v>
      </c>
      <c r="S1041" s="10">
        <f t="shared" ca="1" si="232"/>
        <v>6.2935657545403575E-2</v>
      </c>
      <c r="T1041" s="14">
        <f t="shared" ca="1" si="233"/>
        <v>-0.11436141056103009</v>
      </c>
      <c r="U1041" s="12">
        <f t="shared" ca="1" si="243"/>
        <v>7900</v>
      </c>
      <c r="V1041" s="14">
        <f t="shared" ca="1" si="244"/>
        <v>-4837.9746835443038</v>
      </c>
      <c r="W1041" s="12">
        <f t="shared" ca="1" si="234"/>
        <v>-3407.5949367088606</v>
      </c>
      <c r="X1041" s="7">
        <f ca="1">AVERAGE(E1041:OFFSET(F1041,-$X$5+1,0))</f>
        <v>10848.2</v>
      </c>
      <c r="Y1041" s="7">
        <f ca="1">AVERAGE(E1041:OFFSET(F1041,-$Y$5+1,0))</f>
        <v>10894.75</v>
      </c>
      <c r="Z1041" s="7">
        <f t="shared" ca="1" si="236"/>
        <v>0</v>
      </c>
    </row>
    <row r="1042" spans="1:26">
      <c r="A1042" s="3" t="s">
        <v>74</v>
      </c>
      <c r="B1042" s="4">
        <v>43190</v>
      </c>
      <c r="C1042" s="3">
        <v>10947</v>
      </c>
      <c r="D1042" s="3">
        <v>10949</v>
      </c>
      <c r="E1042" s="3">
        <v>10912</v>
      </c>
      <c r="F1042" s="3">
        <v>10926</v>
      </c>
      <c r="G1042" s="3">
        <v>24169</v>
      </c>
      <c r="H1042" s="3">
        <v>1.0449999999999999</v>
      </c>
      <c r="I1042" s="2">
        <f t="shared" si="245"/>
        <v>0</v>
      </c>
      <c r="J1042" s="10">
        <f t="shared" si="247"/>
        <v>28</v>
      </c>
      <c r="K1042" s="10">
        <f t="shared" si="246"/>
        <v>-21</v>
      </c>
      <c r="L1042" s="10">
        <f t="shared" ca="1" si="235"/>
        <v>0</v>
      </c>
      <c r="M1042" s="10">
        <f t="shared" ca="1" si="237"/>
        <v>-1</v>
      </c>
      <c r="N1042" s="30">
        <f t="shared" ca="1" si="238"/>
        <v>0</v>
      </c>
      <c r="O1042" s="10">
        <f t="shared" ca="1" si="239"/>
        <v>2138600</v>
      </c>
      <c r="P1042" s="29">
        <f t="shared" ca="1" si="240"/>
        <v>-1400</v>
      </c>
      <c r="Q1042" s="12">
        <f t="shared" ca="1" si="241"/>
        <v>-375700</v>
      </c>
      <c r="R1042" s="10">
        <f t="shared" ca="1" si="242"/>
        <v>-6.5463387262695225E-2</v>
      </c>
      <c r="S1042" s="10">
        <f t="shared" ca="1" si="232"/>
        <v>0.10471647221840259</v>
      </c>
      <c r="T1042" s="14">
        <f t="shared" ca="1" si="233"/>
        <v>-0.10949304662374953</v>
      </c>
      <c r="U1042" s="12">
        <f t="shared" ca="1" si="243"/>
        <v>7900</v>
      </c>
      <c r="V1042" s="14">
        <f t="shared" ca="1" si="244"/>
        <v>-4855.6962025316452</v>
      </c>
      <c r="W1042" s="12">
        <f t="shared" ca="1" si="234"/>
        <v>-3407.5949367088606</v>
      </c>
      <c r="X1042" s="7">
        <f ca="1">AVERAGE(E1042:OFFSET(F1042,-$X$5+1,0))</f>
        <v>10879.8</v>
      </c>
      <c r="Y1042" s="7">
        <f ca="1">AVERAGE(E1042:OFFSET(F1042,-$Y$5+1,0))</f>
        <v>10887.3</v>
      </c>
      <c r="Z1042" s="7">
        <f t="shared" ca="1" si="236"/>
        <v>0</v>
      </c>
    </row>
    <row r="1043" spans="1:26">
      <c r="A1043" s="3" t="s">
        <v>74</v>
      </c>
      <c r="B1043" s="4">
        <v>43192</v>
      </c>
      <c r="C1043" s="3">
        <v>10920</v>
      </c>
      <c r="D1043" s="3">
        <v>10958</v>
      </c>
      <c r="E1043" s="3">
        <v>10843</v>
      </c>
      <c r="F1043" s="3">
        <v>10865</v>
      </c>
      <c r="G1043" s="3">
        <v>137934</v>
      </c>
      <c r="H1043" s="3">
        <v>1.0449999999999999</v>
      </c>
      <c r="I1043" s="2">
        <f t="shared" si="245"/>
        <v>0</v>
      </c>
      <c r="J1043" s="10">
        <f t="shared" si="247"/>
        <v>-6</v>
      </c>
      <c r="K1043" s="10">
        <f t="shared" si="246"/>
        <v>-55</v>
      </c>
      <c r="L1043" s="10">
        <f t="shared" ca="1" si="235"/>
        <v>0</v>
      </c>
      <c r="M1043" s="10">
        <f t="shared" ca="1" si="237"/>
        <v>-1</v>
      </c>
      <c r="N1043" s="30">
        <f t="shared" ca="1" si="238"/>
        <v>0</v>
      </c>
      <c r="O1043" s="10">
        <f t="shared" ca="1" si="239"/>
        <v>2138600</v>
      </c>
      <c r="P1043" s="29">
        <f t="shared" ca="1" si="240"/>
        <v>12200</v>
      </c>
      <c r="Q1043" s="12">
        <f t="shared" ca="1" si="241"/>
        <v>-363500</v>
      </c>
      <c r="R1043" s="10">
        <f t="shared" ca="1" si="242"/>
        <v>0.5704666604320584</v>
      </c>
      <c r="S1043" s="10">
        <f t="shared" ca="1" si="232"/>
        <v>3.1732264308606845E-2</v>
      </c>
      <c r="T1043" s="14">
        <f t="shared" ca="1" si="233"/>
        <v>-0.11776238517538833</v>
      </c>
      <c r="U1043" s="12">
        <f t="shared" ca="1" si="243"/>
        <v>7900</v>
      </c>
      <c r="V1043" s="14">
        <f t="shared" ca="1" si="244"/>
        <v>-4701.2658227848106</v>
      </c>
      <c r="W1043" s="12">
        <f t="shared" ca="1" si="234"/>
        <v>-3407.5949367088606</v>
      </c>
      <c r="X1043" s="7">
        <f ca="1">AVERAGE(E1043:OFFSET(F1043,-$X$5+1,0))</f>
        <v>10861.1</v>
      </c>
      <c r="Y1043" s="7">
        <f ca="1">AVERAGE(E1043:OFFSET(F1043,-$Y$5+1,0))</f>
        <v>10874.25</v>
      </c>
      <c r="Z1043" s="7">
        <f t="shared" ca="1" si="236"/>
        <v>0</v>
      </c>
    </row>
    <row r="1044" spans="1:26">
      <c r="A1044" s="3" t="s">
        <v>74</v>
      </c>
      <c r="B1044" s="4">
        <v>43193</v>
      </c>
      <c r="C1044" s="3">
        <v>10774</v>
      </c>
      <c r="D1044" s="3">
        <v>10807</v>
      </c>
      <c r="E1044" s="3">
        <v>10738</v>
      </c>
      <c r="F1044" s="3">
        <v>10784</v>
      </c>
      <c r="G1044" s="3">
        <v>133955</v>
      </c>
      <c r="H1044" s="3">
        <v>1.0449999999999999</v>
      </c>
      <c r="I1044" s="2">
        <f t="shared" si="245"/>
        <v>0</v>
      </c>
      <c r="J1044" s="10">
        <f t="shared" si="247"/>
        <v>-91</v>
      </c>
      <c r="K1044" s="10">
        <f t="shared" si="246"/>
        <v>10</v>
      </c>
      <c r="L1044" s="10">
        <f t="shared" ca="1" si="235"/>
        <v>1</v>
      </c>
      <c r="M1044" s="10">
        <f t="shared" ca="1" si="237"/>
        <v>-1</v>
      </c>
      <c r="N1044" s="30">
        <f t="shared" ca="1" si="238"/>
        <v>0</v>
      </c>
      <c r="O1044" s="10">
        <f t="shared" ca="1" si="239"/>
        <v>2138600</v>
      </c>
      <c r="P1044" s="29">
        <f t="shared" ca="1" si="240"/>
        <v>16200</v>
      </c>
      <c r="Q1044" s="12">
        <f t="shared" ca="1" si="241"/>
        <v>-347300</v>
      </c>
      <c r="R1044" s="10">
        <f t="shared" ca="1" si="242"/>
        <v>0.75750490975404472</v>
      </c>
      <c r="S1044" s="10">
        <f t="shared" ca="1" si="232"/>
        <v>0.12375583080356671</v>
      </c>
      <c r="T1044" s="14">
        <f t="shared" ca="1" si="233"/>
        <v>-0.10700607073210534</v>
      </c>
      <c r="U1044" s="12">
        <f t="shared" ca="1" si="243"/>
        <v>7900</v>
      </c>
      <c r="V1044" s="14">
        <f t="shared" ca="1" si="244"/>
        <v>-4496.2025316455693</v>
      </c>
      <c r="W1044" s="12">
        <f t="shared" ca="1" si="234"/>
        <v>-3407.5949367088606</v>
      </c>
      <c r="X1044" s="7">
        <f ca="1">AVERAGE(E1044:OFFSET(F1044,-$X$5+1,0))</f>
        <v>10850.4</v>
      </c>
      <c r="Y1044" s="7">
        <f ca="1">AVERAGE(E1044:OFFSET(F1044,-$Y$5+1,0))</f>
        <v>10847.6</v>
      </c>
      <c r="Z1044" s="7">
        <f t="shared" ca="1" si="236"/>
        <v>1</v>
      </c>
    </row>
    <row r="1045" spans="1:26">
      <c r="A1045" s="3" t="s">
        <v>74</v>
      </c>
      <c r="B1045" s="4">
        <v>43199</v>
      </c>
      <c r="C1045" s="3">
        <v>10838</v>
      </c>
      <c r="D1045" s="3">
        <v>10911</v>
      </c>
      <c r="E1045" s="3">
        <v>10813</v>
      </c>
      <c r="F1045" s="3">
        <v>10904</v>
      </c>
      <c r="G1045" s="3">
        <v>155952</v>
      </c>
      <c r="H1045" s="3">
        <v>1.0449999999999999</v>
      </c>
      <c r="I1045" s="2">
        <f t="shared" si="245"/>
        <v>0</v>
      </c>
      <c r="J1045" s="10">
        <f t="shared" si="247"/>
        <v>54</v>
      </c>
      <c r="K1045" s="10">
        <f t="shared" si="246"/>
        <v>66</v>
      </c>
      <c r="L1045" s="10">
        <f t="shared" ca="1" si="235"/>
        <v>0</v>
      </c>
      <c r="M1045" s="10">
        <f t="shared" ca="1" si="237"/>
        <v>0</v>
      </c>
      <c r="N1045" s="30">
        <f t="shared" ca="1" si="238"/>
        <v>0</v>
      </c>
      <c r="O1045" s="10">
        <f t="shared" ca="1" si="239"/>
        <v>0</v>
      </c>
      <c r="P1045" s="29">
        <f t="shared" ca="1" si="240"/>
        <v>-11300</v>
      </c>
      <c r="Q1045" s="12">
        <f t="shared" ca="1" si="241"/>
        <v>-358600</v>
      </c>
      <c r="R1045" s="10">
        <f t="shared" ca="1" si="242"/>
        <v>-0.52838305433461141</v>
      </c>
      <c r="S1045" s="10">
        <f t="shared" ca="1" si="232"/>
        <v>7.9859531843327239E-2</v>
      </c>
      <c r="T1045" s="14">
        <f t="shared" ca="1" si="233"/>
        <v>-0.11218590538626357</v>
      </c>
      <c r="U1045" s="12">
        <f t="shared" ca="1" si="243"/>
        <v>7900</v>
      </c>
      <c r="V1045" s="14">
        <f t="shared" ca="1" si="244"/>
        <v>-4639.2405063291135</v>
      </c>
      <c r="W1045" s="12">
        <f t="shared" ca="1" si="234"/>
        <v>-3407.5949367088606</v>
      </c>
      <c r="X1045" s="7">
        <f ca="1">AVERAGE(E1045:OFFSET(F1045,-$X$5+1,0))</f>
        <v>10860.8</v>
      </c>
      <c r="Y1045" s="7">
        <f ca="1">AVERAGE(E1045:OFFSET(F1045,-$Y$5+1,0))</f>
        <v>10835.95</v>
      </c>
      <c r="Z1045" s="7">
        <f t="shared" ca="1" si="236"/>
        <v>0</v>
      </c>
    </row>
    <row r="1046" spans="1:26">
      <c r="A1046" s="3" t="s">
        <v>74</v>
      </c>
      <c r="B1046" s="4">
        <v>43200</v>
      </c>
      <c r="C1046" s="3">
        <v>10874</v>
      </c>
      <c r="D1046" s="3">
        <v>10993</v>
      </c>
      <c r="E1046" s="3">
        <v>10852</v>
      </c>
      <c r="F1046" s="3">
        <v>10949</v>
      </c>
      <c r="G1046" s="3">
        <v>172575</v>
      </c>
      <c r="H1046" s="3">
        <v>1.0449999999999999</v>
      </c>
      <c r="I1046" s="2">
        <f t="shared" si="245"/>
        <v>0</v>
      </c>
      <c r="J1046" s="10">
        <f t="shared" si="247"/>
        <v>-30</v>
      </c>
      <c r="K1046" s="10">
        <f t="shared" si="246"/>
        <v>75</v>
      </c>
      <c r="L1046" s="10">
        <f t="shared" ca="1" si="235"/>
        <v>0</v>
      </c>
      <c r="M1046" s="10">
        <f t="shared" ca="1" si="237"/>
        <v>0</v>
      </c>
      <c r="N1046" s="30">
        <f t="shared" ca="1" si="238"/>
        <v>0</v>
      </c>
      <c r="O1046" s="10">
        <f t="shared" ca="1" si="239"/>
        <v>0</v>
      </c>
      <c r="P1046" s="29">
        <f t="shared" ca="1" si="240"/>
        <v>0</v>
      </c>
      <c r="Q1046" s="12">
        <f t="shared" ca="1" si="241"/>
        <v>-358600</v>
      </c>
      <c r="R1046" s="10">
        <f t="shared" ca="1" si="242"/>
        <v>0</v>
      </c>
      <c r="S1046" s="10">
        <f t="shared" ca="1" si="232"/>
        <v>4.3367427888429358E-2</v>
      </c>
      <c r="T1046" s="14">
        <f t="shared" ca="1" si="233"/>
        <v>-0.11664356106153181</v>
      </c>
      <c r="U1046" s="12">
        <f t="shared" ca="1" si="243"/>
        <v>7900</v>
      </c>
      <c r="V1046" s="14">
        <f t="shared" ca="1" si="244"/>
        <v>-4639.2405063291135</v>
      </c>
      <c r="W1046" s="12">
        <f t="shared" ca="1" si="234"/>
        <v>-3407.5949367088606</v>
      </c>
      <c r="X1046" s="7">
        <f ca="1">AVERAGE(E1046:OFFSET(F1046,-$X$5+1,0))</f>
        <v>10858.6</v>
      </c>
      <c r="Y1046" s="7">
        <f ca="1">AVERAGE(E1046:OFFSET(F1046,-$Y$5+1,0))</f>
        <v>10853.4</v>
      </c>
      <c r="Z1046" s="7">
        <f t="shared" ca="1" si="236"/>
        <v>0</v>
      </c>
    </row>
    <row r="1047" spans="1:26">
      <c r="A1047" s="3" t="s">
        <v>74</v>
      </c>
      <c r="B1047" s="4">
        <v>43201</v>
      </c>
      <c r="C1047" s="3">
        <v>10959</v>
      </c>
      <c r="D1047" s="3">
        <v>11007</v>
      </c>
      <c r="E1047" s="3">
        <v>10948</v>
      </c>
      <c r="F1047" s="3">
        <v>10979</v>
      </c>
      <c r="G1047" s="3">
        <v>119383</v>
      </c>
      <c r="H1047" s="3">
        <v>1.0449999999999999</v>
      </c>
      <c r="I1047" s="2">
        <f t="shared" si="245"/>
        <v>0</v>
      </c>
      <c r="J1047" s="10">
        <f t="shared" si="247"/>
        <v>10</v>
      </c>
      <c r="K1047" s="10">
        <f t="shared" si="246"/>
        <v>20</v>
      </c>
      <c r="L1047" s="10">
        <f t="shared" ca="1" si="235"/>
        <v>-1</v>
      </c>
      <c r="M1047" s="10">
        <f t="shared" ca="1" si="237"/>
        <v>0</v>
      </c>
      <c r="N1047" s="30">
        <f t="shared" ca="1" si="238"/>
        <v>0</v>
      </c>
      <c r="O1047" s="10">
        <f t="shared" ca="1" si="239"/>
        <v>0</v>
      </c>
      <c r="P1047" s="29">
        <f t="shared" ca="1" si="240"/>
        <v>0</v>
      </c>
      <c r="Q1047" s="12">
        <f t="shared" ca="1" si="241"/>
        <v>-358600</v>
      </c>
      <c r="R1047" s="10">
        <f t="shared" ca="1" si="242"/>
        <v>0</v>
      </c>
      <c r="S1047" s="10">
        <f t="shared" ca="1" si="232"/>
        <v>4.3367427888429358E-2</v>
      </c>
      <c r="T1047" s="14">
        <f t="shared" ca="1" si="233"/>
        <v>-0.11678882669259173</v>
      </c>
      <c r="U1047" s="12">
        <f t="shared" ca="1" si="243"/>
        <v>7900</v>
      </c>
      <c r="V1047" s="14">
        <f t="shared" ca="1" si="244"/>
        <v>-4639.2405063291135</v>
      </c>
      <c r="W1047" s="12">
        <f t="shared" ca="1" si="234"/>
        <v>-3407.5949367088606</v>
      </c>
      <c r="X1047" s="7">
        <f ca="1">AVERAGE(E1047:OFFSET(F1047,-$X$5+1,0))</f>
        <v>10867.5</v>
      </c>
      <c r="Y1047" s="7">
        <f ca="1">AVERAGE(E1047:OFFSET(F1047,-$Y$5+1,0))</f>
        <v>10873.65</v>
      </c>
      <c r="Z1047" s="7">
        <f t="shared" ca="1" si="236"/>
        <v>-1</v>
      </c>
    </row>
    <row r="1048" spans="1:26">
      <c r="A1048" s="3" t="s">
        <v>74</v>
      </c>
      <c r="B1048" s="4">
        <v>43202</v>
      </c>
      <c r="C1048" s="3">
        <v>10993</v>
      </c>
      <c r="D1048" s="3">
        <v>11024</v>
      </c>
      <c r="E1048" s="3">
        <v>10905</v>
      </c>
      <c r="F1048" s="3">
        <v>10943</v>
      </c>
      <c r="G1048" s="3">
        <v>145737</v>
      </c>
      <c r="H1048" s="3">
        <v>1.0449999999999999</v>
      </c>
      <c r="I1048" s="2">
        <f t="shared" si="245"/>
        <v>0</v>
      </c>
      <c r="J1048" s="10">
        <f t="shared" si="247"/>
        <v>14</v>
      </c>
      <c r="K1048" s="10">
        <f t="shared" si="246"/>
        <v>-50</v>
      </c>
      <c r="L1048" s="10">
        <f t="shared" ca="1" si="235"/>
        <v>1</v>
      </c>
      <c r="M1048" s="10">
        <f t="shared" ca="1" si="237"/>
        <v>-1</v>
      </c>
      <c r="N1048" s="30">
        <f t="shared" ca="1" si="238"/>
        <v>0</v>
      </c>
      <c r="O1048" s="10">
        <f t="shared" ca="1" si="239"/>
        <v>2198600</v>
      </c>
      <c r="P1048" s="29">
        <f t="shared" ca="1" si="240"/>
        <v>9500</v>
      </c>
      <c r="Q1048" s="12">
        <f t="shared" ca="1" si="241"/>
        <v>-349100</v>
      </c>
      <c r="R1048" s="10">
        <f t="shared" ca="1" si="242"/>
        <v>0.43209315018648231</v>
      </c>
      <c r="S1048" s="10">
        <f t="shared" ca="1" si="232"/>
        <v>9.3610179710390207E-2</v>
      </c>
      <c r="T1048" s="14">
        <f t="shared" ca="1" si="233"/>
        <v>-0.11084021104351224</v>
      </c>
      <c r="U1048" s="12">
        <f t="shared" ca="1" si="243"/>
        <v>7900</v>
      </c>
      <c r="V1048" s="14">
        <f t="shared" ca="1" si="244"/>
        <v>-4518.9873417721519</v>
      </c>
      <c r="W1048" s="12">
        <f t="shared" ca="1" si="234"/>
        <v>-3407.5949367088606</v>
      </c>
      <c r="X1048" s="7">
        <f ca="1">AVERAGE(E1048:OFFSET(F1048,-$X$5+1,0))</f>
        <v>10881.5</v>
      </c>
      <c r="Y1048" s="7">
        <f ca="1">AVERAGE(E1048:OFFSET(F1048,-$Y$5+1,0))</f>
        <v>10871.3</v>
      </c>
      <c r="Z1048" s="7">
        <f t="shared" ca="1" si="236"/>
        <v>1</v>
      </c>
    </row>
    <row r="1049" spans="1:26">
      <c r="A1049" s="3" t="s">
        <v>74</v>
      </c>
      <c r="B1049" s="4">
        <v>43203</v>
      </c>
      <c r="C1049" s="3">
        <v>10966</v>
      </c>
      <c r="D1049" s="3">
        <v>10988</v>
      </c>
      <c r="E1049" s="3">
        <v>10920</v>
      </c>
      <c r="F1049" s="3">
        <v>10955</v>
      </c>
      <c r="G1049" s="3">
        <v>118585</v>
      </c>
      <c r="H1049" s="3">
        <v>1.0449999999999999</v>
      </c>
      <c r="I1049" s="2">
        <f t="shared" si="245"/>
        <v>0</v>
      </c>
      <c r="J1049" s="10">
        <f t="shared" si="247"/>
        <v>23</v>
      </c>
      <c r="K1049" s="10">
        <f t="shared" si="246"/>
        <v>-11</v>
      </c>
      <c r="L1049" s="10">
        <f t="shared" ca="1" si="235"/>
        <v>0</v>
      </c>
      <c r="M1049" s="10">
        <f t="shared" ca="1" si="237"/>
        <v>0</v>
      </c>
      <c r="N1049" s="30">
        <f t="shared" ca="1" si="238"/>
        <v>0</v>
      </c>
      <c r="O1049" s="10">
        <f t="shared" ca="1" si="239"/>
        <v>0</v>
      </c>
      <c r="P1049" s="29">
        <f t="shared" ca="1" si="240"/>
        <v>-5100</v>
      </c>
      <c r="Q1049" s="12">
        <f t="shared" ca="1" si="241"/>
        <v>-354200</v>
      </c>
      <c r="R1049" s="10">
        <f t="shared" ca="1" si="242"/>
        <v>-0.23196579641590104</v>
      </c>
      <c r="S1049" s="10">
        <f t="shared" ca="1" si="232"/>
        <v>6.6637755048074385E-2</v>
      </c>
      <c r="T1049" s="14">
        <f t="shared" ca="1" si="233"/>
        <v>-0.11461232555078679</v>
      </c>
      <c r="U1049" s="12">
        <f t="shared" ca="1" si="243"/>
        <v>7900</v>
      </c>
      <c r="V1049" s="14">
        <f t="shared" ca="1" si="244"/>
        <v>-4583.5443037974683</v>
      </c>
      <c r="W1049" s="12">
        <f t="shared" ca="1" si="234"/>
        <v>-3407.5949367088606</v>
      </c>
      <c r="X1049" s="7">
        <f ca="1">AVERAGE(E1049:OFFSET(F1049,-$X$5+1,0))</f>
        <v>10916.8</v>
      </c>
      <c r="Y1049" s="7">
        <f ca="1">AVERAGE(E1049:OFFSET(F1049,-$Y$5+1,0))</f>
        <v>10883.6</v>
      </c>
      <c r="Z1049" s="7">
        <f t="shared" ca="1" si="236"/>
        <v>0</v>
      </c>
    </row>
    <row r="1050" spans="1:26">
      <c r="A1050" s="3" t="s">
        <v>74</v>
      </c>
      <c r="B1050" s="4">
        <v>43206</v>
      </c>
      <c r="C1050" s="3">
        <v>10975</v>
      </c>
      <c r="D1050" s="3">
        <v>10976</v>
      </c>
      <c r="E1050" s="3">
        <v>10908</v>
      </c>
      <c r="F1050" s="3">
        <v>10943</v>
      </c>
      <c r="G1050" s="3">
        <v>145646</v>
      </c>
      <c r="H1050" s="3">
        <v>1.0449999999999999</v>
      </c>
      <c r="I1050" s="2">
        <f t="shared" si="245"/>
        <v>0</v>
      </c>
      <c r="J1050" s="10">
        <f t="shared" si="247"/>
        <v>20</v>
      </c>
      <c r="K1050" s="10">
        <f t="shared" si="246"/>
        <v>-32</v>
      </c>
      <c r="L1050" s="10">
        <f t="shared" ca="1" si="235"/>
        <v>0</v>
      </c>
      <c r="M1050" s="10">
        <f t="shared" ca="1" si="237"/>
        <v>0</v>
      </c>
      <c r="N1050" s="30">
        <f t="shared" ca="1" si="238"/>
        <v>0</v>
      </c>
      <c r="O1050" s="10">
        <f t="shared" ca="1" si="239"/>
        <v>0</v>
      </c>
      <c r="P1050" s="29">
        <f t="shared" ca="1" si="240"/>
        <v>0</v>
      </c>
      <c r="Q1050" s="12">
        <f t="shared" ca="1" si="241"/>
        <v>-354200</v>
      </c>
      <c r="R1050" s="10">
        <f t="shared" ca="1" si="242"/>
        <v>0</v>
      </c>
      <c r="S1050" s="10">
        <f t="shared" ca="1" si="232"/>
        <v>6.6637755048074385E-2</v>
      </c>
      <c r="T1050" s="14">
        <f t="shared" ca="1" si="233"/>
        <v>-0.11466576013104651</v>
      </c>
      <c r="U1050" s="12">
        <f t="shared" ca="1" si="243"/>
        <v>7900</v>
      </c>
      <c r="V1050" s="14">
        <f t="shared" ca="1" si="244"/>
        <v>-4583.5443037974683</v>
      </c>
      <c r="W1050" s="12">
        <f t="shared" ca="1" si="234"/>
        <v>-3407.5949367088606</v>
      </c>
      <c r="X1050" s="7">
        <f ca="1">AVERAGE(E1050:OFFSET(F1050,-$X$5+1,0))</f>
        <v>10930.2</v>
      </c>
      <c r="Y1050" s="7">
        <f ca="1">AVERAGE(E1050:OFFSET(F1050,-$Y$5+1,0))</f>
        <v>10895.5</v>
      </c>
      <c r="Z1050" s="7">
        <f t="shared" ca="1" si="236"/>
        <v>0</v>
      </c>
    </row>
    <row r="1051" spans="1:26">
      <c r="A1051" s="3" t="s">
        <v>74</v>
      </c>
      <c r="B1051" s="4">
        <v>43207</v>
      </c>
      <c r="C1051" s="3">
        <v>10958</v>
      </c>
      <c r="D1051" s="3">
        <v>10963</v>
      </c>
      <c r="E1051" s="3">
        <v>10802</v>
      </c>
      <c r="F1051" s="3">
        <v>10806</v>
      </c>
      <c r="G1051" s="3">
        <v>156247</v>
      </c>
      <c r="H1051" s="3">
        <v>1.0449999999999999</v>
      </c>
      <c r="I1051" s="2">
        <f t="shared" si="245"/>
        <v>0</v>
      </c>
      <c r="J1051" s="10">
        <f t="shared" si="247"/>
        <v>15</v>
      </c>
      <c r="K1051" s="10">
        <f t="shared" si="246"/>
        <v>-152</v>
      </c>
      <c r="L1051" s="10">
        <f t="shared" ca="1" si="235"/>
        <v>0</v>
      </c>
      <c r="M1051" s="10">
        <f t="shared" ca="1" si="237"/>
        <v>0</v>
      </c>
      <c r="N1051" s="30">
        <f t="shared" ca="1" si="238"/>
        <v>0</v>
      </c>
      <c r="O1051" s="10">
        <f t="shared" ca="1" si="239"/>
        <v>0</v>
      </c>
      <c r="P1051" s="29">
        <f t="shared" ca="1" si="240"/>
        <v>0</v>
      </c>
      <c r="Q1051" s="12">
        <f t="shared" ca="1" si="241"/>
        <v>-354200</v>
      </c>
      <c r="R1051" s="10">
        <f t="shared" ca="1" si="242"/>
        <v>0</v>
      </c>
      <c r="S1051" s="10">
        <f t="shared" ca="1" si="232"/>
        <v>6.6637755048074385E-2</v>
      </c>
      <c r="T1051" s="14">
        <f t="shared" ca="1" si="233"/>
        <v>-0.11499971205909643</v>
      </c>
      <c r="U1051" s="12">
        <f t="shared" ca="1" si="243"/>
        <v>7900</v>
      </c>
      <c r="V1051" s="14">
        <f t="shared" ca="1" si="244"/>
        <v>-4583.5443037974683</v>
      </c>
      <c r="W1051" s="12">
        <f t="shared" ca="1" si="234"/>
        <v>-3407.5949367088606</v>
      </c>
      <c r="X1051" s="7">
        <f ca="1">AVERAGE(E1051:OFFSET(F1051,-$X$5+1,0))</f>
        <v>10910.9</v>
      </c>
      <c r="Y1051" s="7">
        <f ca="1">AVERAGE(E1051:OFFSET(F1051,-$Y$5+1,0))</f>
        <v>10884.75</v>
      </c>
      <c r="Z1051" s="7">
        <f t="shared" ca="1" si="236"/>
        <v>0</v>
      </c>
    </row>
    <row r="1052" spans="1:26">
      <c r="A1052" s="3" t="s">
        <v>74</v>
      </c>
      <c r="B1052" s="4">
        <v>43208</v>
      </c>
      <c r="C1052" s="3">
        <v>10849</v>
      </c>
      <c r="D1052" s="3">
        <v>10909</v>
      </c>
      <c r="E1052" s="3">
        <v>10789</v>
      </c>
      <c r="F1052" s="3">
        <v>10845</v>
      </c>
      <c r="G1052" s="3">
        <v>106426</v>
      </c>
      <c r="H1052" s="3">
        <v>1.0449999999999999</v>
      </c>
      <c r="I1052" s="2">
        <f t="shared" si="245"/>
        <v>1</v>
      </c>
      <c r="J1052" s="10">
        <f t="shared" si="247"/>
        <v>43</v>
      </c>
      <c r="K1052" s="10">
        <f t="shared" si="246"/>
        <v>-4</v>
      </c>
      <c r="L1052" s="10">
        <f t="shared" ca="1" si="235"/>
        <v>0</v>
      </c>
      <c r="M1052" s="10">
        <f t="shared" si="237"/>
        <v>0</v>
      </c>
      <c r="N1052" s="30">
        <f t="shared" si="238"/>
        <v>0</v>
      </c>
      <c r="O1052" s="10">
        <f t="shared" si="239"/>
        <v>0</v>
      </c>
      <c r="P1052" s="29">
        <f t="shared" ca="1" si="240"/>
        <v>0</v>
      </c>
      <c r="Q1052" s="12">
        <f t="shared" ca="1" si="241"/>
        <v>-354200</v>
      </c>
      <c r="R1052" s="10">
        <f t="shared" ca="1" si="242"/>
        <v>0</v>
      </c>
      <c r="S1052" s="10">
        <f t="shared" ca="1" si="232"/>
        <v>6.6637755048074385E-2</v>
      </c>
      <c r="T1052" s="14">
        <f t="shared" ca="1" si="233"/>
        <v>-0.11524539133372652</v>
      </c>
      <c r="U1052" s="12">
        <f t="shared" ca="1" si="243"/>
        <v>7900</v>
      </c>
      <c r="V1052" s="14">
        <f t="shared" ca="1" si="244"/>
        <v>-4583.5443037974683</v>
      </c>
      <c r="W1052" s="12">
        <f t="shared" ca="1" si="234"/>
        <v>-3407.5949367088606</v>
      </c>
      <c r="X1052" s="7">
        <f ca="1">AVERAGE(E1052:OFFSET(F1052,-$X$5+1,0))</f>
        <v>10881.6</v>
      </c>
      <c r="Y1052" s="7">
        <f ca="1">AVERAGE(E1052:OFFSET(F1052,-$Y$5+1,0))</f>
        <v>10874.55</v>
      </c>
      <c r="Z1052" s="7">
        <f t="shared" ca="1" si="236"/>
        <v>0</v>
      </c>
    </row>
    <row r="1053" spans="1:26">
      <c r="A1053" s="3" t="s">
        <v>75</v>
      </c>
      <c r="B1053" s="4">
        <v>43209</v>
      </c>
      <c r="C1053" s="3">
        <v>10856</v>
      </c>
      <c r="D1053" s="3">
        <v>10975</v>
      </c>
      <c r="E1053" s="3">
        <v>10852</v>
      </c>
      <c r="F1053" s="3">
        <v>10969</v>
      </c>
      <c r="G1053" s="3">
        <v>147058</v>
      </c>
      <c r="H1053" s="3">
        <v>1.0449999999999999</v>
      </c>
      <c r="I1053" s="2">
        <f t="shared" si="245"/>
        <v>0</v>
      </c>
      <c r="J1053" s="10">
        <f t="shared" si="247"/>
        <v>11</v>
      </c>
      <c r="K1053" s="10">
        <f t="shared" si="246"/>
        <v>113</v>
      </c>
      <c r="L1053" s="10">
        <f t="shared" ca="1" si="235"/>
        <v>-1</v>
      </c>
      <c r="M1053" s="10">
        <f t="shared" ca="1" si="237"/>
        <v>0</v>
      </c>
      <c r="N1053" s="30">
        <f t="shared" ca="1" si="238"/>
        <v>0</v>
      </c>
      <c r="O1053" s="10">
        <f t="shared" ca="1" si="239"/>
        <v>0</v>
      </c>
      <c r="P1053" s="29">
        <f t="shared" ca="1" si="240"/>
        <v>0</v>
      </c>
      <c r="Q1053" s="12">
        <f t="shared" ca="1" si="241"/>
        <v>-354200</v>
      </c>
      <c r="R1053" s="10">
        <f t="shared" ca="1" si="242"/>
        <v>0</v>
      </c>
      <c r="S1053" s="10">
        <f t="shared" ca="1" si="232"/>
        <v>6.5530025739721817E-2</v>
      </c>
      <c r="T1053" s="14">
        <f t="shared" ca="1" si="233"/>
        <v>-0.11537707380120607</v>
      </c>
      <c r="U1053" s="12">
        <f t="shared" ca="1" si="243"/>
        <v>7900</v>
      </c>
      <c r="V1053" s="14">
        <f t="shared" ca="1" si="244"/>
        <v>-4583.5443037974683</v>
      </c>
      <c r="W1053" s="12">
        <f t="shared" ca="1" si="234"/>
        <v>-3407.5949367088606</v>
      </c>
      <c r="X1053" s="7">
        <f ca="1">AVERAGE(E1053:OFFSET(F1053,-$X$5+1,0))</f>
        <v>10878.9</v>
      </c>
      <c r="Y1053" s="7">
        <f ca="1">AVERAGE(E1053:OFFSET(F1053,-$Y$5+1,0))</f>
        <v>10880.2</v>
      </c>
      <c r="Z1053" s="7">
        <f t="shared" ca="1" si="236"/>
        <v>-1</v>
      </c>
    </row>
    <row r="1054" spans="1:26">
      <c r="A1054" s="3" t="s">
        <v>75</v>
      </c>
      <c r="B1054" s="4">
        <v>43210</v>
      </c>
      <c r="C1054" s="3">
        <v>10869</v>
      </c>
      <c r="D1054" s="3">
        <v>10870</v>
      </c>
      <c r="E1054" s="3">
        <v>10776</v>
      </c>
      <c r="F1054" s="3">
        <v>10788</v>
      </c>
      <c r="G1054" s="3">
        <v>168412</v>
      </c>
      <c r="H1054" s="3">
        <v>1.0449999999999999</v>
      </c>
      <c r="I1054" s="2">
        <f t="shared" si="245"/>
        <v>0</v>
      </c>
      <c r="J1054" s="10">
        <f t="shared" si="247"/>
        <v>-100</v>
      </c>
      <c r="K1054" s="10">
        <f t="shared" si="246"/>
        <v>-81</v>
      </c>
      <c r="L1054" s="10">
        <f t="shared" ca="1" si="235"/>
        <v>0</v>
      </c>
      <c r="M1054" s="10">
        <f t="shared" ca="1" si="237"/>
        <v>-1</v>
      </c>
      <c r="N1054" s="30">
        <f t="shared" ca="1" si="238"/>
        <v>0</v>
      </c>
      <c r="O1054" s="10">
        <f t="shared" ca="1" si="239"/>
        <v>2173800</v>
      </c>
      <c r="P1054" s="29">
        <f t="shared" ca="1" si="240"/>
        <v>15700</v>
      </c>
      <c r="Q1054" s="12">
        <f t="shared" ca="1" si="241"/>
        <v>-338500</v>
      </c>
      <c r="R1054" s="10">
        <f t="shared" ca="1" si="242"/>
        <v>0.7222375563529303</v>
      </c>
      <c r="S1054" s="10">
        <f t="shared" ca="1" si="232"/>
        <v>6.9662549885470049E-2</v>
      </c>
      <c r="T1054" s="14">
        <f t="shared" ca="1" si="233"/>
        <v>-0.1146349018085876</v>
      </c>
      <c r="U1054" s="12">
        <f t="shared" ca="1" si="243"/>
        <v>7900</v>
      </c>
      <c r="V1054" s="14">
        <f t="shared" ca="1" si="244"/>
        <v>-4384.8101265822788</v>
      </c>
      <c r="W1054" s="12">
        <f t="shared" ca="1" si="234"/>
        <v>-3407.5949367088606</v>
      </c>
      <c r="X1054" s="7">
        <f ca="1">AVERAGE(E1054:OFFSET(F1054,-$X$5+1,0))</f>
        <v>10847.8</v>
      </c>
      <c r="Y1054" s="7">
        <f ca="1">AVERAGE(E1054:OFFSET(F1054,-$Y$5+1,0))</f>
        <v>10882.3</v>
      </c>
      <c r="Z1054" s="7">
        <f t="shared" ca="1" si="236"/>
        <v>0</v>
      </c>
    </row>
    <row r="1055" spans="1:26">
      <c r="A1055" s="3" t="s">
        <v>75</v>
      </c>
      <c r="B1055" s="4">
        <v>43213</v>
      </c>
      <c r="C1055" s="3">
        <v>10731</v>
      </c>
      <c r="D1055" s="3">
        <v>10767</v>
      </c>
      <c r="E1055" s="3">
        <v>10687</v>
      </c>
      <c r="F1055" s="3">
        <v>10694</v>
      </c>
      <c r="G1055" s="3">
        <v>143144</v>
      </c>
      <c r="H1055" s="3">
        <v>1.0449999999999999</v>
      </c>
      <c r="I1055" s="2">
        <f t="shared" si="245"/>
        <v>0</v>
      </c>
      <c r="J1055" s="10">
        <f t="shared" si="247"/>
        <v>-57</v>
      </c>
      <c r="K1055" s="10">
        <f t="shared" si="246"/>
        <v>-37</v>
      </c>
      <c r="L1055" s="10">
        <f t="shared" ca="1" si="235"/>
        <v>0</v>
      </c>
      <c r="M1055" s="10">
        <f t="shared" ca="1" si="237"/>
        <v>-1</v>
      </c>
      <c r="N1055" s="30">
        <f t="shared" ca="1" si="238"/>
        <v>0</v>
      </c>
      <c r="O1055" s="10">
        <f t="shared" ca="1" si="239"/>
        <v>2173800</v>
      </c>
      <c r="P1055" s="29">
        <f t="shared" ca="1" si="240"/>
        <v>18800</v>
      </c>
      <c r="Q1055" s="12">
        <f t="shared" ca="1" si="241"/>
        <v>-319700</v>
      </c>
      <c r="R1055" s="10">
        <f t="shared" ca="1" si="242"/>
        <v>0.86484497193854082</v>
      </c>
      <c r="S1055" s="10">
        <f t="shared" ca="1" si="232"/>
        <v>0.17592745649042435</v>
      </c>
      <c r="T1055" s="14">
        <f t="shared" ca="1" si="233"/>
        <v>-0.1017009029932774</v>
      </c>
      <c r="U1055" s="12">
        <f t="shared" ca="1" si="243"/>
        <v>7900</v>
      </c>
      <c r="V1055" s="14">
        <f t="shared" ca="1" si="244"/>
        <v>-4146.835443037975</v>
      </c>
      <c r="W1055" s="12">
        <f t="shared" ca="1" si="234"/>
        <v>-3407.5949367088606</v>
      </c>
      <c r="X1055" s="7">
        <f ca="1">AVERAGE(E1055:OFFSET(F1055,-$X$5+1,0))</f>
        <v>10800.8</v>
      </c>
      <c r="Y1055" s="7">
        <f ca="1">AVERAGE(E1055:OFFSET(F1055,-$Y$5+1,0))</f>
        <v>10865.5</v>
      </c>
      <c r="Z1055" s="7">
        <f t="shared" ca="1" si="236"/>
        <v>0</v>
      </c>
    </row>
    <row r="1056" spans="1:26">
      <c r="A1056" s="3" t="s">
        <v>75</v>
      </c>
      <c r="B1056" s="4">
        <v>43214</v>
      </c>
      <c r="C1056" s="3">
        <v>10692</v>
      </c>
      <c r="D1056" s="3">
        <v>10694</v>
      </c>
      <c r="E1056" s="3">
        <v>10547</v>
      </c>
      <c r="F1056" s="3">
        <v>10583</v>
      </c>
      <c r="G1056" s="3">
        <v>185925</v>
      </c>
      <c r="H1056" s="3">
        <v>1.0449999999999999</v>
      </c>
      <c r="I1056" s="2">
        <f t="shared" si="245"/>
        <v>0</v>
      </c>
      <c r="J1056" s="10">
        <f t="shared" si="247"/>
        <v>-2</v>
      </c>
      <c r="K1056" s="10">
        <f t="shared" si="246"/>
        <v>-109</v>
      </c>
      <c r="L1056" s="10">
        <f t="shared" ca="1" si="235"/>
        <v>0</v>
      </c>
      <c r="M1056" s="10">
        <f t="shared" ca="1" si="237"/>
        <v>-1</v>
      </c>
      <c r="N1056" s="30">
        <f t="shared" ca="1" si="238"/>
        <v>0</v>
      </c>
      <c r="O1056" s="10">
        <f t="shared" ca="1" si="239"/>
        <v>2173800</v>
      </c>
      <c r="P1056" s="29">
        <f t="shared" ca="1" si="240"/>
        <v>22200</v>
      </c>
      <c r="Q1056" s="12">
        <f t="shared" ca="1" si="241"/>
        <v>-297500</v>
      </c>
      <c r="R1056" s="10">
        <f t="shared" ca="1" si="242"/>
        <v>1.0212531051614684</v>
      </c>
      <c r="S1056" s="10">
        <f t="shared" ca="1" si="232"/>
        <v>0.27983092072637966</v>
      </c>
      <c r="T1056" s="14">
        <f t="shared" ca="1" si="233"/>
        <v>-8.8992583352117835E-2</v>
      </c>
      <c r="U1056" s="12">
        <f t="shared" ca="1" si="243"/>
        <v>7900</v>
      </c>
      <c r="V1056" s="14">
        <f t="shared" ca="1" si="244"/>
        <v>-3865.8227848101264</v>
      </c>
      <c r="W1056" s="12">
        <f t="shared" ca="1" si="234"/>
        <v>-3407.5949367088606</v>
      </c>
      <c r="X1056" s="7">
        <f ca="1">AVERAGE(E1056:OFFSET(F1056,-$X$5+1,0))</f>
        <v>10753</v>
      </c>
      <c r="Y1056" s="7">
        <f ca="1">AVERAGE(E1056:OFFSET(F1056,-$Y$5+1,0))</f>
        <v>10831.95</v>
      </c>
      <c r="Z1056" s="7">
        <f t="shared" ca="1" si="236"/>
        <v>0</v>
      </c>
    </row>
    <row r="1057" spans="1:26">
      <c r="A1057" s="3" t="s">
        <v>75</v>
      </c>
      <c r="B1057" s="4">
        <v>43215</v>
      </c>
      <c r="C1057" s="3">
        <v>10487</v>
      </c>
      <c r="D1057" s="3">
        <v>10558</v>
      </c>
      <c r="E1057" s="3">
        <v>10468</v>
      </c>
      <c r="F1057" s="3">
        <v>10535</v>
      </c>
      <c r="G1057" s="3">
        <v>167276</v>
      </c>
      <c r="H1057" s="3">
        <v>1.0449999999999999</v>
      </c>
      <c r="I1057" s="2">
        <f t="shared" si="245"/>
        <v>0</v>
      </c>
      <c r="J1057" s="10">
        <f t="shared" si="247"/>
        <v>-96</v>
      </c>
      <c r="K1057" s="10">
        <f t="shared" si="246"/>
        <v>48</v>
      </c>
      <c r="L1057" s="10">
        <f t="shared" ca="1" si="235"/>
        <v>0</v>
      </c>
      <c r="M1057" s="10">
        <f t="shared" ca="1" si="237"/>
        <v>-1</v>
      </c>
      <c r="N1057" s="30">
        <f t="shared" ca="1" si="238"/>
        <v>0</v>
      </c>
      <c r="O1057" s="10">
        <f t="shared" ca="1" si="239"/>
        <v>2173800</v>
      </c>
      <c r="P1057" s="29">
        <f t="shared" ca="1" si="240"/>
        <v>9600</v>
      </c>
      <c r="Q1057" s="12">
        <f t="shared" ca="1" si="241"/>
        <v>-287900</v>
      </c>
      <c r="R1057" s="10">
        <f t="shared" ca="1" si="242"/>
        <v>0.4416229643941485</v>
      </c>
      <c r="S1057" s="10">
        <f t="shared" ca="1" si="232"/>
        <v>0.41915602049731976</v>
      </c>
      <c r="T1057" s="14">
        <f t="shared" ca="1" si="233"/>
        <v>-7.2709564944666405E-2</v>
      </c>
      <c r="U1057" s="12">
        <f t="shared" ca="1" si="243"/>
        <v>7900</v>
      </c>
      <c r="V1057" s="14">
        <f t="shared" ca="1" si="244"/>
        <v>-3744.3037974683543</v>
      </c>
      <c r="W1057" s="12">
        <f t="shared" ca="1" si="234"/>
        <v>-3407.5949367088606</v>
      </c>
      <c r="X1057" s="7">
        <f ca="1">AVERAGE(E1057:OFFSET(F1057,-$X$5+1,0))</f>
        <v>10689.9</v>
      </c>
      <c r="Y1057" s="7">
        <f ca="1">AVERAGE(E1057:OFFSET(F1057,-$Y$5+1,0))</f>
        <v>10785.75</v>
      </c>
      <c r="Z1057" s="7">
        <f t="shared" ca="1" si="236"/>
        <v>0</v>
      </c>
    </row>
    <row r="1058" spans="1:26">
      <c r="A1058" s="3" t="s">
        <v>75</v>
      </c>
      <c r="B1058" s="4">
        <v>43216</v>
      </c>
      <c r="C1058" s="3">
        <v>10601</v>
      </c>
      <c r="D1058" s="3">
        <v>10621</v>
      </c>
      <c r="E1058" s="3">
        <v>10470</v>
      </c>
      <c r="F1058" s="3">
        <v>10476</v>
      </c>
      <c r="G1058" s="3">
        <v>173837</v>
      </c>
      <c r="H1058" s="3">
        <v>1.0449999999999999</v>
      </c>
      <c r="I1058" s="2">
        <f t="shared" si="245"/>
        <v>0</v>
      </c>
      <c r="J1058" s="10">
        <f t="shared" si="247"/>
        <v>66</v>
      </c>
      <c r="K1058" s="10">
        <f t="shared" si="246"/>
        <v>-125</v>
      </c>
      <c r="L1058" s="10">
        <f t="shared" ca="1" si="235"/>
        <v>0</v>
      </c>
      <c r="M1058" s="10">
        <f t="shared" ca="1" si="237"/>
        <v>-1</v>
      </c>
      <c r="N1058" s="30">
        <f t="shared" ca="1" si="238"/>
        <v>0</v>
      </c>
      <c r="O1058" s="10">
        <f t="shared" ca="1" si="239"/>
        <v>2173800</v>
      </c>
      <c r="P1058" s="29">
        <f t="shared" ca="1" si="240"/>
        <v>11800</v>
      </c>
      <c r="Q1058" s="12">
        <f t="shared" ca="1" si="241"/>
        <v>-276100</v>
      </c>
      <c r="R1058" s="10">
        <f t="shared" ca="1" si="242"/>
        <v>0.54282822706780753</v>
      </c>
      <c r="S1058" s="10">
        <f t="shared" ca="1" si="232"/>
        <v>0.45103549247880603</v>
      </c>
      <c r="T1058" s="14">
        <f t="shared" ca="1" si="233"/>
        <v>-6.8892259552621793E-2</v>
      </c>
      <c r="U1058" s="12">
        <f t="shared" ca="1" si="243"/>
        <v>7900</v>
      </c>
      <c r="V1058" s="14">
        <f t="shared" ca="1" si="244"/>
        <v>-3594.9367088607596</v>
      </c>
      <c r="W1058" s="12">
        <f t="shared" ca="1" si="234"/>
        <v>-3407.5949367088606</v>
      </c>
      <c r="X1058" s="7">
        <f ca="1">AVERAGE(E1058:OFFSET(F1058,-$X$5+1,0))</f>
        <v>10602.4</v>
      </c>
      <c r="Y1058" s="7">
        <f ca="1">AVERAGE(E1058:OFFSET(F1058,-$Y$5+1,0))</f>
        <v>10740.65</v>
      </c>
      <c r="Z1058" s="7">
        <f t="shared" ca="1" si="236"/>
        <v>0</v>
      </c>
    </row>
    <row r="1059" spans="1:26">
      <c r="A1059" s="3" t="s">
        <v>75</v>
      </c>
      <c r="B1059" s="4">
        <v>43217</v>
      </c>
      <c r="C1059" s="3">
        <v>10561</v>
      </c>
      <c r="D1059" s="3">
        <v>10565</v>
      </c>
      <c r="E1059" s="3">
        <v>10483</v>
      </c>
      <c r="F1059" s="3">
        <v>10561</v>
      </c>
      <c r="G1059" s="3">
        <v>138888</v>
      </c>
      <c r="H1059" s="3">
        <v>1.0449999999999999</v>
      </c>
      <c r="I1059" s="2">
        <f t="shared" si="245"/>
        <v>0</v>
      </c>
      <c r="J1059" s="10">
        <f t="shared" si="247"/>
        <v>85</v>
      </c>
      <c r="K1059" s="10">
        <f t="shared" si="246"/>
        <v>0</v>
      </c>
      <c r="L1059" s="10">
        <f t="shared" ca="1" si="235"/>
        <v>0</v>
      </c>
      <c r="M1059" s="10">
        <f t="shared" ca="1" si="237"/>
        <v>-1</v>
      </c>
      <c r="N1059" s="30">
        <f t="shared" ca="1" si="238"/>
        <v>0</v>
      </c>
      <c r="O1059" s="10">
        <f t="shared" ca="1" si="239"/>
        <v>2173800</v>
      </c>
      <c r="P1059" s="29">
        <f t="shared" ca="1" si="240"/>
        <v>-17000</v>
      </c>
      <c r="Q1059" s="12">
        <f t="shared" ca="1" si="241"/>
        <v>-293100</v>
      </c>
      <c r="R1059" s="10">
        <f t="shared" ca="1" si="242"/>
        <v>-0.78204066611463796</v>
      </c>
      <c r="S1059" s="10">
        <f t="shared" ca="1" si="232"/>
        <v>0.37074645193284056</v>
      </c>
      <c r="T1059" s="14">
        <f t="shared" ca="1" si="233"/>
        <v>-7.7905851054976494E-2</v>
      </c>
      <c r="U1059" s="12">
        <f t="shared" ca="1" si="243"/>
        <v>7900</v>
      </c>
      <c r="V1059" s="14">
        <f t="shared" ca="1" si="244"/>
        <v>-3810.1265822784812</v>
      </c>
      <c r="W1059" s="12">
        <f t="shared" ca="1" si="234"/>
        <v>-3407.5949367088606</v>
      </c>
      <c r="X1059" s="7">
        <f ca="1">AVERAGE(E1059:OFFSET(F1059,-$X$5+1,0))</f>
        <v>10550.4</v>
      </c>
      <c r="Y1059" s="7">
        <f ca="1">AVERAGE(E1059:OFFSET(F1059,-$Y$5+1,0))</f>
        <v>10699.1</v>
      </c>
      <c r="Z1059" s="7">
        <f t="shared" ca="1" si="236"/>
        <v>0</v>
      </c>
    </row>
    <row r="1060" spans="1:26">
      <c r="A1060" s="3" t="s">
        <v>75</v>
      </c>
      <c r="B1060" s="4">
        <v>43220</v>
      </c>
      <c r="C1060" s="3">
        <v>10593</v>
      </c>
      <c r="D1060" s="3">
        <v>10655</v>
      </c>
      <c r="E1060" s="3">
        <v>10537</v>
      </c>
      <c r="F1060" s="3">
        <v>10655</v>
      </c>
      <c r="G1060" s="3">
        <v>132890</v>
      </c>
      <c r="H1060" s="3">
        <v>1.0449999999999999</v>
      </c>
      <c r="I1060" s="2">
        <f t="shared" si="245"/>
        <v>0</v>
      </c>
      <c r="J1060" s="10">
        <f t="shared" si="247"/>
        <v>32</v>
      </c>
      <c r="K1060" s="10">
        <f t="shared" si="246"/>
        <v>62</v>
      </c>
      <c r="L1060" s="10">
        <f t="shared" ca="1" si="235"/>
        <v>0</v>
      </c>
      <c r="M1060" s="10">
        <f t="shared" ca="1" si="237"/>
        <v>-1</v>
      </c>
      <c r="N1060" s="30">
        <f t="shared" ca="1" si="238"/>
        <v>0</v>
      </c>
      <c r="O1060" s="10">
        <f t="shared" ca="1" si="239"/>
        <v>2173800</v>
      </c>
      <c r="P1060" s="29">
        <f t="shared" ca="1" si="240"/>
        <v>-18800</v>
      </c>
      <c r="Q1060" s="12">
        <f t="shared" ca="1" si="241"/>
        <v>-311900</v>
      </c>
      <c r="R1060" s="10">
        <f t="shared" ca="1" si="242"/>
        <v>-0.86484497193854082</v>
      </c>
      <c r="S1060" s="10">
        <f t="shared" ca="1" si="232"/>
        <v>0.20898764965641015</v>
      </c>
      <c r="T1060" s="14">
        <f t="shared" ca="1" si="233"/>
        <v>-9.6153471926930772E-2</v>
      </c>
      <c r="U1060" s="12">
        <f t="shared" ca="1" si="243"/>
        <v>7900</v>
      </c>
      <c r="V1060" s="14">
        <f t="shared" ca="1" si="244"/>
        <v>-4048.1012658227846</v>
      </c>
      <c r="W1060" s="12">
        <f t="shared" ca="1" si="234"/>
        <v>-3407.5949367088606</v>
      </c>
      <c r="X1060" s="7">
        <f ca="1">AVERAGE(E1060:OFFSET(F1060,-$X$5+1,0))</f>
        <v>10531.5</v>
      </c>
      <c r="Y1060" s="7">
        <f ca="1">AVERAGE(E1060:OFFSET(F1060,-$Y$5+1,0))</f>
        <v>10666.15</v>
      </c>
      <c r="Z1060" s="7">
        <f t="shared" ca="1" si="236"/>
        <v>0</v>
      </c>
    </row>
    <row r="1061" spans="1:26">
      <c r="A1061" s="3" t="s">
        <v>75</v>
      </c>
      <c r="B1061" s="4">
        <v>43222</v>
      </c>
      <c r="C1061" s="3">
        <v>10631</v>
      </c>
      <c r="D1061" s="3">
        <v>10670</v>
      </c>
      <c r="E1061" s="3">
        <v>10597</v>
      </c>
      <c r="F1061" s="3">
        <v>10609</v>
      </c>
      <c r="G1061" s="3">
        <v>119121</v>
      </c>
      <c r="H1061" s="3">
        <v>1.0449999999999999</v>
      </c>
      <c r="I1061" s="2">
        <f t="shared" si="245"/>
        <v>0</v>
      </c>
      <c r="J1061" s="10">
        <f t="shared" si="247"/>
        <v>-24</v>
      </c>
      <c r="K1061" s="10">
        <f t="shared" si="246"/>
        <v>-22</v>
      </c>
      <c r="L1061" s="10">
        <f t="shared" ca="1" si="235"/>
        <v>0</v>
      </c>
      <c r="M1061" s="10">
        <f t="shared" ca="1" si="237"/>
        <v>-1</v>
      </c>
      <c r="N1061" s="30">
        <f t="shared" ca="1" si="238"/>
        <v>0</v>
      </c>
      <c r="O1061" s="10">
        <f t="shared" ca="1" si="239"/>
        <v>2173800</v>
      </c>
      <c r="P1061" s="29">
        <f t="shared" ca="1" si="240"/>
        <v>9200</v>
      </c>
      <c r="Q1061" s="12">
        <f t="shared" ca="1" si="241"/>
        <v>-302700</v>
      </c>
      <c r="R1061" s="10">
        <f t="shared" ca="1" si="242"/>
        <v>0.42322200754439232</v>
      </c>
      <c r="S1061" s="10">
        <f t="shared" ca="1" si="232"/>
        <v>0.21607197676340709</v>
      </c>
      <c r="T1061" s="14">
        <f t="shared" ca="1" si="233"/>
        <v>-9.5245013113588656E-2</v>
      </c>
      <c r="U1061" s="12">
        <f t="shared" ca="1" si="243"/>
        <v>7900</v>
      </c>
      <c r="V1061" s="14">
        <f t="shared" ca="1" si="244"/>
        <v>-3931.6455696202534</v>
      </c>
      <c r="W1061" s="12">
        <f t="shared" ca="1" si="234"/>
        <v>-3407.5949367088606</v>
      </c>
      <c r="X1061" s="7">
        <f ca="1">AVERAGE(E1061:OFFSET(F1061,-$X$5+1,0))</f>
        <v>10539.1</v>
      </c>
      <c r="Y1061" s="7">
        <f ca="1">AVERAGE(E1061:OFFSET(F1061,-$Y$5+1,0))</f>
        <v>10646.05</v>
      </c>
      <c r="Z1061" s="7">
        <f t="shared" ca="1" si="236"/>
        <v>0</v>
      </c>
    </row>
    <row r="1062" spans="1:26">
      <c r="A1062" s="3" t="s">
        <v>75</v>
      </c>
      <c r="B1062" s="4">
        <v>43223</v>
      </c>
      <c r="C1062" s="3">
        <v>10560</v>
      </c>
      <c r="D1062" s="3">
        <v>10575</v>
      </c>
      <c r="E1062" s="3">
        <v>10488</v>
      </c>
      <c r="F1062" s="3">
        <v>10506</v>
      </c>
      <c r="G1062" s="3">
        <v>145487</v>
      </c>
      <c r="H1062" s="3">
        <v>1.0449999999999999</v>
      </c>
      <c r="I1062" s="2">
        <f t="shared" si="245"/>
        <v>0</v>
      </c>
      <c r="J1062" s="10">
        <f t="shared" si="247"/>
        <v>-49</v>
      </c>
      <c r="K1062" s="10">
        <f t="shared" si="246"/>
        <v>-54</v>
      </c>
      <c r="L1062" s="10">
        <f t="shared" ca="1" si="235"/>
        <v>0</v>
      </c>
      <c r="M1062" s="10">
        <f t="shared" ca="1" si="237"/>
        <v>-1</v>
      </c>
      <c r="N1062" s="30">
        <f t="shared" ca="1" si="238"/>
        <v>0</v>
      </c>
      <c r="O1062" s="10">
        <f t="shared" ca="1" si="239"/>
        <v>2173800</v>
      </c>
      <c r="P1062" s="29">
        <f t="shared" ca="1" si="240"/>
        <v>20600</v>
      </c>
      <c r="Q1062" s="12">
        <f t="shared" ca="1" si="241"/>
        <v>-282100</v>
      </c>
      <c r="R1062" s="10">
        <f t="shared" ca="1" si="242"/>
        <v>0.94764927776244368</v>
      </c>
      <c r="S1062" s="10">
        <f t="shared" ca="1" si="232"/>
        <v>0.34477058587385173</v>
      </c>
      <c r="T1062" s="14">
        <f t="shared" ca="1" si="233"/>
        <v>-8.005036132890829E-2</v>
      </c>
      <c r="U1062" s="12">
        <f t="shared" ca="1" si="243"/>
        <v>7900</v>
      </c>
      <c r="V1062" s="14">
        <f t="shared" ca="1" si="244"/>
        <v>-3670.8860759493673</v>
      </c>
      <c r="W1062" s="12">
        <f t="shared" ca="1" si="234"/>
        <v>-3407.5949367088606</v>
      </c>
      <c r="X1062" s="7">
        <f ca="1">AVERAGE(E1062:OFFSET(F1062,-$X$5+1,0))</f>
        <v>10538.2</v>
      </c>
      <c r="Y1062" s="7">
        <f ca="1">AVERAGE(E1062:OFFSET(F1062,-$Y$5+1,0))</f>
        <v>10614.05</v>
      </c>
      <c r="Z1062" s="7">
        <f t="shared" ca="1" si="236"/>
        <v>0</v>
      </c>
    </row>
    <row r="1063" spans="1:26">
      <c r="A1063" s="3" t="s">
        <v>75</v>
      </c>
      <c r="B1063" s="4">
        <v>43224</v>
      </c>
      <c r="C1063" s="3">
        <v>10506</v>
      </c>
      <c r="D1063" s="3">
        <v>10544</v>
      </c>
      <c r="E1063" s="3">
        <v>10468</v>
      </c>
      <c r="F1063" s="3">
        <v>10523</v>
      </c>
      <c r="G1063" s="3">
        <v>146168</v>
      </c>
      <c r="H1063" s="3">
        <v>1.0449999999999999</v>
      </c>
      <c r="I1063" s="2">
        <f t="shared" si="245"/>
        <v>0</v>
      </c>
      <c r="J1063" s="10">
        <f t="shared" si="247"/>
        <v>0</v>
      </c>
      <c r="K1063" s="10">
        <f t="shared" si="246"/>
        <v>17</v>
      </c>
      <c r="L1063" s="10">
        <f t="shared" ca="1" si="235"/>
        <v>0</v>
      </c>
      <c r="M1063" s="10">
        <f t="shared" ca="1" si="237"/>
        <v>-1</v>
      </c>
      <c r="N1063" s="30">
        <f t="shared" ca="1" si="238"/>
        <v>0</v>
      </c>
      <c r="O1063" s="10">
        <f t="shared" ca="1" si="239"/>
        <v>2173800</v>
      </c>
      <c r="P1063" s="29">
        <f t="shared" ca="1" si="240"/>
        <v>-3400</v>
      </c>
      <c r="Q1063" s="12">
        <f t="shared" ca="1" si="241"/>
        <v>-285500</v>
      </c>
      <c r="R1063" s="10">
        <f t="shared" ca="1" si="242"/>
        <v>-0.1564081332229276</v>
      </c>
      <c r="S1063" s="10">
        <f t="shared" ca="1" si="232"/>
        <v>0.26920443006588424</v>
      </c>
      <c r="T1063" s="14">
        <f t="shared" ca="1" si="233"/>
        <v>-8.8673437190435009E-2</v>
      </c>
      <c r="U1063" s="12">
        <f t="shared" ca="1" si="243"/>
        <v>7900</v>
      </c>
      <c r="V1063" s="14">
        <f t="shared" ca="1" si="244"/>
        <v>-3713.9240506329115</v>
      </c>
      <c r="W1063" s="12">
        <f t="shared" ca="1" si="234"/>
        <v>-3407.5949367088606</v>
      </c>
      <c r="X1063" s="7">
        <f ca="1">AVERAGE(E1063:OFFSET(F1063,-$X$5+1,0))</f>
        <v>10542.7</v>
      </c>
      <c r="Y1063" s="7">
        <f ca="1">AVERAGE(E1063:OFFSET(F1063,-$Y$5+1,0))</f>
        <v>10572.55</v>
      </c>
      <c r="Z1063" s="7">
        <f t="shared" ca="1" si="236"/>
        <v>0</v>
      </c>
    </row>
    <row r="1064" spans="1:26">
      <c r="A1064" s="3" t="s">
        <v>75</v>
      </c>
      <c r="B1064" s="4">
        <v>43227</v>
      </c>
      <c r="C1064" s="3">
        <v>10599</v>
      </c>
      <c r="D1064" s="3">
        <v>10615</v>
      </c>
      <c r="E1064" s="3">
        <v>10529</v>
      </c>
      <c r="F1064" s="3">
        <v>10595</v>
      </c>
      <c r="G1064" s="3">
        <v>139344</v>
      </c>
      <c r="H1064" s="3">
        <v>1.0449999999999999</v>
      </c>
      <c r="I1064" s="2">
        <f t="shared" si="245"/>
        <v>0</v>
      </c>
      <c r="J1064" s="10">
        <f t="shared" si="247"/>
        <v>76</v>
      </c>
      <c r="K1064" s="10">
        <f t="shared" si="246"/>
        <v>-4</v>
      </c>
      <c r="L1064" s="10">
        <f t="shared" ca="1" si="235"/>
        <v>1</v>
      </c>
      <c r="M1064" s="10">
        <f t="shared" ca="1" si="237"/>
        <v>-1</v>
      </c>
      <c r="N1064" s="30">
        <f t="shared" ca="1" si="238"/>
        <v>0</v>
      </c>
      <c r="O1064" s="10">
        <f t="shared" ca="1" si="239"/>
        <v>2173800</v>
      </c>
      <c r="P1064" s="29">
        <f t="shared" ca="1" si="240"/>
        <v>-14400</v>
      </c>
      <c r="Q1064" s="12">
        <f t="shared" ca="1" si="241"/>
        <v>-299900</v>
      </c>
      <c r="R1064" s="10">
        <f t="shared" ca="1" si="242"/>
        <v>-0.66243444659122275</v>
      </c>
      <c r="S1064" s="10">
        <f t="shared" ca="1" si="232"/>
        <v>0.19127683188891775</v>
      </c>
      <c r="T1064" s="14">
        <f t="shared" ca="1" si="233"/>
        <v>-9.7324753927900715E-2</v>
      </c>
      <c r="U1064" s="12">
        <f t="shared" ca="1" si="243"/>
        <v>7900</v>
      </c>
      <c r="V1064" s="14">
        <f t="shared" ca="1" si="244"/>
        <v>-3896.2025316455697</v>
      </c>
      <c r="W1064" s="12">
        <f t="shared" ca="1" si="234"/>
        <v>-3407.5949367088606</v>
      </c>
      <c r="X1064" s="7">
        <f ca="1">AVERAGE(E1064:OFFSET(F1064,-$X$5+1,0))</f>
        <v>10550.7</v>
      </c>
      <c r="Y1064" s="7">
        <f ca="1">AVERAGE(E1064:OFFSET(F1064,-$Y$5+1,0))</f>
        <v>10550.55</v>
      </c>
      <c r="Z1064" s="7">
        <f t="shared" ca="1" si="236"/>
        <v>1</v>
      </c>
    </row>
    <row r="1065" spans="1:26">
      <c r="A1065" s="3" t="s">
        <v>75</v>
      </c>
      <c r="B1065" s="4">
        <v>43228</v>
      </c>
      <c r="C1065" s="3">
        <v>10597</v>
      </c>
      <c r="D1065" s="3">
        <v>10672</v>
      </c>
      <c r="E1065" s="3">
        <v>10580</v>
      </c>
      <c r="F1065" s="3">
        <v>10669</v>
      </c>
      <c r="G1065" s="3">
        <v>120547</v>
      </c>
      <c r="H1065" s="3">
        <v>1.0449999999999999</v>
      </c>
      <c r="I1065" s="2">
        <f t="shared" si="245"/>
        <v>0</v>
      </c>
      <c r="J1065" s="10">
        <f t="shared" si="247"/>
        <v>2</v>
      </c>
      <c r="K1065" s="10">
        <f t="shared" si="246"/>
        <v>72</v>
      </c>
      <c r="L1065" s="10">
        <f t="shared" ca="1" si="235"/>
        <v>0</v>
      </c>
      <c r="M1065" s="10">
        <f t="shared" ca="1" si="237"/>
        <v>0</v>
      </c>
      <c r="N1065" s="30">
        <f t="shared" ca="1" si="238"/>
        <v>0</v>
      </c>
      <c r="O1065" s="10">
        <f t="shared" ca="1" si="239"/>
        <v>0</v>
      </c>
      <c r="P1065" s="29">
        <f t="shared" ca="1" si="240"/>
        <v>-900</v>
      </c>
      <c r="Q1065" s="12">
        <f t="shared" ca="1" si="241"/>
        <v>-300800</v>
      </c>
      <c r="R1065" s="10">
        <f t="shared" ca="1" si="242"/>
        <v>-4.1402152911951422E-2</v>
      </c>
      <c r="S1065" s="10">
        <f t="shared" ca="1" si="232"/>
        <v>0.22315630387040405</v>
      </c>
      <c r="T1065" s="14">
        <f t="shared" ca="1" si="233"/>
        <v>-9.3731114714879687E-2</v>
      </c>
      <c r="U1065" s="12">
        <f t="shared" ca="1" si="243"/>
        <v>7900</v>
      </c>
      <c r="V1065" s="14">
        <f t="shared" ca="1" si="244"/>
        <v>-3907.5949367088606</v>
      </c>
      <c r="W1065" s="12">
        <f t="shared" ca="1" si="234"/>
        <v>-3407.5949367088606</v>
      </c>
      <c r="X1065" s="7">
        <f ca="1">AVERAGE(E1065:OFFSET(F1065,-$X$5+1,0))</f>
        <v>10556.4</v>
      </c>
      <c r="Y1065" s="7">
        <f ca="1">AVERAGE(E1065:OFFSET(F1065,-$Y$5+1,0))</f>
        <v>10543.95</v>
      </c>
      <c r="Z1065" s="7">
        <f t="shared" ca="1" si="236"/>
        <v>0</v>
      </c>
    </row>
    <row r="1066" spans="1:26">
      <c r="A1066" s="3" t="s">
        <v>75</v>
      </c>
      <c r="B1066" s="4">
        <v>43229</v>
      </c>
      <c r="C1066" s="3">
        <v>10685</v>
      </c>
      <c r="D1066" s="3">
        <v>10731</v>
      </c>
      <c r="E1066" s="3">
        <v>10666</v>
      </c>
      <c r="F1066" s="3">
        <v>10704</v>
      </c>
      <c r="G1066" s="3">
        <v>138372</v>
      </c>
      <c r="H1066" s="3">
        <v>1.0449999999999999</v>
      </c>
      <c r="I1066" s="2">
        <f t="shared" si="245"/>
        <v>0</v>
      </c>
      <c r="J1066" s="10">
        <f t="shared" si="247"/>
        <v>16</v>
      </c>
      <c r="K1066" s="10">
        <f t="shared" si="246"/>
        <v>19</v>
      </c>
      <c r="L1066" s="10">
        <f t="shared" ca="1" si="235"/>
        <v>0</v>
      </c>
      <c r="M1066" s="10">
        <f t="shared" ca="1" si="237"/>
        <v>0</v>
      </c>
      <c r="N1066" s="30">
        <f t="shared" ca="1" si="238"/>
        <v>0</v>
      </c>
      <c r="O1066" s="10">
        <f t="shared" ca="1" si="239"/>
        <v>0</v>
      </c>
      <c r="P1066" s="29">
        <f t="shared" ca="1" si="240"/>
        <v>0</v>
      </c>
      <c r="Q1066" s="12">
        <f t="shared" ca="1" si="241"/>
        <v>-300800</v>
      </c>
      <c r="R1066" s="10">
        <f t="shared" ca="1" si="242"/>
        <v>0</v>
      </c>
      <c r="S1066" s="10">
        <f t="shared" ca="1" si="232"/>
        <v>0.22315630387040405</v>
      </c>
      <c r="T1066" s="14">
        <f t="shared" ca="1" si="233"/>
        <v>-9.4873288178915216E-2</v>
      </c>
      <c r="U1066" s="12">
        <f t="shared" ca="1" si="243"/>
        <v>7900</v>
      </c>
      <c r="V1066" s="14">
        <f t="shared" ca="1" si="244"/>
        <v>-3907.5949367088606</v>
      </c>
      <c r="W1066" s="12">
        <f t="shared" ca="1" si="234"/>
        <v>-3407.5949367088606</v>
      </c>
      <c r="X1066" s="7">
        <f ca="1">AVERAGE(E1066:OFFSET(F1066,-$X$5+1,0))</f>
        <v>10572.8</v>
      </c>
      <c r="Y1066" s="7">
        <f ca="1">AVERAGE(E1066:OFFSET(F1066,-$Y$5+1,0))</f>
        <v>10555.95</v>
      </c>
      <c r="Z1066" s="7">
        <f t="shared" ca="1" si="236"/>
        <v>0</v>
      </c>
    </row>
    <row r="1067" spans="1:26">
      <c r="A1067" s="3" t="s">
        <v>75</v>
      </c>
      <c r="B1067" s="4">
        <v>43230</v>
      </c>
      <c r="C1067" s="3">
        <v>10732</v>
      </c>
      <c r="D1067" s="3">
        <v>10771</v>
      </c>
      <c r="E1067" s="3">
        <v>10723</v>
      </c>
      <c r="F1067" s="3">
        <v>10763</v>
      </c>
      <c r="G1067" s="3">
        <v>117424</v>
      </c>
      <c r="H1067" s="3">
        <v>1.0449999999999999</v>
      </c>
      <c r="I1067" s="2">
        <f t="shared" si="245"/>
        <v>0</v>
      </c>
      <c r="J1067" s="10">
        <f t="shared" si="247"/>
        <v>28</v>
      </c>
      <c r="K1067" s="10">
        <f t="shared" si="246"/>
        <v>31</v>
      </c>
      <c r="L1067" s="10">
        <f t="shared" ca="1" si="235"/>
        <v>0</v>
      </c>
      <c r="M1067" s="10">
        <f t="shared" ca="1" si="237"/>
        <v>0</v>
      </c>
      <c r="N1067" s="30">
        <f t="shared" ca="1" si="238"/>
        <v>0</v>
      </c>
      <c r="O1067" s="10">
        <f t="shared" ca="1" si="239"/>
        <v>0</v>
      </c>
      <c r="P1067" s="29">
        <f t="shared" ca="1" si="240"/>
        <v>0</v>
      </c>
      <c r="Q1067" s="12">
        <f t="shared" ca="1" si="241"/>
        <v>-300800</v>
      </c>
      <c r="R1067" s="10">
        <f t="shared" ca="1" si="242"/>
        <v>0</v>
      </c>
      <c r="S1067" s="10">
        <f t="shared" ca="1" si="232"/>
        <v>0.22315630387040405</v>
      </c>
      <c r="T1067" s="14">
        <f t="shared" ca="1" si="233"/>
        <v>-9.5098130806331019E-2</v>
      </c>
      <c r="U1067" s="12">
        <f t="shared" ca="1" si="243"/>
        <v>7900</v>
      </c>
      <c r="V1067" s="14">
        <f t="shared" ca="1" si="244"/>
        <v>-3907.5949367088606</v>
      </c>
      <c r="W1067" s="12">
        <f t="shared" ca="1" si="234"/>
        <v>-3407.5949367088606</v>
      </c>
      <c r="X1067" s="7">
        <f ca="1">AVERAGE(E1067:OFFSET(F1067,-$X$5+1,0))</f>
        <v>10622</v>
      </c>
      <c r="Y1067" s="7">
        <f ca="1">AVERAGE(E1067:OFFSET(F1067,-$Y$5+1,0))</f>
        <v>10580.1</v>
      </c>
      <c r="Z1067" s="7">
        <f t="shared" ca="1" si="236"/>
        <v>0</v>
      </c>
    </row>
    <row r="1068" spans="1:26">
      <c r="A1068" s="3" t="s">
        <v>75</v>
      </c>
      <c r="B1068" s="4">
        <v>43231</v>
      </c>
      <c r="C1068" s="3">
        <v>10819</v>
      </c>
      <c r="D1068" s="3">
        <v>10865</v>
      </c>
      <c r="E1068" s="3">
        <v>10806</v>
      </c>
      <c r="F1068" s="3">
        <v>10861</v>
      </c>
      <c r="G1068" s="3">
        <v>127629</v>
      </c>
      <c r="H1068" s="3">
        <v>1.0449999999999999</v>
      </c>
      <c r="I1068" s="2">
        <f t="shared" si="245"/>
        <v>0</v>
      </c>
      <c r="J1068" s="10">
        <f t="shared" si="247"/>
        <v>56</v>
      </c>
      <c r="K1068" s="10">
        <f t="shared" si="246"/>
        <v>42</v>
      </c>
      <c r="L1068" s="10">
        <f t="shared" ca="1" si="235"/>
        <v>0</v>
      </c>
      <c r="M1068" s="10">
        <f t="shared" ca="1" si="237"/>
        <v>0</v>
      </c>
      <c r="N1068" s="30">
        <f t="shared" ca="1" si="238"/>
        <v>0</v>
      </c>
      <c r="O1068" s="10">
        <f t="shared" ca="1" si="239"/>
        <v>0</v>
      </c>
      <c r="P1068" s="29">
        <f t="shared" ca="1" si="240"/>
        <v>0</v>
      </c>
      <c r="Q1068" s="12">
        <f t="shared" ca="1" si="241"/>
        <v>-300800</v>
      </c>
      <c r="R1068" s="10">
        <f t="shared" ca="1" si="242"/>
        <v>0</v>
      </c>
      <c r="S1068" s="10">
        <f t="shared" ref="S1068:S1131" ca="1" si="248">100*SUM(P829:P1068)/SUM(N829:N1068)</f>
        <v>0.22315630387040405</v>
      </c>
      <c r="T1068" s="14">
        <f t="shared" ca="1" si="233"/>
        <v>-9.515923561664387E-2</v>
      </c>
      <c r="U1068" s="12">
        <f t="shared" ca="1" si="243"/>
        <v>7900</v>
      </c>
      <c r="V1068" s="14">
        <f t="shared" ca="1" si="244"/>
        <v>-3907.5949367088606</v>
      </c>
      <c r="W1068" s="12">
        <f t="shared" ca="1" si="234"/>
        <v>-3407.5949367088606</v>
      </c>
      <c r="X1068" s="7">
        <f ca="1">AVERAGE(E1068:OFFSET(F1068,-$X$5+1,0))</f>
        <v>10689.6</v>
      </c>
      <c r="Y1068" s="7">
        <f ca="1">AVERAGE(E1068:OFFSET(F1068,-$Y$5+1,0))</f>
        <v>10616.15</v>
      </c>
      <c r="Z1068" s="7">
        <f t="shared" ca="1" si="236"/>
        <v>0</v>
      </c>
    </row>
    <row r="1069" spans="1:26">
      <c r="A1069" s="3" t="s">
        <v>75</v>
      </c>
      <c r="B1069" s="4">
        <v>43234</v>
      </c>
      <c r="C1069" s="3">
        <v>10926</v>
      </c>
      <c r="D1069" s="3">
        <v>10968</v>
      </c>
      <c r="E1069" s="3">
        <v>10891</v>
      </c>
      <c r="F1069" s="3">
        <v>10958</v>
      </c>
      <c r="G1069" s="3">
        <v>132634</v>
      </c>
      <c r="H1069" s="3">
        <v>1.0449999999999999</v>
      </c>
      <c r="I1069" s="2">
        <f t="shared" si="245"/>
        <v>0</v>
      </c>
      <c r="J1069" s="10">
        <f t="shared" si="247"/>
        <v>65</v>
      </c>
      <c r="K1069" s="10">
        <f t="shared" si="246"/>
        <v>32</v>
      </c>
      <c r="L1069" s="10">
        <f t="shared" ca="1" si="235"/>
        <v>0</v>
      </c>
      <c r="M1069" s="10">
        <f t="shared" ca="1" si="237"/>
        <v>0</v>
      </c>
      <c r="N1069" s="30">
        <f t="shared" ca="1" si="238"/>
        <v>0</v>
      </c>
      <c r="O1069" s="10">
        <f t="shared" ca="1" si="239"/>
        <v>0</v>
      </c>
      <c r="P1069" s="29">
        <f t="shared" ca="1" si="240"/>
        <v>0</v>
      </c>
      <c r="Q1069" s="12">
        <f t="shared" ca="1" si="241"/>
        <v>-300800</v>
      </c>
      <c r="R1069" s="10">
        <f t="shared" ca="1" si="242"/>
        <v>0</v>
      </c>
      <c r="S1069" s="10">
        <f t="shared" ca="1" si="248"/>
        <v>0.22315630387040405</v>
      </c>
      <c r="T1069" s="14">
        <f t="shared" ref="T1069:T1132" ca="1" si="249">(S1069-AVERAGE(H800:H1069))/(_xlfn.STDEV.S(R800:R1069)*SQRT(240))</f>
        <v>-9.5171531403714801E-2</v>
      </c>
      <c r="U1069" s="12">
        <f t="shared" ca="1" si="243"/>
        <v>7900</v>
      </c>
      <c r="V1069" s="14">
        <f t="shared" ca="1" si="244"/>
        <v>-3907.5949367088606</v>
      </c>
      <c r="W1069" s="12">
        <f t="shared" ref="W1069:W1132" ca="1" si="250">MAX(V830:V1069)</f>
        <v>-3407.5949367088606</v>
      </c>
      <c r="X1069" s="7">
        <f ca="1">AVERAGE(E1069:OFFSET(F1069,-$X$5+1,0))</f>
        <v>10762.1</v>
      </c>
      <c r="Y1069" s="7">
        <f ca="1">AVERAGE(E1069:OFFSET(F1069,-$Y$5+1,0))</f>
        <v>10656.4</v>
      </c>
      <c r="Z1069" s="7">
        <f t="shared" ca="1" si="236"/>
        <v>0</v>
      </c>
    </row>
    <row r="1070" spans="1:26">
      <c r="A1070" s="3" t="s">
        <v>75</v>
      </c>
      <c r="B1070" s="4">
        <v>43235</v>
      </c>
      <c r="C1070" s="3">
        <v>10946</v>
      </c>
      <c r="D1070" s="3">
        <v>10961</v>
      </c>
      <c r="E1070" s="3">
        <v>10857</v>
      </c>
      <c r="F1070" s="3">
        <v>10869</v>
      </c>
      <c r="G1070" s="3">
        <v>137727</v>
      </c>
      <c r="H1070" s="3">
        <v>1.0449999999999999</v>
      </c>
      <c r="I1070" s="2">
        <f t="shared" si="245"/>
        <v>0</v>
      </c>
      <c r="J1070" s="10">
        <f t="shared" si="247"/>
        <v>-12</v>
      </c>
      <c r="K1070" s="10">
        <f t="shared" si="246"/>
        <v>-77</v>
      </c>
      <c r="L1070" s="10">
        <f t="shared" ca="1" si="235"/>
        <v>0</v>
      </c>
      <c r="M1070" s="10">
        <f t="shared" ca="1" si="237"/>
        <v>0</v>
      </c>
      <c r="N1070" s="30">
        <f t="shared" ca="1" si="238"/>
        <v>0</v>
      </c>
      <c r="O1070" s="10">
        <f t="shared" ca="1" si="239"/>
        <v>0</v>
      </c>
      <c r="P1070" s="29">
        <f t="shared" ca="1" si="240"/>
        <v>0</v>
      </c>
      <c r="Q1070" s="12">
        <f t="shared" ca="1" si="241"/>
        <v>-300800</v>
      </c>
      <c r="R1070" s="10">
        <f t="shared" ca="1" si="242"/>
        <v>0</v>
      </c>
      <c r="S1070" s="10">
        <f t="shared" ca="1" si="248"/>
        <v>0.24145748223014618</v>
      </c>
      <c r="T1070" s="14">
        <f t="shared" ca="1" si="249"/>
        <v>-9.3248517354332067E-2</v>
      </c>
      <c r="U1070" s="12">
        <f t="shared" ca="1" si="243"/>
        <v>7900</v>
      </c>
      <c r="V1070" s="14">
        <f t="shared" ca="1" si="244"/>
        <v>-3907.5949367088606</v>
      </c>
      <c r="W1070" s="12">
        <f t="shared" ca="1" si="250"/>
        <v>-3407.5949367088606</v>
      </c>
      <c r="X1070" s="7">
        <f ca="1">AVERAGE(E1070:OFFSET(F1070,-$X$5+1,0))</f>
        <v>10809.8</v>
      </c>
      <c r="Y1070" s="7">
        <f ca="1">AVERAGE(E1070:OFFSET(F1070,-$Y$5+1,0))</f>
        <v>10683.1</v>
      </c>
      <c r="Z1070" s="7">
        <f t="shared" ca="1" si="236"/>
        <v>0</v>
      </c>
    </row>
    <row r="1071" spans="1:26">
      <c r="A1071" s="3" t="s">
        <v>75</v>
      </c>
      <c r="B1071" s="4">
        <v>43236</v>
      </c>
      <c r="C1071" s="3">
        <v>10845</v>
      </c>
      <c r="D1071" s="3">
        <v>10907</v>
      </c>
      <c r="E1071" s="3">
        <v>10839</v>
      </c>
      <c r="F1071" s="3">
        <v>10872</v>
      </c>
      <c r="G1071" s="3">
        <v>89647</v>
      </c>
      <c r="H1071" s="3">
        <v>1.0449999999999999</v>
      </c>
      <c r="I1071" s="2">
        <f t="shared" si="245"/>
        <v>1</v>
      </c>
      <c r="J1071" s="10">
        <f t="shared" si="247"/>
        <v>-24</v>
      </c>
      <c r="K1071" s="10">
        <f t="shared" si="246"/>
        <v>27</v>
      </c>
      <c r="L1071" s="10">
        <f t="shared" ca="1" si="235"/>
        <v>0</v>
      </c>
      <c r="M1071" s="10">
        <f t="shared" si="237"/>
        <v>0</v>
      </c>
      <c r="N1071" s="30">
        <f t="shared" si="238"/>
        <v>0</v>
      </c>
      <c r="O1071" s="10">
        <f t="shared" si="239"/>
        <v>0</v>
      </c>
      <c r="P1071" s="29">
        <f t="shared" ca="1" si="240"/>
        <v>0</v>
      </c>
      <c r="Q1071" s="12">
        <f t="shared" ca="1" si="241"/>
        <v>-300800</v>
      </c>
      <c r="R1071" s="10">
        <f t="shared" ca="1" si="242"/>
        <v>0</v>
      </c>
      <c r="S1071" s="10">
        <f t="shared" ca="1" si="248"/>
        <v>0.34418022528160203</v>
      </c>
      <c r="T1071" s="14">
        <f t="shared" ca="1" si="249"/>
        <v>-8.1329521114095318E-2</v>
      </c>
      <c r="U1071" s="12">
        <f t="shared" ca="1" si="243"/>
        <v>7900</v>
      </c>
      <c r="V1071" s="14">
        <f t="shared" ca="1" si="244"/>
        <v>-3907.5949367088606</v>
      </c>
      <c r="W1071" s="12">
        <f t="shared" ca="1" si="250"/>
        <v>-3407.5949367088606</v>
      </c>
      <c r="X1071" s="7">
        <f ca="1">AVERAGE(E1071:OFFSET(F1071,-$X$5+1,0))</f>
        <v>10843.9</v>
      </c>
      <c r="Y1071" s="7">
        <f ca="1">AVERAGE(E1071:OFFSET(F1071,-$Y$5+1,0))</f>
        <v>10708.35</v>
      </c>
      <c r="Z1071" s="7">
        <f t="shared" ca="1" si="236"/>
        <v>0</v>
      </c>
    </row>
    <row r="1072" spans="1:26">
      <c r="A1072" s="3" t="s">
        <v>76</v>
      </c>
      <c r="B1072" s="4">
        <v>43237</v>
      </c>
      <c r="C1072" s="3">
        <v>10920</v>
      </c>
      <c r="D1072" s="3">
        <v>10928</v>
      </c>
      <c r="E1072" s="3">
        <v>10823</v>
      </c>
      <c r="F1072" s="3">
        <v>10826</v>
      </c>
      <c r="G1072" s="3">
        <v>126166</v>
      </c>
      <c r="H1072" s="3">
        <v>1.0449999999999999</v>
      </c>
      <c r="I1072" s="2">
        <f t="shared" si="245"/>
        <v>0</v>
      </c>
      <c r="J1072" s="10">
        <f t="shared" si="247"/>
        <v>48</v>
      </c>
      <c r="K1072" s="10">
        <f t="shared" si="246"/>
        <v>-94</v>
      </c>
      <c r="L1072" s="10">
        <f t="shared" ca="1" si="235"/>
        <v>0</v>
      </c>
      <c r="M1072" s="10">
        <f t="shared" ca="1" si="237"/>
        <v>0</v>
      </c>
      <c r="N1072" s="30">
        <f t="shared" ca="1" si="238"/>
        <v>0</v>
      </c>
      <c r="O1072" s="10">
        <f t="shared" ca="1" si="239"/>
        <v>0</v>
      </c>
      <c r="P1072" s="29">
        <f t="shared" ca="1" si="240"/>
        <v>0</v>
      </c>
      <c r="Q1072" s="12">
        <f t="shared" ca="1" si="241"/>
        <v>-300800</v>
      </c>
      <c r="R1072" s="10">
        <f t="shared" ca="1" si="242"/>
        <v>0</v>
      </c>
      <c r="S1072" s="10">
        <f t="shared" ca="1" si="248"/>
        <v>0.37428861548633907</v>
      </c>
      <c r="T1072" s="14">
        <f t="shared" ca="1" si="249"/>
        <v>-7.7947643437084338E-2</v>
      </c>
      <c r="U1072" s="12">
        <f t="shared" ca="1" si="243"/>
        <v>7900</v>
      </c>
      <c r="V1072" s="14">
        <f t="shared" ca="1" si="244"/>
        <v>-3907.5949367088606</v>
      </c>
      <c r="W1072" s="12">
        <f t="shared" ca="1" si="250"/>
        <v>-3407.5949367088606</v>
      </c>
      <c r="X1072" s="7">
        <f ca="1">AVERAGE(E1072:OFFSET(F1072,-$X$5+1,0))</f>
        <v>10860.2</v>
      </c>
      <c r="Y1072" s="7">
        <f ca="1">AVERAGE(E1072:OFFSET(F1072,-$Y$5+1,0))</f>
        <v>10741.1</v>
      </c>
      <c r="Z1072" s="7">
        <f t="shared" ca="1" si="236"/>
        <v>0</v>
      </c>
    </row>
    <row r="1073" spans="1:26">
      <c r="A1073" s="3" t="s">
        <v>76</v>
      </c>
      <c r="B1073" s="4">
        <v>43238</v>
      </c>
      <c r="C1073" s="3">
        <v>10834</v>
      </c>
      <c r="D1073" s="3">
        <v>10873</v>
      </c>
      <c r="E1073" s="3">
        <v>10805</v>
      </c>
      <c r="F1073" s="3">
        <v>10820</v>
      </c>
      <c r="G1073" s="3">
        <v>109398</v>
      </c>
      <c r="H1073" s="3">
        <v>1.0449999999999999</v>
      </c>
      <c r="I1073" s="2">
        <f t="shared" si="245"/>
        <v>0</v>
      </c>
      <c r="J1073" s="10">
        <f t="shared" si="247"/>
        <v>8</v>
      </c>
      <c r="K1073" s="10">
        <f t="shared" si="246"/>
        <v>-14</v>
      </c>
      <c r="L1073" s="10">
        <f t="shared" ca="1" si="235"/>
        <v>0</v>
      </c>
      <c r="M1073" s="10">
        <f t="shared" ca="1" si="237"/>
        <v>0</v>
      </c>
      <c r="N1073" s="30">
        <f t="shared" ca="1" si="238"/>
        <v>0</v>
      </c>
      <c r="O1073" s="10">
        <f t="shared" ca="1" si="239"/>
        <v>0</v>
      </c>
      <c r="P1073" s="29">
        <f t="shared" ca="1" si="240"/>
        <v>0</v>
      </c>
      <c r="Q1073" s="12">
        <f t="shared" ca="1" si="241"/>
        <v>-300800</v>
      </c>
      <c r="R1073" s="10">
        <f t="shared" ca="1" si="242"/>
        <v>0</v>
      </c>
      <c r="S1073" s="10">
        <f t="shared" ca="1" si="248"/>
        <v>0.37428861548633907</v>
      </c>
      <c r="T1073" s="14">
        <f t="shared" ca="1" si="249"/>
        <v>-7.8769715324937498E-2</v>
      </c>
      <c r="U1073" s="12">
        <f t="shared" ca="1" si="243"/>
        <v>7900</v>
      </c>
      <c r="V1073" s="14">
        <f t="shared" ca="1" si="244"/>
        <v>-3907.5949367088606</v>
      </c>
      <c r="W1073" s="12">
        <f t="shared" ca="1" si="250"/>
        <v>-3407.5949367088606</v>
      </c>
      <c r="X1073" s="7">
        <f ca="1">AVERAGE(E1073:OFFSET(F1073,-$X$5+1,0))</f>
        <v>10856</v>
      </c>
      <c r="Y1073" s="7">
        <f ca="1">AVERAGE(E1073:OFFSET(F1073,-$Y$5+1,0))</f>
        <v>10772.8</v>
      </c>
      <c r="Z1073" s="7">
        <f t="shared" ca="1" si="236"/>
        <v>0</v>
      </c>
    </row>
    <row r="1074" spans="1:26">
      <c r="A1074" s="3" t="s">
        <v>76</v>
      </c>
      <c r="B1074" s="4">
        <v>43241</v>
      </c>
      <c r="C1074" s="3">
        <v>10865</v>
      </c>
      <c r="D1074" s="3">
        <v>10966</v>
      </c>
      <c r="E1074" s="3">
        <v>10863</v>
      </c>
      <c r="F1074" s="3">
        <v>10965</v>
      </c>
      <c r="G1074" s="3">
        <v>101176</v>
      </c>
      <c r="H1074" s="3">
        <v>1.0449999999999999</v>
      </c>
      <c r="I1074" s="2">
        <f t="shared" si="245"/>
        <v>0</v>
      </c>
      <c r="J1074" s="10">
        <f t="shared" si="247"/>
        <v>45</v>
      </c>
      <c r="K1074" s="10">
        <f t="shared" si="246"/>
        <v>100</v>
      </c>
      <c r="L1074" s="10">
        <f t="shared" ca="1" si="235"/>
        <v>0</v>
      </c>
      <c r="M1074" s="10">
        <f t="shared" ca="1" si="237"/>
        <v>0</v>
      </c>
      <c r="N1074" s="30">
        <f t="shared" ca="1" si="238"/>
        <v>0</v>
      </c>
      <c r="O1074" s="10">
        <f t="shared" ca="1" si="239"/>
        <v>0</v>
      </c>
      <c r="P1074" s="29">
        <f t="shared" ca="1" si="240"/>
        <v>0</v>
      </c>
      <c r="Q1074" s="12">
        <f t="shared" ca="1" si="241"/>
        <v>-300800</v>
      </c>
      <c r="R1074" s="10">
        <f t="shared" ca="1" si="242"/>
        <v>0</v>
      </c>
      <c r="S1074" s="10">
        <f t="shared" ca="1" si="248"/>
        <v>0.37428861548633907</v>
      </c>
      <c r="T1074" s="14">
        <f t="shared" ca="1" si="249"/>
        <v>-7.8772194299555107E-2</v>
      </c>
      <c r="U1074" s="12">
        <f t="shared" ca="1" si="243"/>
        <v>7900</v>
      </c>
      <c r="V1074" s="14">
        <f t="shared" ca="1" si="244"/>
        <v>-3907.5949367088606</v>
      </c>
      <c r="W1074" s="12">
        <f t="shared" ca="1" si="250"/>
        <v>-3407.5949367088606</v>
      </c>
      <c r="X1074" s="7">
        <f ca="1">AVERAGE(E1074:OFFSET(F1074,-$X$5+1,0))</f>
        <v>10853.9</v>
      </c>
      <c r="Y1074" s="7">
        <f ca="1">AVERAGE(E1074:OFFSET(F1074,-$Y$5+1,0))</f>
        <v>10808</v>
      </c>
      <c r="Z1074" s="7">
        <f t="shared" ca="1" si="236"/>
        <v>0</v>
      </c>
    </row>
    <row r="1075" spans="1:26">
      <c r="A1075" s="3" t="s">
        <v>76</v>
      </c>
      <c r="B1075" s="4">
        <v>43242</v>
      </c>
      <c r="C1075" s="3">
        <v>10969</v>
      </c>
      <c r="D1075" s="3">
        <v>10999</v>
      </c>
      <c r="E1075" s="3">
        <v>10913</v>
      </c>
      <c r="F1075" s="3">
        <v>10922</v>
      </c>
      <c r="G1075" s="3">
        <v>114865</v>
      </c>
      <c r="H1075" s="3">
        <v>1.0449999999999999</v>
      </c>
      <c r="I1075" s="2">
        <f t="shared" si="245"/>
        <v>0</v>
      </c>
      <c r="J1075" s="10">
        <f t="shared" si="247"/>
        <v>4</v>
      </c>
      <c r="K1075" s="10">
        <f t="shared" si="246"/>
        <v>-47</v>
      </c>
      <c r="L1075" s="10">
        <f t="shared" ca="1" si="235"/>
        <v>0</v>
      </c>
      <c r="M1075" s="10">
        <f t="shared" ca="1" si="237"/>
        <v>0</v>
      </c>
      <c r="N1075" s="30">
        <f t="shared" ca="1" si="238"/>
        <v>0</v>
      </c>
      <c r="O1075" s="10">
        <f t="shared" ca="1" si="239"/>
        <v>0</v>
      </c>
      <c r="P1075" s="29">
        <f t="shared" ca="1" si="240"/>
        <v>0</v>
      </c>
      <c r="Q1075" s="12">
        <f t="shared" ca="1" si="241"/>
        <v>-300800</v>
      </c>
      <c r="R1075" s="10">
        <f t="shared" ca="1" si="242"/>
        <v>0</v>
      </c>
      <c r="S1075" s="10">
        <f t="shared" ca="1" si="248"/>
        <v>0.37428861548633907</v>
      </c>
      <c r="T1075" s="14">
        <f t="shared" ca="1" si="249"/>
        <v>-7.8785264665902008E-2</v>
      </c>
      <c r="U1075" s="12">
        <f t="shared" ca="1" si="243"/>
        <v>7900</v>
      </c>
      <c r="V1075" s="14">
        <f t="shared" ca="1" si="244"/>
        <v>-3907.5949367088606</v>
      </c>
      <c r="W1075" s="12">
        <f t="shared" ca="1" si="250"/>
        <v>-3407.5949367088606</v>
      </c>
      <c r="X1075" s="7">
        <f ca="1">AVERAGE(E1075:OFFSET(F1075,-$X$5+1,0))</f>
        <v>10864.8</v>
      </c>
      <c r="Y1075" s="7">
        <f ca="1">AVERAGE(E1075:OFFSET(F1075,-$Y$5+1,0))</f>
        <v>10837.3</v>
      </c>
      <c r="Z1075" s="7">
        <f t="shared" ca="1" si="236"/>
        <v>0</v>
      </c>
    </row>
    <row r="1076" spans="1:26">
      <c r="A1076" s="3" t="s">
        <v>76</v>
      </c>
      <c r="B1076" s="4">
        <v>43243</v>
      </c>
      <c r="C1076" s="3">
        <v>10933</v>
      </c>
      <c r="D1076" s="3">
        <v>10998</v>
      </c>
      <c r="E1076" s="3">
        <v>10855</v>
      </c>
      <c r="F1076" s="3">
        <v>10858</v>
      </c>
      <c r="G1076" s="3">
        <v>138032</v>
      </c>
      <c r="H1076" s="3">
        <v>1.0449999999999999</v>
      </c>
      <c r="I1076" s="2">
        <f t="shared" si="245"/>
        <v>0</v>
      </c>
      <c r="J1076" s="10">
        <f t="shared" si="247"/>
        <v>11</v>
      </c>
      <c r="K1076" s="10">
        <f t="shared" si="246"/>
        <v>-75</v>
      </c>
      <c r="L1076" s="10">
        <f t="shared" ca="1" si="235"/>
        <v>0</v>
      </c>
      <c r="M1076" s="10">
        <f t="shared" ca="1" si="237"/>
        <v>0</v>
      </c>
      <c r="N1076" s="30">
        <f t="shared" ca="1" si="238"/>
        <v>0</v>
      </c>
      <c r="O1076" s="10">
        <f t="shared" ca="1" si="239"/>
        <v>0</v>
      </c>
      <c r="P1076" s="29">
        <f t="shared" ca="1" si="240"/>
        <v>0</v>
      </c>
      <c r="Q1076" s="12">
        <f t="shared" ca="1" si="241"/>
        <v>-300800</v>
      </c>
      <c r="R1076" s="10">
        <f t="shared" ca="1" si="242"/>
        <v>0</v>
      </c>
      <c r="S1076" s="10">
        <f t="shared" ca="1" si="248"/>
        <v>0.37428861548633907</v>
      </c>
      <c r="T1076" s="14">
        <f t="shared" ca="1" si="249"/>
        <v>-7.8841577499362742E-2</v>
      </c>
      <c r="U1076" s="12">
        <f t="shared" ca="1" si="243"/>
        <v>7900</v>
      </c>
      <c r="V1076" s="14">
        <f t="shared" ca="1" si="244"/>
        <v>-3907.5949367088606</v>
      </c>
      <c r="W1076" s="12">
        <f t="shared" ca="1" si="250"/>
        <v>-3407.5949367088606</v>
      </c>
      <c r="X1076" s="7">
        <f ca="1">AVERAGE(E1076:OFFSET(F1076,-$X$5+1,0))</f>
        <v>10865</v>
      </c>
      <c r="Y1076" s="7">
        <f ca="1">AVERAGE(E1076:OFFSET(F1076,-$Y$5+1,0))</f>
        <v>10854.45</v>
      </c>
      <c r="Z1076" s="7">
        <f t="shared" ca="1" si="236"/>
        <v>0</v>
      </c>
    </row>
    <row r="1077" spans="1:26">
      <c r="A1077" s="3" t="s">
        <v>76</v>
      </c>
      <c r="B1077" s="4">
        <v>43244</v>
      </c>
      <c r="C1077" s="3">
        <v>10879</v>
      </c>
      <c r="D1077" s="3">
        <v>10923</v>
      </c>
      <c r="E1077" s="3">
        <v>10851</v>
      </c>
      <c r="F1077" s="3">
        <v>10917</v>
      </c>
      <c r="G1077" s="3">
        <v>113285</v>
      </c>
      <c r="H1077" s="3">
        <v>1.0449999999999999</v>
      </c>
      <c r="I1077" s="2">
        <f t="shared" si="245"/>
        <v>0</v>
      </c>
      <c r="J1077" s="10">
        <f t="shared" si="247"/>
        <v>21</v>
      </c>
      <c r="K1077" s="10">
        <f t="shared" si="246"/>
        <v>38</v>
      </c>
      <c r="L1077" s="10">
        <f t="shared" ca="1" si="235"/>
        <v>0</v>
      </c>
      <c r="M1077" s="10">
        <f t="shared" ca="1" si="237"/>
        <v>0</v>
      </c>
      <c r="N1077" s="30">
        <f t="shared" ca="1" si="238"/>
        <v>0</v>
      </c>
      <c r="O1077" s="10">
        <f t="shared" ca="1" si="239"/>
        <v>0</v>
      </c>
      <c r="P1077" s="29">
        <f t="shared" ca="1" si="240"/>
        <v>0</v>
      </c>
      <c r="Q1077" s="12">
        <f t="shared" ca="1" si="241"/>
        <v>-300800</v>
      </c>
      <c r="R1077" s="10">
        <f t="shared" ca="1" si="242"/>
        <v>0</v>
      </c>
      <c r="S1077" s="10">
        <f t="shared" ca="1" si="248"/>
        <v>0.37428861548633907</v>
      </c>
      <c r="T1077" s="14">
        <f t="shared" ca="1" si="249"/>
        <v>-7.8841577499362742E-2</v>
      </c>
      <c r="U1077" s="12">
        <f t="shared" ca="1" si="243"/>
        <v>7900</v>
      </c>
      <c r="V1077" s="14">
        <f t="shared" ca="1" si="244"/>
        <v>-3907.5949367088606</v>
      </c>
      <c r="W1077" s="12">
        <f t="shared" ca="1" si="250"/>
        <v>-3407.5949367088606</v>
      </c>
      <c r="X1077" s="7">
        <f ca="1">AVERAGE(E1077:OFFSET(F1077,-$X$5+1,0))</f>
        <v>10876.9</v>
      </c>
      <c r="Y1077" s="7">
        <f ca="1">AVERAGE(E1077:OFFSET(F1077,-$Y$5+1,0))</f>
        <v>10868.55</v>
      </c>
      <c r="Z1077" s="7">
        <f t="shared" ca="1" si="236"/>
        <v>0</v>
      </c>
    </row>
    <row r="1078" spans="1:26">
      <c r="A1078" s="3" t="s">
        <v>76</v>
      </c>
      <c r="B1078" s="4">
        <v>43245</v>
      </c>
      <c r="C1078" s="3">
        <v>10921</v>
      </c>
      <c r="D1078" s="3">
        <v>10956</v>
      </c>
      <c r="E1078" s="3">
        <v>10890</v>
      </c>
      <c r="F1078" s="3">
        <v>10932</v>
      </c>
      <c r="G1078" s="3">
        <v>107432</v>
      </c>
      <c r="H1078" s="3">
        <v>1.0449999999999999</v>
      </c>
      <c r="I1078" s="2">
        <f t="shared" si="245"/>
        <v>0</v>
      </c>
      <c r="J1078" s="10">
        <f t="shared" si="247"/>
        <v>4</v>
      </c>
      <c r="K1078" s="10">
        <f t="shared" si="246"/>
        <v>11</v>
      </c>
      <c r="L1078" s="10">
        <f t="shared" ca="1" si="235"/>
        <v>0</v>
      </c>
      <c r="M1078" s="10">
        <f t="shared" ca="1" si="237"/>
        <v>0</v>
      </c>
      <c r="N1078" s="30">
        <f t="shared" ca="1" si="238"/>
        <v>0</v>
      </c>
      <c r="O1078" s="10">
        <f t="shared" ca="1" si="239"/>
        <v>0</v>
      </c>
      <c r="P1078" s="29">
        <f t="shared" ca="1" si="240"/>
        <v>0</v>
      </c>
      <c r="Q1078" s="12">
        <f t="shared" ca="1" si="241"/>
        <v>-300800</v>
      </c>
      <c r="R1078" s="10">
        <f t="shared" ca="1" si="242"/>
        <v>0</v>
      </c>
      <c r="S1078" s="10">
        <f t="shared" ca="1" si="248"/>
        <v>0.37428861548633907</v>
      </c>
      <c r="T1078" s="14">
        <f t="shared" ca="1" si="249"/>
        <v>-7.8841577499362742E-2</v>
      </c>
      <c r="U1078" s="12">
        <f t="shared" ca="1" si="243"/>
        <v>7900</v>
      </c>
      <c r="V1078" s="14">
        <f t="shared" ca="1" si="244"/>
        <v>-3907.5949367088606</v>
      </c>
      <c r="W1078" s="12">
        <f t="shared" ca="1" si="250"/>
        <v>-3407.5949367088606</v>
      </c>
      <c r="X1078" s="7">
        <f ca="1">AVERAGE(E1078:OFFSET(F1078,-$X$5+1,0))</f>
        <v>10896.6</v>
      </c>
      <c r="Y1078" s="7">
        <f ca="1">AVERAGE(E1078:OFFSET(F1078,-$Y$5+1,0))</f>
        <v>10876.3</v>
      </c>
      <c r="Z1078" s="7">
        <f t="shared" ca="1" si="236"/>
        <v>0</v>
      </c>
    </row>
    <row r="1079" spans="1:26">
      <c r="A1079" s="3" t="s">
        <v>76</v>
      </c>
      <c r="B1079" s="4">
        <v>43248</v>
      </c>
      <c r="C1079" s="3">
        <v>10979</v>
      </c>
      <c r="D1079" s="3">
        <v>10989</v>
      </c>
      <c r="E1079" s="3">
        <v>10937</v>
      </c>
      <c r="F1079" s="3">
        <v>10983</v>
      </c>
      <c r="G1079" s="3">
        <v>93268</v>
      </c>
      <c r="H1079" s="3">
        <v>1.0449999999999999</v>
      </c>
      <c r="I1079" s="2">
        <f t="shared" si="245"/>
        <v>0</v>
      </c>
      <c r="J1079" s="10">
        <f t="shared" si="247"/>
        <v>47</v>
      </c>
      <c r="K1079" s="10">
        <f t="shared" si="246"/>
        <v>4</v>
      </c>
      <c r="L1079" s="10">
        <f t="shared" ca="1" si="235"/>
        <v>0</v>
      </c>
      <c r="M1079" s="10">
        <f t="shared" ca="1" si="237"/>
        <v>0</v>
      </c>
      <c r="N1079" s="30">
        <f t="shared" ca="1" si="238"/>
        <v>0</v>
      </c>
      <c r="O1079" s="10">
        <f t="shared" ca="1" si="239"/>
        <v>0</v>
      </c>
      <c r="P1079" s="29">
        <f t="shared" ca="1" si="240"/>
        <v>0</v>
      </c>
      <c r="Q1079" s="12">
        <f t="shared" ca="1" si="241"/>
        <v>-300800</v>
      </c>
      <c r="R1079" s="10">
        <f t="shared" ca="1" si="242"/>
        <v>0</v>
      </c>
      <c r="S1079" s="10">
        <f t="shared" ca="1" si="248"/>
        <v>0.37428861548633907</v>
      </c>
      <c r="T1079" s="14">
        <f t="shared" ca="1" si="249"/>
        <v>-7.8841577499362742E-2</v>
      </c>
      <c r="U1079" s="12">
        <f t="shared" ca="1" si="243"/>
        <v>7900</v>
      </c>
      <c r="V1079" s="14">
        <f t="shared" ca="1" si="244"/>
        <v>-3907.5949367088606</v>
      </c>
      <c r="W1079" s="12">
        <f t="shared" ca="1" si="250"/>
        <v>-3407.5949367088606</v>
      </c>
      <c r="X1079" s="7">
        <f ca="1">AVERAGE(E1079:OFFSET(F1079,-$X$5+1,0))</f>
        <v>10905.8</v>
      </c>
      <c r="Y1079" s="7">
        <f ca="1">AVERAGE(E1079:OFFSET(F1079,-$Y$5+1,0))</f>
        <v>10879.85</v>
      </c>
      <c r="Z1079" s="7">
        <f t="shared" ca="1" si="236"/>
        <v>0</v>
      </c>
    </row>
    <row r="1080" spans="1:26">
      <c r="A1080" s="3" t="s">
        <v>76</v>
      </c>
      <c r="B1080" s="4">
        <v>43249</v>
      </c>
      <c r="C1080" s="3">
        <v>10979</v>
      </c>
      <c r="D1080" s="3">
        <v>10982</v>
      </c>
      <c r="E1080" s="3">
        <v>10896</v>
      </c>
      <c r="F1080" s="3">
        <v>10928</v>
      </c>
      <c r="G1080" s="3">
        <v>119010</v>
      </c>
      <c r="H1080" s="3">
        <v>1.0449999999999999</v>
      </c>
      <c r="I1080" s="2">
        <f t="shared" si="245"/>
        <v>0</v>
      </c>
      <c r="J1080" s="10">
        <f t="shared" si="247"/>
        <v>-4</v>
      </c>
      <c r="K1080" s="10">
        <f t="shared" si="246"/>
        <v>-51</v>
      </c>
      <c r="L1080" s="10">
        <f t="shared" ca="1" si="235"/>
        <v>0</v>
      </c>
      <c r="M1080" s="10">
        <f t="shared" ca="1" si="237"/>
        <v>0</v>
      </c>
      <c r="N1080" s="30">
        <f t="shared" ca="1" si="238"/>
        <v>0</v>
      </c>
      <c r="O1080" s="10">
        <f t="shared" ca="1" si="239"/>
        <v>0</v>
      </c>
      <c r="P1080" s="29">
        <f t="shared" ca="1" si="240"/>
        <v>0</v>
      </c>
      <c r="Q1080" s="12">
        <f t="shared" ca="1" si="241"/>
        <v>-300800</v>
      </c>
      <c r="R1080" s="10">
        <f t="shared" ca="1" si="242"/>
        <v>0</v>
      </c>
      <c r="S1080" s="10">
        <f t="shared" ca="1" si="248"/>
        <v>0.37428861548633907</v>
      </c>
      <c r="T1080" s="14">
        <f t="shared" ca="1" si="249"/>
        <v>-7.8841577499362742E-2</v>
      </c>
      <c r="U1080" s="12">
        <f t="shared" ca="1" si="243"/>
        <v>7900</v>
      </c>
      <c r="V1080" s="14">
        <f t="shared" ca="1" si="244"/>
        <v>-3907.5949367088606</v>
      </c>
      <c r="W1080" s="12">
        <f t="shared" ca="1" si="250"/>
        <v>-3407.5949367088606</v>
      </c>
      <c r="X1080" s="7">
        <f ca="1">AVERAGE(E1080:OFFSET(F1080,-$X$5+1,0))</f>
        <v>10904.7</v>
      </c>
      <c r="Y1080" s="7">
        <f ca="1">AVERAGE(E1080:OFFSET(F1080,-$Y$5+1,0))</f>
        <v>10884.75</v>
      </c>
      <c r="Z1080" s="7">
        <f t="shared" ca="1" si="236"/>
        <v>0</v>
      </c>
    </row>
    <row r="1081" spans="1:26">
      <c r="A1081" s="3" t="s">
        <v>76</v>
      </c>
      <c r="B1081" s="4">
        <v>43250</v>
      </c>
      <c r="C1081" s="3">
        <v>10833</v>
      </c>
      <c r="D1081" s="3">
        <v>10848</v>
      </c>
      <c r="E1081" s="3">
        <v>10761</v>
      </c>
      <c r="F1081" s="3">
        <v>10775</v>
      </c>
      <c r="G1081" s="3">
        <v>151570</v>
      </c>
      <c r="H1081" s="3">
        <v>1.0449999999999999</v>
      </c>
      <c r="I1081" s="2">
        <f t="shared" si="245"/>
        <v>0</v>
      </c>
      <c r="J1081" s="10">
        <f t="shared" si="247"/>
        <v>-95</v>
      </c>
      <c r="K1081" s="10">
        <f t="shared" si="246"/>
        <v>-58</v>
      </c>
      <c r="L1081" s="10">
        <f t="shared" ca="1" si="235"/>
        <v>0</v>
      </c>
      <c r="M1081" s="10">
        <f t="shared" ca="1" si="237"/>
        <v>0</v>
      </c>
      <c r="N1081" s="30">
        <f t="shared" ca="1" si="238"/>
        <v>0</v>
      </c>
      <c r="O1081" s="10">
        <f t="shared" ca="1" si="239"/>
        <v>0</v>
      </c>
      <c r="P1081" s="29">
        <f t="shared" ca="1" si="240"/>
        <v>0</v>
      </c>
      <c r="Q1081" s="12">
        <f t="shared" ca="1" si="241"/>
        <v>-300800</v>
      </c>
      <c r="R1081" s="10">
        <f t="shared" ca="1" si="242"/>
        <v>0</v>
      </c>
      <c r="S1081" s="10">
        <f t="shared" ca="1" si="248"/>
        <v>0.37428861548633907</v>
      </c>
      <c r="T1081" s="14">
        <f t="shared" ca="1" si="249"/>
        <v>-7.8841577499362742E-2</v>
      </c>
      <c r="U1081" s="12">
        <f t="shared" ca="1" si="243"/>
        <v>7900</v>
      </c>
      <c r="V1081" s="14">
        <f t="shared" ca="1" si="244"/>
        <v>-3907.5949367088606</v>
      </c>
      <c r="W1081" s="12">
        <f t="shared" ca="1" si="250"/>
        <v>-3407.5949367088606</v>
      </c>
      <c r="X1081" s="7">
        <f ca="1">AVERAGE(E1081:OFFSET(F1081,-$X$5+1,0))</f>
        <v>10887</v>
      </c>
      <c r="Y1081" s="7">
        <f ca="1">AVERAGE(E1081:OFFSET(F1081,-$Y$5+1,0))</f>
        <v>10876</v>
      </c>
      <c r="Z1081" s="7">
        <f t="shared" ca="1" si="236"/>
        <v>0</v>
      </c>
    </row>
    <row r="1082" spans="1:26">
      <c r="A1082" s="3" t="s">
        <v>76</v>
      </c>
      <c r="B1082" s="4">
        <v>43251</v>
      </c>
      <c r="C1082" s="3">
        <v>10836</v>
      </c>
      <c r="D1082" s="3">
        <v>10870</v>
      </c>
      <c r="E1082" s="3">
        <v>10821</v>
      </c>
      <c r="F1082" s="3">
        <v>10867</v>
      </c>
      <c r="G1082" s="3">
        <v>124660</v>
      </c>
      <c r="H1082" s="3">
        <v>1.0449999999999999</v>
      </c>
      <c r="I1082" s="2">
        <f t="shared" si="245"/>
        <v>0</v>
      </c>
      <c r="J1082" s="10">
        <f t="shared" si="247"/>
        <v>61</v>
      </c>
      <c r="K1082" s="10">
        <f t="shared" si="246"/>
        <v>31</v>
      </c>
      <c r="L1082" s="10">
        <f t="shared" ca="1" si="235"/>
        <v>0</v>
      </c>
      <c r="M1082" s="10">
        <f t="shared" ca="1" si="237"/>
        <v>0</v>
      </c>
      <c r="N1082" s="30">
        <f t="shared" ca="1" si="238"/>
        <v>0</v>
      </c>
      <c r="O1082" s="10">
        <f t="shared" ca="1" si="239"/>
        <v>0</v>
      </c>
      <c r="P1082" s="29">
        <f t="shared" ca="1" si="240"/>
        <v>0</v>
      </c>
      <c r="Q1082" s="12">
        <f t="shared" ca="1" si="241"/>
        <v>-300800</v>
      </c>
      <c r="R1082" s="10">
        <f t="shared" ca="1" si="242"/>
        <v>0</v>
      </c>
      <c r="S1082" s="10">
        <f t="shared" ca="1" si="248"/>
        <v>0.37428861548633907</v>
      </c>
      <c r="T1082" s="14">
        <f t="shared" ca="1" si="249"/>
        <v>-7.8841577499362742E-2</v>
      </c>
      <c r="U1082" s="12">
        <f t="shared" ca="1" si="243"/>
        <v>7900</v>
      </c>
      <c r="V1082" s="14">
        <f t="shared" ca="1" si="244"/>
        <v>-3907.5949367088606</v>
      </c>
      <c r="W1082" s="12">
        <f t="shared" ca="1" si="250"/>
        <v>-3407.5949367088606</v>
      </c>
      <c r="X1082" s="7">
        <f ca="1">AVERAGE(E1082:OFFSET(F1082,-$X$5+1,0))</f>
        <v>10879</v>
      </c>
      <c r="Y1082" s="7">
        <f ca="1">AVERAGE(E1082:OFFSET(F1082,-$Y$5+1,0))</f>
        <v>10877.95</v>
      </c>
      <c r="Z1082" s="7">
        <f t="shared" ca="1" si="236"/>
        <v>0</v>
      </c>
    </row>
    <row r="1083" spans="1:26">
      <c r="A1083" s="3" t="s">
        <v>76</v>
      </c>
      <c r="B1083" s="4">
        <v>43252</v>
      </c>
      <c r="C1083" s="3">
        <v>10854</v>
      </c>
      <c r="D1083" s="3">
        <v>10925</v>
      </c>
      <c r="E1083" s="3">
        <v>10844</v>
      </c>
      <c r="F1083" s="3">
        <v>10915</v>
      </c>
      <c r="G1083" s="3">
        <v>111930</v>
      </c>
      <c r="H1083" s="3">
        <v>1.0449999999999999</v>
      </c>
      <c r="I1083" s="2">
        <f t="shared" si="245"/>
        <v>0</v>
      </c>
      <c r="J1083" s="10">
        <f t="shared" si="247"/>
        <v>-13</v>
      </c>
      <c r="K1083" s="10">
        <f t="shared" si="246"/>
        <v>61</v>
      </c>
      <c r="L1083" s="10">
        <f t="shared" ca="1" si="235"/>
        <v>-1</v>
      </c>
      <c r="M1083" s="10">
        <f t="shared" ca="1" si="237"/>
        <v>0</v>
      </c>
      <c r="N1083" s="30">
        <f t="shared" ca="1" si="238"/>
        <v>0</v>
      </c>
      <c r="O1083" s="10">
        <f t="shared" ca="1" si="239"/>
        <v>0</v>
      </c>
      <c r="P1083" s="29">
        <f t="shared" ca="1" si="240"/>
        <v>0</v>
      </c>
      <c r="Q1083" s="12">
        <f t="shared" ca="1" si="241"/>
        <v>-300800</v>
      </c>
      <c r="R1083" s="10">
        <f t="shared" ca="1" si="242"/>
        <v>0</v>
      </c>
      <c r="S1083" s="10">
        <f t="shared" ca="1" si="248"/>
        <v>0.37428861548633907</v>
      </c>
      <c r="T1083" s="14">
        <f t="shared" ca="1" si="249"/>
        <v>-7.8843626372507483E-2</v>
      </c>
      <c r="U1083" s="12">
        <f t="shared" ca="1" si="243"/>
        <v>7900</v>
      </c>
      <c r="V1083" s="14">
        <f t="shared" ca="1" si="244"/>
        <v>-3907.5949367088606</v>
      </c>
      <c r="W1083" s="12">
        <f t="shared" ca="1" si="250"/>
        <v>-3407.5949367088606</v>
      </c>
      <c r="X1083" s="7">
        <f ca="1">AVERAGE(E1083:OFFSET(F1083,-$X$5+1,0))</f>
        <v>10872.7</v>
      </c>
      <c r="Y1083" s="7">
        <f ca="1">AVERAGE(E1083:OFFSET(F1083,-$Y$5+1,0))</f>
        <v>10884.65</v>
      </c>
      <c r="Z1083" s="7">
        <f t="shared" ca="1" si="236"/>
        <v>-1</v>
      </c>
    </row>
    <row r="1084" spans="1:26">
      <c r="A1084" s="3" t="s">
        <v>76</v>
      </c>
      <c r="B1084" s="4">
        <v>43255</v>
      </c>
      <c r="C1084" s="3">
        <v>10976</v>
      </c>
      <c r="D1084" s="3">
        <v>11095</v>
      </c>
      <c r="E1084" s="3">
        <v>10976</v>
      </c>
      <c r="F1084" s="3">
        <v>11085</v>
      </c>
      <c r="G1084" s="3">
        <v>109687</v>
      </c>
      <c r="H1084" s="3">
        <v>1.0449999999999999</v>
      </c>
      <c r="I1084" s="2">
        <f t="shared" si="245"/>
        <v>0</v>
      </c>
      <c r="J1084" s="10">
        <f t="shared" si="247"/>
        <v>61</v>
      </c>
      <c r="K1084" s="10">
        <f t="shared" si="246"/>
        <v>109</v>
      </c>
      <c r="L1084" s="10">
        <f t="shared" ca="1" si="235"/>
        <v>0</v>
      </c>
      <c r="M1084" s="10">
        <f t="shared" ca="1" si="237"/>
        <v>-1</v>
      </c>
      <c r="N1084" s="30">
        <f t="shared" ca="1" si="238"/>
        <v>0</v>
      </c>
      <c r="O1084" s="10">
        <f t="shared" ca="1" si="239"/>
        <v>2195200</v>
      </c>
      <c r="P1084" s="29">
        <f t="shared" ca="1" si="240"/>
        <v>-22300</v>
      </c>
      <c r="Q1084" s="12">
        <f t="shared" ca="1" si="241"/>
        <v>-323100</v>
      </c>
      <c r="R1084" s="10">
        <f t="shared" ca="1" si="242"/>
        <v>-1.0158527696793003</v>
      </c>
      <c r="S1084" s="10">
        <f t="shared" ca="1" si="248"/>
        <v>0.24263820341464568</v>
      </c>
      <c r="T1084" s="14">
        <f t="shared" ca="1" si="249"/>
        <v>-9.4043515125519353E-2</v>
      </c>
      <c r="U1084" s="12">
        <f t="shared" ca="1" si="243"/>
        <v>7900</v>
      </c>
      <c r="V1084" s="14">
        <f t="shared" ca="1" si="244"/>
        <v>-4189.8734177215192</v>
      </c>
      <c r="W1084" s="12">
        <f t="shared" ca="1" si="250"/>
        <v>-3407.5949367088606</v>
      </c>
      <c r="X1084" s="7">
        <f ca="1">AVERAGE(E1084:OFFSET(F1084,-$X$5+1,0))</f>
        <v>10886.8</v>
      </c>
      <c r="Y1084" s="7">
        <f ca="1">AVERAGE(E1084:OFFSET(F1084,-$Y$5+1,0))</f>
        <v>10896.3</v>
      </c>
      <c r="Z1084" s="7">
        <f t="shared" ca="1" si="236"/>
        <v>0</v>
      </c>
    </row>
    <row r="1085" spans="1:26">
      <c r="A1085" s="3" t="s">
        <v>76</v>
      </c>
      <c r="B1085" s="4">
        <v>43256</v>
      </c>
      <c r="C1085" s="3">
        <v>11101</v>
      </c>
      <c r="D1085" s="3">
        <v>11118</v>
      </c>
      <c r="E1085" s="3">
        <v>11035</v>
      </c>
      <c r="F1085" s="3">
        <v>11069</v>
      </c>
      <c r="G1085" s="3">
        <v>119504</v>
      </c>
      <c r="H1085" s="3">
        <v>1.0449999999999999</v>
      </c>
      <c r="I1085" s="2">
        <f t="shared" si="245"/>
        <v>0</v>
      </c>
      <c r="J1085" s="10">
        <f t="shared" si="247"/>
        <v>16</v>
      </c>
      <c r="K1085" s="10">
        <f t="shared" si="246"/>
        <v>-32</v>
      </c>
      <c r="L1085" s="10">
        <f t="shared" ref="L1085:L1148" ca="1" si="251">Z1085</f>
        <v>1</v>
      </c>
      <c r="M1085" s="10">
        <f t="shared" ca="1" si="237"/>
        <v>-1</v>
      </c>
      <c r="N1085" s="30">
        <f t="shared" ca="1" si="238"/>
        <v>0</v>
      </c>
      <c r="O1085" s="10">
        <f t="shared" ca="1" si="239"/>
        <v>2195200</v>
      </c>
      <c r="P1085" s="29">
        <f t="shared" ca="1" si="240"/>
        <v>3200</v>
      </c>
      <c r="Q1085" s="12">
        <f t="shared" ca="1" si="241"/>
        <v>-319900</v>
      </c>
      <c r="R1085" s="10">
        <f t="shared" ca="1" si="242"/>
        <v>0.1457725947521866</v>
      </c>
      <c r="S1085" s="10">
        <f t="shared" ca="1" si="248"/>
        <v>0.29045741138687509</v>
      </c>
      <c r="T1085" s="14">
        <f t="shared" ca="1" si="249"/>
        <v>-8.8428524982344395E-2</v>
      </c>
      <c r="U1085" s="12">
        <f t="shared" ca="1" si="243"/>
        <v>7900</v>
      </c>
      <c r="V1085" s="14">
        <f t="shared" ca="1" si="244"/>
        <v>-4149.3670886075952</v>
      </c>
      <c r="W1085" s="12">
        <f t="shared" ca="1" si="250"/>
        <v>-3407.5949367088606</v>
      </c>
      <c r="X1085" s="7">
        <f ca="1">AVERAGE(E1085:OFFSET(F1085,-$X$5+1,0))</f>
        <v>10914.8</v>
      </c>
      <c r="Y1085" s="7">
        <f ca="1">AVERAGE(E1085:OFFSET(F1085,-$Y$5+1,0))</f>
        <v>10909.75</v>
      </c>
      <c r="Z1085" s="7">
        <f t="shared" ref="Z1085:Z1148" ca="1" si="252">IF(AND(X1084&lt;=Y1084,X1085&gt;Y1085),1,IF(AND(X1084&gt;Y1084,X1085&lt;=Y1085),-1,0))</f>
        <v>1</v>
      </c>
    </row>
    <row r="1086" spans="1:26">
      <c r="A1086" s="3" t="s">
        <v>76</v>
      </c>
      <c r="B1086" s="4">
        <v>43257</v>
      </c>
      <c r="C1086" s="3">
        <v>11095</v>
      </c>
      <c r="D1086" s="3">
        <v>11210</v>
      </c>
      <c r="E1086" s="3">
        <v>11088</v>
      </c>
      <c r="F1086" s="3">
        <v>11200</v>
      </c>
      <c r="G1086" s="3">
        <v>134205</v>
      </c>
      <c r="H1086" s="3">
        <v>1.0449999999999999</v>
      </c>
      <c r="I1086" s="2">
        <f t="shared" si="245"/>
        <v>0</v>
      </c>
      <c r="J1086" s="10">
        <f t="shared" si="247"/>
        <v>26</v>
      </c>
      <c r="K1086" s="10">
        <f t="shared" si="246"/>
        <v>105</v>
      </c>
      <c r="L1086" s="10">
        <f t="shared" ca="1" si="251"/>
        <v>0</v>
      </c>
      <c r="M1086" s="10">
        <f t="shared" ref="M1086:M1149" ca="1" si="253">IF(I1086=1,0,IF(M1085+L1085&gt;=$M$5,$M$5,IF(M1085+L1085&lt;=$M$7,$M$7,M1085+L1085)))</f>
        <v>0</v>
      </c>
      <c r="N1086" s="30">
        <f t="shared" ref="N1086:N1149" ca="1" si="254">IF(M1086=0,0,IF(M1086&gt;M1085,(C1086+N1085*M1085)*$S$5,0))</f>
        <v>0</v>
      </c>
      <c r="O1086" s="10">
        <f t="shared" ref="O1086:O1149" ca="1" si="255">IF(M1086=0,0,IF(M1086=M1085,O1085,((M1086-M1085)*C1086+N1085*M1085)*$S$5/M1086))</f>
        <v>0</v>
      </c>
      <c r="P1086" s="29">
        <f t="shared" ref="P1086:P1149" ca="1" si="256">IF(M1085=M1086,(M1085*J1086+M1086*K1086)*$S$5,(M1085*J1086+M1086*K1086)*$S$5-$S$6)</f>
        <v>-5700</v>
      </c>
      <c r="Q1086" s="12">
        <f t="shared" ref="Q1086:Q1149" ca="1" si="257">P1086+Q1085</f>
        <v>-325600</v>
      </c>
      <c r="R1086" s="10">
        <f t="shared" ref="R1086:R1149" ca="1" si="258">IF(P1086=0,0,IF(O1086=0,100*P1086/O1085,100*P1086/O1086))</f>
        <v>-0.25965743440233235</v>
      </c>
      <c r="S1086" s="10">
        <f t="shared" ca="1" si="248"/>
        <v>0.3429995040971025</v>
      </c>
      <c r="T1086" s="14">
        <f t="shared" ca="1" si="249"/>
        <v>-8.2262806116456519E-2</v>
      </c>
      <c r="U1086" s="12">
        <f t="shared" ref="U1086:U1149" ca="1" si="259">IF(Q1086&gt;U1085,Q1086,U1085)</f>
        <v>7900</v>
      </c>
      <c r="V1086" s="14">
        <f t="shared" ref="V1086:V1149" ca="1" si="260">IF(U1086=0,0,100*(Q1086-U1086)/U1086)</f>
        <v>-4221.5189873417721</v>
      </c>
      <c r="W1086" s="12">
        <f t="shared" ca="1" si="250"/>
        <v>-3407.5949367088606</v>
      </c>
      <c r="X1086" s="7">
        <f ca="1">AVERAGE(E1086:OFFSET(F1086,-$X$5+1,0))</f>
        <v>10990</v>
      </c>
      <c r="Y1086" s="7">
        <f ca="1">AVERAGE(E1086:OFFSET(F1086,-$Y$5+1,0))</f>
        <v>10938.5</v>
      </c>
      <c r="Z1086" s="7">
        <f t="shared" ca="1" si="252"/>
        <v>0</v>
      </c>
    </row>
    <row r="1087" spans="1:26">
      <c r="A1087" s="3" t="s">
        <v>76</v>
      </c>
      <c r="B1087" s="4">
        <v>43258</v>
      </c>
      <c r="C1087" s="3">
        <v>11245</v>
      </c>
      <c r="D1087" s="3">
        <v>11253</v>
      </c>
      <c r="E1087" s="3">
        <v>11174</v>
      </c>
      <c r="F1087" s="3">
        <v>11227</v>
      </c>
      <c r="G1087" s="3">
        <v>127407</v>
      </c>
      <c r="H1087" s="3">
        <v>1.0449999999999999</v>
      </c>
      <c r="I1087" s="2">
        <f t="shared" si="245"/>
        <v>0</v>
      </c>
      <c r="J1087" s="10">
        <f t="shared" si="247"/>
        <v>45</v>
      </c>
      <c r="K1087" s="10">
        <f t="shared" si="246"/>
        <v>-18</v>
      </c>
      <c r="L1087" s="10">
        <f t="shared" ca="1" si="251"/>
        <v>0</v>
      </c>
      <c r="M1087" s="10">
        <f t="shared" ca="1" si="253"/>
        <v>0</v>
      </c>
      <c r="N1087" s="30">
        <f t="shared" ca="1" si="254"/>
        <v>0</v>
      </c>
      <c r="O1087" s="10">
        <f t="shared" ca="1" si="255"/>
        <v>0</v>
      </c>
      <c r="P1087" s="29">
        <f t="shared" ca="1" si="256"/>
        <v>0</v>
      </c>
      <c r="Q1087" s="12">
        <f t="shared" ca="1" si="257"/>
        <v>-325600</v>
      </c>
      <c r="R1087" s="10">
        <f t="shared" ca="1" si="258"/>
        <v>0</v>
      </c>
      <c r="S1087" s="10">
        <f t="shared" ca="1" si="248"/>
        <v>0.45280657425555532</v>
      </c>
      <c r="T1087" s="14">
        <f t="shared" ca="1" si="249"/>
        <v>-6.9613238253998649E-2</v>
      </c>
      <c r="U1087" s="12">
        <f t="shared" ca="1" si="259"/>
        <v>7900</v>
      </c>
      <c r="V1087" s="14">
        <f t="shared" ca="1" si="260"/>
        <v>-4221.5189873417721</v>
      </c>
      <c r="W1087" s="12">
        <f t="shared" ca="1" si="250"/>
        <v>-3407.5949367088606</v>
      </c>
      <c r="X1087" s="7">
        <f ca="1">AVERAGE(E1087:OFFSET(F1087,-$X$5+1,0))</f>
        <v>11061.3</v>
      </c>
      <c r="Y1087" s="7">
        <f ca="1">AVERAGE(E1087:OFFSET(F1087,-$Y$5+1,0))</f>
        <v>10970.15</v>
      </c>
      <c r="Z1087" s="7">
        <f t="shared" ca="1" si="252"/>
        <v>0</v>
      </c>
    </row>
    <row r="1088" spans="1:26">
      <c r="A1088" s="3" t="s">
        <v>76</v>
      </c>
      <c r="B1088" s="4">
        <v>43259</v>
      </c>
      <c r="C1088" s="3">
        <v>11205</v>
      </c>
      <c r="D1088" s="3">
        <v>11215</v>
      </c>
      <c r="E1088" s="3">
        <v>11103</v>
      </c>
      <c r="F1088" s="3">
        <v>11125</v>
      </c>
      <c r="G1088" s="3">
        <v>122509</v>
      </c>
      <c r="H1088" s="3">
        <v>1.0449999999999999</v>
      </c>
      <c r="I1088" s="2">
        <f t="shared" si="245"/>
        <v>0</v>
      </c>
      <c r="J1088" s="10">
        <f t="shared" si="247"/>
        <v>-22</v>
      </c>
      <c r="K1088" s="10">
        <f t="shared" si="246"/>
        <v>-80</v>
      </c>
      <c r="L1088" s="10">
        <f t="shared" ca="1" si="251"/>
        <v>0</v>
      </c>
      <c r="M1088" s="10">
        <f t="shared" ca="1" si="253"/>
        <v>0</v>
      </c>
      <c r="N1088" s="30">
        <f t="shared" ca="1" si="254"/>
        <v>0</v>
      </c>
      <c r="O1088" s="10">
        <f t="shared" ca="1" si="255"/>
        <v>0</v>
      </c>
      <c r="P1088" s="29">
        <f t="shared" ca="1" si="256"/>
        <v>0</v>
      </c>
      <c r="Q1088" s="12">
        <f t="shared" ca="1" si="257"/>
        <v>-325600</v>
      </c>
      <c r="R1088" s="10">
        <f t="shared" ca="1" si="258"/>
        <v>0</v>
      </c>
      <c r="S1088" s="10">
        <f t="shared" ca="1" si="248"/>
        <v>0.55080643256901318</v>
      </c>
      <c r="T1088" s="14">
        <f t="shared" ca="1" si="249"/>
        <v>-5.8130063751374368E-2</v>
      </c>
      <c r="U1088" s="12">
        <f t="shared" ca="1" si="259"/>
        <v>7900</v>
      </c>
      <c r="V1088" s="14">
        <f t="shared" ca="1" si="260"/>
        <v>-4221.5189873417721</v>
      </c>
      <c r="W1088" s="12">
        <f t="shared" ca="1" si="250"/>
        <v>-3407.5949367088606</v>
      </c>
      <c r="X1088" s="7">
        <f ca="1">AVERAGE(E1088:OFFSET(F1088,-$X$5+1,0))</f>
        <v>11108.2</v>
      </c>
      <c r="Y1088" s="7">
        <f ca="1">AVERAGE(E1088:OFFSET(F1088,-$Y$5+1,0))</f>
        <v>10990.45</v>
      </c>
      <c r="Z1088" s="7">
        <f t="shared" ca="1" si="252"/>
        <v>0</v>
      </c>
    </row>
    <row r="1089" spans="1:26">
      <c r="A1089" s="3" t="s">
        <v>76</v>
      </c>
      <c r="B1089" s="4">
        <v>43262</v>
      </c>
      <c r="C1089" s="3">
        <v>11151</v>
      </c>
      <c r="D1089" s="3">
        <v>11173</v>
      </c>
      <c r="E1089" s="3">
        <v>11098</v>
      </c>
      <c r="F1089" s="3">
        <v>11128</v>
      </c>
      <c r="G1089" s="3">
        <v>104423</v>
      </c>
      <c r="H1089" s="3">
        <v>1.0449999999999999</v>
      </c>
      <c r="I1089" s="2">
        <f t="shared" si="245"/>
        <v>0</v>
      </c>
      <c r="J1089" s="10">
        <f t="shared" si="247"/>
        <v>26</v>
      </c>
      <c r="K1089" s="10">
        <f t="shared" si="246"/>
        <v>-23</v>
      </c>
      <c r="L1089" s="10">
        <f t="shared" ca="1" si="251"/>
        <v>0</v>
      </c>
      <c r="M1089" s="10">
        <f t="shared" ca="1" si="253"/>
        <v>0</v>
      </c>
      <c r="N1089" s="30">
        <f t="shared" ca="1" si="254"/>
        <v>0</v>
      </c>
      <c r="O1089" s="10">
        <f t="shared" ca="1" si="255"/>
        <v>0</v>
      </c>
      <c r="P1089" s="29">
        <f t="shared" ca="1" si="256"/>
        <v>0</v>
      </c>
      <c r="Q1089" s="12">
        <f t="shared" ca="1" si="257"/>
        <v>-325600</v>
      </c>
      <c r="R1089" s="10">
        <f t="shared" ca="1" si="258"/>
        <v>0</v>
      </c>
      <c r="S1089" s="10">
        <f t="shared" ca="1" si="248"/>
        <v>0.49590289748978678</v>
      </c>
      <c r="T1089" s="14">
        <f t="shared" ca="1" si="249"/>
        <v>-6.4600587850391369E-2</v>
      </c>
      <c r="U1089" s="12">
        <f t="shared" ca="1" si="259"/>
        <v>7900</v>
      </c>
      <c r="V1089" s="14">
        <f t="shared" ca="1" si="260"/>
        <v>-4221.5189873417721</v>
      </c>
      <c r="W1089" s="12">
        <f t="shared" ca="1" si="250"/>
        <v>-3407.5949367088606</v>
      </c>
      <c r="X1089" s="7">
        <f ca="1">AVERAGE(E1089:OFFSET(F1089,-$X$5+1,0))</f>
        <v>11124.7</v>
      </c>
      <c r="Y1089" s="7">
        <f ca="1">AVERAGE(E1089:OFFSET(F1089,-$Y$5+1,0))</f>
        <v>11005.75</v>
      </c>
      <c r="Z1089" s="7">
        <f t="shared" ca="1" si="252"/>
        <v>0</v>
      </c>
    </row>
    <row r="1090" spans="1:26">
      <c r="A1090" s="3" t="s">
        <v>76</v>
      </c>
      <c r="B1090" s="4">
        <v>43263</v>
      </c>
      <c r="C1090" s="3">
        <v>11148</v>
      </c>
      <c r="D1090" s="3">
        <v>11152</v>
      </c>
      <c r="E1090" s="3">
        <v>11054</v>
      </c>
      <c r="F1090" s="3">
        <v>11141</v>
      </c>
      <c r="G1090" s="3">
        <v>159832</v>
      </c>
      <c r="H1090" s="3">
        <v>1.0449999999999999</v>
      </c>
      <c r="I1090" s="2">
        <f t="shared" si="245"/>
        <v>0</v>
      </c>
      <c r="J1090" s="10">
        <f t="shared" si="247"/>
        <v>20</v>
      </c>
      <c r="K1090" s="10">
        <f t="shared" si="246"/>
        <v>-7</v>
      </c>
      <c r="L1090" s="10">
        <f t="shared" ca="1" si="251"/>
        <v>0</v>
      </c>
      <c r="M1090" s="10">
        <f t="shared" ca="1" si="253"/>
        <v>0</v>
      </c>
      <c r="N1090" s="30">
        <f t="shared" ca="1" si="254"/>
        <v>0</v>
      </c>
      <c r="O1090" s="10">
        <f t="shared" ca="1" si="255"/>
        <v>0</v>
      </c>
      <c r="P1090" s="29">
        <f t="shared" ca="1" si="256"/>
        <v>0</v>
      </c>
      <c r="Q1090" s="12">
        <f t="shared" ca="1" si="257"/>
        <v>-325600</v>
      </c>
      <c r="R1090" s="10">
        <f t="shared" ca="1" si="258"/>
        <v>0</v>
      </c>
      <c r="S1090" s="10">
        <f t="shared" ca="1" si="248"/>
        <v>0.52284686426116833</v>
      </c>
      <c r="T1090" s="14">
        <f t="shared" ca="1" si="249"/>
        <v>-6.1501956219577374E-2</v>
      </c>
      <c r="U1090" s="12">
        <f t="shared" ca="1" si="259"/>
        <v>7900</v>
      </c>
      <c r="V1090" s="14">
        <f t="shared" ca="1" si="260"/>
        <v>-4221.5189873417721</v>
      </c>
      <c r="W1090" s="12">
        <f t="shared" ca="1" si="250"/>
        <v>-3407.5949367088606</v>
      </c>
      <c r="X1090" s="7">
        <f ca="1">AVERAGE(E1090:OFFSET(F1090,-$X$5+1,0))</f>
        <v>11133.8</v>
      </c>
      <c r="Y1090" s="7">
        <f ca="1">AVERAGE(E1090:OFFSET(F1090,-$Y$5+1,0))</f>
        <v>11024.3</v>
      </c>
      <c r="Z1090" s="7">
        <f t="shared" ca="1" si="252"/>
        <v>0</v>
      </c>
    </row>
    <row r="1091" spans="1:26">
      <c r="A1091" s="3" t="s">
        <v>76</v>
      </c>
      <c r="B1091" s="4">
        <v>43264</v>
      </c>
      <c r="C1091" s="3">
        <v>11152</v>
      </c>
      <c r="D1091" s="3">
        <v>11169</v>
      </c>
      <c r="E1091" s="3">
        <v>11095</v>
      </c>
      <c r="F1091" s="3">
        <v>11146</v>
      </c>
      <c r="G1091" s="3">
        <v>114215</v>
      </c>
      <c r="H1091" s="3">
        <v>1.0449999999999999</v>
      </c>
      <c r="I1091" s="2">
        <f t="shared" si="245"/>
        <v>0</v>
      </c>
      <c r="J1091" s="10">
        <f t="shared" si="247"/>
        <v>11</v>
      </c>
      <c r="K1091" s="10">
        <f t="shared" si="246"/>
        <v>-6</v>
      </c>
      <c r="L1091" s="10">
        <f t="shared" ca="1" si="251"/>
        <v>0</v>
      </c>
      <c r="M1091" s="10">
        <f t="shared" ca="1" si="253"/>
        <v>0</v>
      </c>
      <c r="N1091" s="30">
        <f t="shared" ca="1" si="254"/>
        <v>0</v>
      </c>
      <c r="O1091" s="10">
        <f t="shared" ca="1" si="255"/>
        <v>0</v>
      </c>
      <c r="P1091" s="29">
        <f t="shared" ca="1" si="256"/>
        <v>0</v>
      </c>
      <c r="Q1091" s="12">
        <f t="shared" ca="1" si="257"/>
        <v>-325600</v>
      </c>
      <c r="R1091" s="10">
        <f t="shared" ca="1" si="258"/>
        <v>0</v>
      </c>
      <c r="S1091" s="10">
        <f t="shared" ca="1" si="248"/>
        <v>0.54432452749140892</v>
      </c>
      <c r="T1091" s="14">
        <f t="shared" ca="1" si="249"/>
        <v>-5.9031941562914553E-2</v>
      </c>
      <c r="U1091" s="12">
        <f t="shared" ca="1" si="259"/>
        <v>7900</v>
      </c>
      <c r="V1091" s="14">
        <f t="shared" ca="1" si="260"/>
        <v>-4221.5189873417721</v>
      </c>
      <c r="W1091" s="12">
        <f t="shared" ca="1" si="250"/>
        <v>-3407.5949367088606</v>
      </c>
      <c r="X1091" s="7">
        <f ca="1">AVERAGE(E1091:OFFSET(F1091,-$X$5+1,0))</f>
        <v>11129.1</v>
      </c>
      <c r="Y1091" s="7">
        <f ca="1">AVERAGE(E1091:OFFSET(F1091,-$Y$5+1,0))</f>
        <v>11059.55</v>
      </c>
      <c r="Z1091" s="7">
        <f t="shared" ca="1" si="252"/>
        <v>0</v>
      </c>
    </row>
    <row r="1092" spans="1:26">
      <c r="A1092" s="3" t="s">
        <v>76</v>
      </c>
      <c r="B1092" s="4">
        <v>43265</v>
      </c>
      <c r="C1092" s="3">
        <v>11101</v>
      </c>
      <c r="D1092" s="3">
        <v>11106</v>
      </c>
      <c r="E1092" s="3">
        <v>10984</v>
      </c>
      <c r="F1092" s="3">
        <v>10985</v>
      </c>
      <c r="G1092" s="3">
        <v>143124</v>
      </c>
      <c r="H1092" s="3">
        <v>1.0449999999999999</v>
      </c>
      <c r="I1092" s="2">
        <f t="shared" ref="I1092:I1155" si="261">IF(A1092=A1093,0,1)</f>
        <v>0</v>
      </c>
      <c r="J1092" s="10">
        <f t="shared" si="247"/>
        <v>-45</v>
      </c>
      <c r="K1092" s="10">
        <f t="shared" ref="K1092:K1155" si="262">F1092-C1092</f>
        <v>-116</v>
      </c>
      <c r="L1092" s="10">
        <f t="shared" ca="1" si="251"/>
        <v>0</v>
      </c>
      <c r="M1092" s="10">
        <f t="shared" ca="1" si="253"/>
        <v>0</v>
      </c>
      <c r="N1092" s="30">
        <f t="shared" ca="1" si="254"/>
        <v>0</v>
      </c>
      <c r="O1092" s="10">
        <f t="shared" ca="1" si="255"/>
        <v>0</v>
      </c>
      <c r="P1092" s="29">
        <f t="shared" ca="1" si="256"/>
        <v>0</v>
      </c>
      <c r="Q1092" s="12">
        <f t="shared" ca="1" si="257"/>
        <v>-325600</v>
      </c>
      <c r="R1092" s="10">
        <f t="shared" ca="1" si="258"/>
        <v>0</v>
      </c>
      <c r="S1092" s="10">
        <f t="shared" ca="1" si="248"/>
        <v>0.32149377147766323</v>
      </c>
      <c r="T1092" s="14">
        <f t="shared" ca="1" si="249"/>
        <v>-8.5306761148502941E-2</v>
      </c>
      <c r="U1092" s="12">
        <f t="shared" ca="1" si="259"/>
        <v>7900</v>
      </c>
      <c r="V1092" s="14">
        <f t="shared" ca="1" si="260"/>
        <v>-4221.5189873417721</v>
      </c>
      <c r="W1092" s="12">
        <f t="shared" ca="1" si="250"/>
        <v>-3407.5949367088606</v>
      </c>
      <c r="X1092" s="7">
        <f ca="1">AVERAGE(E1092:OFFSET(F1092,-$X$5+1,0))</f>
        <v>11085.9</v>
      </c>
      <c r="Y1092" s="7">
        <f ca="1">AVERAGE(E1092:OFFSET(F1092,-$Y$5+1,0))</f>
        <v>11073.6</v>
      </c>
      <c r="Z1092" s="7">
        <f t="shared" ca="1" si="252"/>
        <v>0</v>
      </c>
    </row>
    <row r="1093" spans="1:26">
      <c r="A1093" s="3" t="s">
        <v>76</v>
      </c>
      <c r="B1093" s="4">
        <v>43266</v>
      </c>
      <c r="C1093" s="3">
        <v>11001</v>
      </c>
      <c r="D1093" s="3">
        <v>11075</v>
      </c>
      <c r="E1093" s="3">
        <v>10961</v>
      </c>
      <c r="F1093" s="3">
        <v>11055</v>
      </c>
      <c r="G1093" s="3">
        <v>145449</v>
      </c>
      <c r="H1093" s="3">
        <v>1.0449999999999999</v>
      </c>
      <c r="I1093" s="2">
        <f t="shared" si="261"/>
        <v>0</v>
      </c>
      <c r="J1093" s="10">
        <f t="shared" ref="J1093:J1156" si="263">C1093-F1092</f>
        <v>16</v>
      </c>
      <c r="K1093" s="10">
        <f t="shared" si="262"/>
        <v>54</v>
      </c>
      <c r="L1093" s="10">
        <f t="shared" ca="1" si="251"/>
        <v>-1</v>
      </c>
      <c r="M1093" s="10">
        <f t="shared" ca="1" si="253"/>
        <v>0</v>
      </c>
      <c r="N1093" s="30">
        <f t="shared" ca="1" si="254"/>
        <v>0</v>
      </c>
      <c r="O1093" s="10">
        <f t="shared" ca="1" si="255"/>
        <v>0</v>
      </c>
      <c r="P1093" s="29">
        <f t="shared" ca="1" si="256"/>
        <v>0</v>
      </c>
      <c r="Q1093" s="12">
        <f t="shared" ca="1" si="257"/>
        <v>-325600</v>
      </c>
      <c r="R1093" s="10">
        <f t="shared" ca="1" si="258"/>
        <v>0</v>
      </c>
      <c r="S1093" s="10">
        <f t="shared" ca="1" si="248"/>
        <v>0.33894437285223367</v>
      </c>
      <c r="T1093" s="14">
        <f t="shared" ca="1" si="249"/>
        <v>-8.3366810312819561E-2</v>
      </c>
      <c r="U1093" s="12">
        <f t="shared" ca="1" si="259"/>
        <v>7900</v>
      </c>
      <c r="V1093" s="14">
        <f t="shared" ca="1" si="260"/>
        <v>-4221.5189873417721</v>
      </c>
      <c r="W1093" s="12">
        <f t="shared" ca="1" si="250"/>
        <v>-3407.5949367088606</v>
      </c>
      <c r="X1093" s="7">
        <f ca="1">AVERAGE(E1093:OFFSET(F1093,-$X$5+1,0))</f>
        <v>11064.7</v>
      </c>
      <c r="Y1093" s="7">
        <f ca="1">AVERAGE(E1093:OFFSET(F1093,-$Y$5+1,0))</f>
        <v>11086.45</v>
      </c>
      <c r="Z1093" s="7">
        <f t="shared" ca="1" si="252"/>
        <v>-1</v>
      </c>
    </row>
    <row r="1094" spans="1:26">
      <c r="A1094" s="3" t="s">
        <v>76</v>
      </c>
      <c r="B1094" s="4">
        <v>43270</v>
      </c>
      <c r="C1094" s="3">
        <v>10943</v>
      </c>
      <c r="D1094" s="3">
        <v>10958</v>
      </c>
      <c r="E1094" s="3">
        <v>10871</v>
      </c>
      <c r="F1094" s="3">
        <v>10874</v>
      </c>
      <c r="G1094" s="3">
        <v>170249</v>
      </c>
      <c r="H1094" s="3">
        <v>1.0449999999999999</v>
      </c>
      <c r="I1094" s="2">
        <f t="shared" si="261"/>
        <v>0</v>
      </c>
      <c r="J1094" s="10">
        <f t="shared" si="263"/>
        <v>-112</v>
      </c>
      <c r="K1094" s="10">
        <f t="shared" si="262"/>
        <v>-69</v>
      </c>
      <c r="L1094" s="10">
        <f t="shared" ca="1" si="251"/>
        <v>0</v>
      </c>
      <c r="M1094" s="10">
        <f t="shared" ca="1" si="253"/>
        <v>-1</v>
      </c>
      <c r="N1094" s="30">
        <f t="shared" ca="1" si="254"/>
        <v>0</v>
      </c>
      <c r="O1094" s="10">
        <f t="shared" ca="1" si="255"/>
        <v>2188600</v>
      </c>
      <c r="P1094" s="29">
        <f t="shared" ca="1" si="256"/>
        <v>13300</v>
      </c>
      <c r="Q1094" s="12">
        <f t="shared" ca="1" si="257"/>
        <v>-312300</v>
      </c>
      <c r="R1094" s="10">
        <f t="shared" ca="1" si="258"/>
        <v>0.60769441652197753</v>
      </c>
      <c r="S1094" s="10">
        <f t="shared" ca="1" si="248"/>
        <v>0.57184278350515461</v>
      </c>
      <c r="T1094" s="14">
        <f t="shared" ca="1" si="249"/>
        <v>-5.5741383618303823E-2</v>
      </c>
      <c r="U1094" s="12">
        <f t="shared" ca="1" si="259"/>
        <v>7900</v>
      </c>
      <c r="V1094" s="14">
        <f t="shared" ca="1" si="260"/>
        <v>-4053.1645569620255</v>
      </c>
      <c r="W1094" s="12">
        <f t="shared" ca="1" si="250"/>
        <v>-3407.5949367088606</v>
      </c>
      <c r="X1094" s="7">
        <f ca="1">AVERAGE(E1094:OFFSET(F1094,-$X$5+1,0))</f>
        <v>11016.6</v>
      </c>
      <c r="Y1094" s="7">
        <f ca="1">AVERAGE(E1094:OFFSET(F1094,-$Y$5+1,0))</f>
        <v>11070.65</v>
      </c>
      <c r="Z1094" s="7">
        <f t="shared" ca="1" si="252"/>
        <v>0</v>
      </c>
    </row>
    <row r="1095" spans="1:26">
      <c r="A1095" s="3" t="s">
        <v>76</v>
      </c>
      <c r="B1095" s="4">
        <v>43271</v>
      </c>
      <c r="C1095" s="3">
        <v>10904</v>
      </c>
      <c r="D1095" s="3">
        <v>10951</v>
      </c>
      <c r="E1095" s="3">
        <v>10850</v>
      </c>
      <c r="F1095" s="3">
        <v>10936</v>
      </c>
      <c r="G1095" s="3">
        <v>109099</v>
      </c>
      <c r="H1095" s="3">
        <v>1.0449999999999999</v>
      </c>
      <c r="I1095" s="2">
        <f t="shared" si="261"/>
        <v>1</v>
      </c>
      <c r="J1095" s="10">
        <f t="shared" si="263"/>
        <v>30</v>
      </c>
      <c r="K1095" s="10">
        <f t="shared" si="262"/>
        <v>32</v>
      </c>
      <c r="L1095" s="10">
        <f t="shared" ca="1" si="251"/>
        <v>0</v>
      </c>
      <c r="M1095" s="10">
        <f t="shared" si="253"/>
        <v>0</v>
      </c>
      <c r="N1095" s="30">
        <f t="shared" si="254"/>
        <v>0</v>
      </c>
      <c r="O1095" s="10">
        <f t="shared" si="255"/>
        <v>0</v>
      </c>
      <c r="P1095" s="29">
        <f t="shared" ca="1" si="256"/>
        <v>-6500</v>
      </c>
      <c r="Q1095" s="12">
        <f t="shared" ca="1" si="257"/>
        <v>-318800</v>
      </c>
      <c r="R1095" s="10">
        <f t="shared" ca="1" si="258"/>
        <v>-0.29699351183404915</v>
      </c>
      <c r="S1095" s="10">
        <f t="shared" ca="1" si="248"/>
        <v>0.47989153780068727</v>
      </c>
      <c r="T1095" s="14">
        <f t="shared" ca="1" si="249"/>
        <v>-6.6579778030796871E-2</v>
      </c>
      <c r="U1095" s="12">
        <f t="shared" ca="1" si="259"/>
        <v>7900</v>
      </c>
      <c r="V1095" s="14">
        <f t="shared" ca="1" si="260"/>
        <v>-4135.4430379746836</v>
      </c>
      <c r="W1095" s="12">
        <f t="shared" ca="1" si="250"/>
        <v>-3407.5949367088606</v>
      </c>
      <c r="X1095" s="7">
        <f ca="1">AVERAGE(E1095:OFFSET(F1095,-$X$5+1,0))</f>
        <v>10975.7</v>
      </c>
      <c r="Y1095" s="7">
        <f ca="1">AVERAGE(E1095:OFFSET(F1095,-$Y$5+1,0))</f>
        <v>11054.75</v>
      </c>
      <c r="Z1095" s="7">
        <f t="shared" ca="1" si="252"/>
        <v>0</v>
      </c>
    </row>
    <row r="1096" spans="1:26">
      <c r="A1096" s="3" t="s">
        <v>77</v>
      </c>
      <c r="B1096" s="4">
        <v>43272</v>
      </c>
      <c r="C1096" s="3">
        <v>10725</v>
      </c>
      <c r="D1096" s="3">
        <v>10745</v>
      </c>
      <c r="E1096" s="3">
        <v>10688</v>
      </c>
      <c r="F1096" s="3">
        <v>10706</v>
      </c>
      <c r="G1096" s="3">
        <v>130352</v>
      </c>
      <c r="H1096" s="3">
        <v>1.0449999999999999</v>
      </c>
      <c r="I1096" s="2">
        <f t="shared" si="261"/>
        <v>0</v>
      </c>
      <c r="J1096" s="10">
        <f t="shared" si="263"/>
        <v>-211</v>
      </c>
      <c r="K1096" s="10">
        <f t="shared" si="262"/>
        <v>-19</v>
      </c>
      <c r="L1096" s="10">
        <f t="shared" ca="1" si="251"/>
        <v>0</v>
      </c>
      <c r="M1096" s="10">
        <f t="shared" ca="1" si="253"/>
        <v>0</v>
      </c>
      <c r="N1096" s="30">
        <f t="shared" ca="1" si="254"/>
        <v>0</v>
      </c>
      <c r="O1096" s="10">
        <f t="shared" ca="1" si="255"/>
        <v>0</v>
      </c>
      <c r="P1096" s="29">
        <f t="shared" ca="1" si="256"/>
        <v>0</v>
      </c>
      <c r="Q1096" s="12">
        <f t="shared" ca="1" si="257"/>
        <v>-318800</v>
      </c>
      <c r="R1096" s="10">
        <f t="shared" ca="1" si="258"/>
        <v>0</v>
      </c>
      <c r="S1096" s="10">
        <f t="shared" ca="1" si="248"/>
        <v>0.54029746563573888</v>
      </c>
      <c r="T1096" s="14">
        <f t="shared" ca="1" si="249"/>
        <v>-5.94628906790311E-2</v>
      </c>
      <c r="U1096" s="12">
        <f t="shared" ca="1" si="259"/>
        <v>7900</v>
      </c>
      <c r="V1096" s="14">
        <f t="shared" ca="1" si="260"/>
        <v>-4135.4430379746836</v>
      </c>
      <c r="W1096" s="12">
        <f t="shared" ca="1" si="250"/>
        <v>-3407.5949367088606</v>
      </c>
      <c r="X1096" s="7">
        <f ca="1">AVERAGE(E1096:OFFSET(F1096,-$X$5+1,0))</f>
        <v>10891</v>
      </c>
      <c r="Y1096" s="7">
        <f ca="1">AVERAGE(E1096:OFFSET(F1096,-$Y$5+1,0))</f>
        <v>11010.05</v>
      </c>
      <c r="Z1096" s="7">
        <f t="shared" ca="1" si="252"/>
        <v>0</v>
      </c>
    </row>
    <row r="1097" spans="1:26">
      <c r="A1097" s="3" t="s">
        <v>77</v>
      </c>
      <c r="B1097" s="4">
        <v>43273</v>
      </c>
      <c r="C1097" s="3">
        <v>10630</v>
      </c>
      <c r="D1097" s="3">
        <v>10685</v>
      </c>
      <c r="E1097" s="3">
        <v>10581</v>
      </c>
      <c r="F1097" s="3">
        <v>10655</v>
      </c>
      <c r="G1097" s="3">
        <v>141860</v>
      </c>
      <c r="H1097" s="3">
        <v>1.0449999999999999</v>
      </c>
      <c r="I1097" s="2">
        <f t="shared" si="261"/>
        <v>0</v>
      </c>
      <c r="J1097" s="10">
        <f t="shared" si="263"/>
        <v>-76</v>
      </c>
      <c r="K1097" s="10">
        <f t="shared" si="262"/>
        <v>25</v>
      </c>
      <c r="L1097" s="10">
        <f t="shared" ca="1" si="251"/>
        <v>0</v>
      </c>
      <c r="M1097" s="10">
        <f t="shared" ca="1" si="253"/>
        <v>0</v>
      </c>
      <c r="N1097" s="30">
        <f t="shared" ca="1" si="254"/>
        <v>0</v>
      </c>
      <c r="O1097" s="10">
        <f t="shared" ca="1" si="255"/>
        <v>0</v>
      </c>
      <c r="P1097" s="29">
        <f t="shared" ca="1" si="256"/>
        <v>0</v>
      </c>
      <c r="Q1097" s="12">
        <f t="shared" ca="1" si="257"/>
        <v>-318800</v>
      </c>
      <c r="R1097" s="10">
        <f t="shared" ca="1" si="258"/>
        <v>0</v>
      </c>
      <c r="S1097" s="10">
        <f t="shared" ca="1" si="248"/>
        <v>0.49063036941580757</v>
      </c>
      <c r="T1097" s="14">
        <f t="shared" ca="1" si="249"/>
        <v>-6.5314553612705176E-2</v>
      </c>
      <c r="U1097" s="12">
        <f t="shared" ca="1" si="259"/>
        <v>7900</v>
      </c>
      <c r="V1097" s="14">
        <f t="shared" ca="1" si="260"/>
        <v>-4135.4430379746836</v>
      </c>
      <c r="W1097" s="12">
        <f t="shared" ca="1" si="250"/>
        <v>-3407.5949367088606</v>
      </c>
      <c r="X1097" s="7">
        <f ca="1">AVERAGE(E1097:OFFSET(F1097,-$X$5+1,0))</f>
        <v>10817.7</v>
      </c>
      <c r="Y1097" s="7">
        <f ca="1">AVERAGE(E1097:OFFSET(F1097,-$Y$5+1,0))</f>
        <v>10951.8</v>
      </c>
      <c r="Z1097" s="7">
        <f t="shared" ca="1" si="252"/>
        <v>0</v>
      </c>
    </row>
    <row r="1098" spans="1:26">
      <c r="A1098" s="3" t="s">
        <v>77</v>
      </c>
      <c r="B1098" s="4">
        <v>43276</v>
      </c>
      <c r="C1098" s="3">
        <v>10624</v>
      </c>
      <c r="D1098" s="3">
        <v>10660</v>
      </c>
      <c r="E1098" s="3">
        <v>10583</v>
      </c>
      <c r="F1098" s="3">
        <v>10584</v>
      </c>
      <c r="G1098" s="3">
        <v>122274</v>
      </c>
      <c r="H1098" s="3">
        <v>1.0449999999999999</v>
      </c>
      <c r="I1098" s="2">
        <f t="shared" si="261"/>
        <v>0</v>
      </c>
      <c r="J1098" s="10">
        <f t="shared" si="263"/>
        <v>-31</v>
      </c>
      <c r="K1098" s="10">
        <f t="shared" si="262"/>
        <v>-40</v>
      </c>
      <c r="L1098" s="10">
        <f t="shared" ca="1" si="251"/>
        <v>0</v>
      </c>
      <c r="M1098" s="10">
        <f t="shared" ca="1" si="253"/>
        <v>0</v>
      </c>
      <c r="N1098" s="30">
        <f t="shared" ca="1" si="254"/>
        <v>0</v>
      </c>
      <c r="O1098" s="10">
        <f t="shared" ca="1" si="255"/>
        <v>0</v>
      </c>
      <c r="P1098" s="29">
        <f t="shared" ca="1" si="256"/>
        <v>0</v>
      </c>
      <c r="Q1098" s="12">
        <f t="shared" ca="1" si="257"/>
        <v>-318800</v>
      </c>
      <c r="R1098" s="10">
        <f t="shared" ca="1" si="258"/>
        <v>0</v>
      </c>
      <c r="S1098" s="10">
        <f t="shared" ca="1" si="248"/>
        <v>0.58727985395189009</v>
      </c>
      <c r="T1098" s="14">
        <f t="shared" ca="1" si="249"/>
        <v>-5.3927533849879951E-2</v>
      </c>
      <c r="U1098" s="12">
        <f t="shared" ca="1" si="259"/>
        <v>7900</v>
      </c>
      <c r="V1098" s="14">
        <f t="shared" ca="1" si="260"/>
        <v>-4135.4430379746836</v>
      </c>
      <c r="W1098" s="12">
        <f t="shared" ca="1" si="250"/>
        <v>-3407.5949367088606</v>
      </c>
      <c r="X1098" s="7">
        <f ca="1">AVERAGE(E1098:OFFSET(F1098,-$X$5+1,0))</f>
        <v>10732.8</v>
      </c>
      <c r="Y1098" s="7">
        <f ca="1">AVERAGE(E1098:OFFSET(F1098,-$Y$5+1,0))</f>
        <v>10898.75</v>
      </c>
      <c r="Z1098" s="7">
        <f t="shared" ca="1" si="252"/>
        <v>0</v>
      </c>
    </row>
    <row r="1099" spans="1:26">
      <c r="A1099" s="3" t="s">
        <v>77</v>
      </c>
      <c r="B1099" s="4">
        <v>43277</v>
      </c>
      <c r="C1099" s="3">
        <v>10550</v>
      </c>
      <c r="D1099" s="3">
        <v>10596</v>
      </c>
      <c r="E1099" s="3">
        <v>10484</v>
      </c>
      <c r="F1099" s="3">
        <v>10592</v>
      </c>
      <c r="G1099" s="3">
        <v>167431</v>
      </c>
      <c r="H1099" s="3">
        <v>1.0449999999999999</v>
      </c>
      <c r="I1099" s="2">
        <f t="shared" si="261"/>
        <v>0</v>
      </c>
      <c r="J1099" s="10">
        <f t="shared" si="263"/>
        <v>-34</v>
      </c>
      <c r="K1099" s="10">
        <f t="shared" si="262"/>
        <v>42</v>
      </c>
      <c r="L1099" s="10">
        <f t="shared" ca="1" si="251"/>
        <v>0</v>
      </c>
      <c r="M1099" s="10">
        <f t="shared" ca="1" si="253"/>
        <v>0</v>
      </c>
      <c r="N1099" s="30">
        <f t="shared" ca="1" si="254"/>
        <v>0</v>
      </c>
      <c r="O1099" s="10">
        <f t="shared" ca="1" si="255"/>
        <v>0</v>
      </c>
      <c r="P1099" s="29">
        <f t="shared" ca="1" si="256"/>
        <v>0</v>
      </c>
      <c r="Q1099" s="12">
        <f t="shared" ca="1" si="257"/>
        <v>-318800</v>
      </c>
      <c r="R1099" s="10">
        <f t="shared" ca="1" si="258"/>
        <v>0</v>
      </c>
      <c r="S1099" s="10">
        <f t="shared" ca="1" si="248"/>
        <v>0.59332044673539519</v>
      </c>
      <c r="T1099" s="14">
        <f t="shared" ca="1" si="249"/>
        <v>-5.3215845114703376E-2</v>
      </c>
      <c r="U1099" s="12">
        <f t="shared" ca="1" si="259"/>
        <v>7900</v>
      </c>
      <c r="V1099" s="14">
        <f t="shared" ca="1" si="260"/>
        <v>-4135.4430379746836</v>
      </c>
      <c r="W1099" s="12">
        <f t="shared" ca="1" si="250"/>
        <v>-3407.5949367088606</v>
      </c>
      <c r="X1099" s="7">
        <f ca="1">AVERAGE(E1099:OFFSET(F1099,-$X$5+1,0))</f>
        <v>10665.9</v>
      </c>
      <c r="Y1099" s="7">
        <f ca="1">AVERAGE(E1099:OFFSET(F1099,-$Y$5+1,0))</f>
        <v>10841.25</v>
      </c>
      <c r="Z1099" s="7">
        <f t="shared" ca="1" si="252"/>
        <v>0</v>
      </c>
    </row>
    <row r="1100" spans="1:26">
      <c r="A1100" s="3" t="s">
        <v>77</v>
      </c>
      <c r="B1100" s="4">
        <v>43278</v>
      </c>
      <c r="C1100" s="3">
        <v>10585</v>
      </c>
      <c r="D1100" s="3">
        <v>10625</v>
      </c>
      <c r="E1100" s="3">
        <v>10538</v>
      </c>
      <c r="F1100" s="3">
        <v>10554</v>
      </c>
      <c r="G1100" s="3">
        <v>134481</v>
      </c>
      <c r="H1100" s="3">
        <v>1.0449999999999999</v>
      </c>
      <c r="I1100" s="2">
        <f t="shared" si="261"/>
        <v>0</v>
      </c>
      <c r="J1100" s="10">
        <f t="shared" si="263"/>
        <v>-7</v>
      </c>
      <c r="K1100" s="10">
        <f t="shared" si="262"/>
        <v>-31</v>
      </c>
      <c r="L1100" s="10">
        <f t="shared" ca="1" si="251"/>
        <v>0</v>
      </c>
      <c r="M1100" s="10">
        <f t="shared" ca="1" si="253"/>
        <v>0</v>
      </c>
      <c r="N1100" s="30">
        <f t="shared" ca="1" si="254"/>
        <v>0</v>
      </c>
      <c r="O1100" s="10">
        <f t="shared" ca="1" si="255"/>
        <v>0</v>
      </c>
      <c r="P1100" s="29">
        <f t="shared" ca="1" si="256"/>
        <v>0</v>
      </c>
      <c r="Q1100" s="12">
        <f t="shared" ca="1" si="257"/>
        <v>-318800</v>
      </c>
      <c r="R1100" s="10">
        <f t="shared" ca="1" si="258"/>
        <v>0</v>
      </c>
      <c r="S1100" s="10">
        <f t="shared" ca="1" si="248"/>
        <v>0.59332044673539519</v>
      </c>
      <c r="T1100" s="14">
        <f t="shared" ca="1" si="249"/>
        <v>-5.3224007882195619E-2</v>
      </c>
      <c r="U1100" s="12">
        <f t="shared" ca="1" si="259"/>
        <v>7900</v>
      </c>
      <c r="V1100" s="14">
        <f t="shared" ca="1" si="260"/>
        <v>-4135.4430379746836</v>
      </c>
      <c r="W1100" s="12">
        <f t="shared" ca="1" si="250"/>
        <v>-3407.5949367088606</v>
      </c>
      <c r="X1100" s="7">
        <f ca="1">AVERAGE(E1100:OFFSET(F1100,-$X$5+1,0))</f>
        <v>10596.5</v>
      </c>
      <c r="Y1100" s="7">
        <f ca="1">AVERAGE(E1100:OFFSET(F1100,-$Y$5+1,0))</f>
        <v>10786.1</v>
      </c>
      <c r="Z1100" s="7">
        <f t="shared" ca="1" si="252"/>
        <v>0</v>
      </c>
    </row>
    <row r="1101" spans="1:26">
      <c r="A1101" s="3" t="s">
        <v>77</v>
      </c>
      <c r="B1101" s="4">
        <v>43279</v>
      </c>
      <c r="C1101" s="3">
        <v>10513</v>
      </c>
      <c r="D1101" s="3">
        <v>10578</v>
      </c>
      <c r="E1101" s="3">
        <v>10484</v>
      </c>
      <c r="F1101" s="3">
        <v>10523</v>
      </c>
      <c r="G1101" s="3">
        <v>150442</v>
      </c>
      <c r="H1101" s="3">
        <v>1.0449999999999999</v>
      </c>
      <c r="I1101" s="2">
        <f t="shared" si="261"/>
        <v>0</v>
      </c>
      <c r="J1101" s="10">
        <f t="shared" si="263"/>
        <v>-41</v>
      </c>
      <c r="K1101" s="10">
        <f t="shared" si="262"/>
        <v>10</v>
      </c>
      <c r="L1101" s="10">
        <f t="shared" ca="1" si="251"/>
        <v>0</v>
      </c>
      <c r="M1101" s="10">
        <f t="shared" ca="1" si="253"/>
        <v>0</v>
      </c>
      <c r="N1101" s="30">
        <f t="shared" ca="1" si="254"/>
        <v>0</v>
      </c>
      <c r="O1101" s="10">
        <f t="shared" ca="1" si="255"/>
        <v>0</v>
      </c>
      <c r="P1101" s="29">
        <f t="shared" ca="1" si="256"/>
        <v>0</v>
      </c>
      <c r="Q1101" s="12">
        <f t="shared" ca="1" si="257"/>
        <v>-318800</v>
      </c>
      <c r="R1101" s="10">
        <f t="shared" ca="1" si="258"/>
        <v>0</v>
      </c>
      <c r="S1101" s="10">
        <f t="shared" ca="1" si="248"/>
        <v>0.59332044673539519</v>
      </c>
      <c r="T1101" s="14">
        <f t="shared" ca="1" si="249"/>
        <v>-5.3477512095991712E-2</v>
      </c>
      <c r="U1101" s="12">
        <f t="shared" ca="1" si="259"/>
        <v>7900</v>
      </c>
      <c r="V1101" s="14">
        <f t="shared" ca="1" si="260"/>
        <v>-4135.4430379746836</v>
      </c>
      <c r="W1101" s="12">
        <f t="shared" ca="1" si="250"/>
        <v>-3407.5949367088606</v>
      </c>
      <c r="X1101" s="7">
        <f ca="1">AVERAGE(E1101:OFFSET(F1101,-$X$5+1,0))</f>
        <v>10557.8</v>
      </c>
      <c r="Y1101" s="7">
        <f ca="1">AVERAGE(E1101:OFFSET(F1101,-$Y$5+1,0))</f>
        <v>10724.4</v>
      </c>
      <c r="Z1101" s="7">
        <f t="shared" ca="1" si="252"/>
        <v>0</v>
      </c>
    </row>
    <row r="1102" spans="1:26">
      <c r="A1102" s="3" t="s">
        <v>77</v>
      </c>
      <c r="B1102" s="4">
        <v>43280</v>
      </c>
      <c r="C1102" s="3">
        <v>10541</v>
      </c>
      <c r="D1102" s="3">
        <v>10692</v>
      </c>
      <c r="E1102" s="3">
        <v>10526</v>
      </c>
      <c r="F1102" s="3">
        <v>10677</v>
      </c>
      <c r="G1102" s="3">
        <v>155640</v>
      </c>
      <c r="H1102" s="3">
        <v>1.0449999999999999</v>
      </c>
      <c r="I1102" s="2">
        <f t="shared" si="261"/>
        <v>0</v>
      </c>
      <c r="J1102" s="10">
        <f t="shared" si="263"/>
        <v>18</v>
      </c>
      <c r="K1102" s="10">
        <f t="shared" si="262"/>
        <v>136</v>
      </c>
      <c r="L1102" s="10">
        <f t="shared" ca="1" si="251"/>
        <v>0</v>
      </c>
      <c r="M1102" s="10">
        <f t="shared" ca="1" si="253"/>
        <v>0</v>
      </c>
      <c r="N1102" s="30">
        <f t="shared" ca="1" si="254"/>
        <v>0</v>
      </c>
      <c r="O1102" s="10">
        <f t="shared" ca="1" si="255"/>
        <v>0</v>
      </c>
      <c r="P1102" s="29">
        <f t="shared" ca="1" si="256"/>
        <v>0</v>
      </c>
      <c r="Q1102" s="12">
        <f t="shared" ca="1" si="257"/>
        <v>-318800</v>
      </c>
      <c r="R1102" s="10">
        <f t="shared" ca="1" si="258"/>
        <v>0</v>
      </c>
      <c r="S1102" s="10">
        <f t="shared" ca="1" si="248"/>
        <v>0.59332044673539519</v>
      </c>
      <c r="T1102" s="14">
        <f t="shared" ca="1" si="249"/>
        <v>-5.350034538585087E-2</v>
      </c>
      <c r="U1102" s="12">
        <f t="shared" ca="1" si="259"/>
        <v>7900</v>
      </c>
      <c r="V1102" s="14">
        <f t="shared" ca="1" si="260"/>
        <v>-4135.4430379746836</v>
      </c>
      <c r="W1102" s="12">
        <f t="shared" ca="1" si="250"/>
        <v>-3407.5949367088606</v>
      </c>
      <c r="X1102" s="7">
        <f ca="1">AVERAGE(E1102:OFFSET(F1102,-$X$5+1,0))</f>
        <v>10554.5</v>
      </c>
      <c r="Y1102" s="7">
        <f ca="1">AVERAGE(E1102:OFFSET(F1102,-$Y$5+1,0))</f>
        <v>10686.1</v>
      </c>
      <c r="Z1102" s="7">
        <f t="shared" ca="1" si="252"/>
        <v>0</v>
      </c>
    </row>
    <row r="1103" spans="1:26">
      <c r="A1103" s="3" t="s">
        <v>77</v>
      </c>
      <c r="B1103" s="4">
        <v>43283</v>
      </c>
      <c r="C1103" s="3">
        <v>10680</v>
      </c>
      <c r="D1103" s="3">
        <v>10719</v>
      </c>
      <c r="E1103" s="3">
        <v>10609</v>
      </c>
      <c r="F1103" s="3">
        <v>10611</v>
      </c>
      <c r="G1103" s="3">
        <v>141723</v>
      </c>
      <c r="H1103" s="3">
        <v>1.0449999999999999</v>
      </c>
      <c r="I1103" s="2">
        <f t="shared" si="261"/>
        <v>0</v>
      </c>
      <c r="J1103" s="10">
        <f t="shared" si="263"/>
        <v>3</v>
      </c>
      <c r="K1103" s="10">
        <f t="shared" si="262"/>
        <v>-69</v>
      </c>
      <c r="L1103" s="10">
        <f t="shared" ca="1" si="251"/>
        <v>0</v>
      </c>
      <c r="M1103" s="10">
        <f t="shared" ca="1" si="253"/>
        <v>0</v>
      </c>
      <c r="N1103" s="30">
        <f t="shared" ca="1" si="254"/>
        <v>0</v>
      </c>
      <c r="O1103" s="10">
        <f t="shared" ca="1" si="255"/>
        <v>0</v>
      </c>
      <c r="P1103" s="29">
        <f t="shared" ca="1" si="256"/>
        <v>0</v>
      </c>
      <c r="Q1103" s="12">
        <f t="shared" ca="1" si="257"/>
        <v>-318800</v>
      </c>
      <c r="R1103" s="10">
        <f t="shared" ca="1" si="258"/>
        <v>0</v>
      </c>
      <c r="S1103" s="10">
        <f t="shared" ca="1" si="248"/>
        <v>0.59332044673539519</v>
      </c>
      <c r="T1103" s="14">
        <f t="shared" ca="1" si="249"/>
        <v>-5.350034538585087E-2</v>
      </c>
      <c r="U1103" s="12">
        <f t="shared" ca="1" si="259"/>
        <v>7900</v>
      </c>
      <c r="V1103" s="14">
        <f t="shared" ca="1" si="260"/>
        <v>-4135.4430379746836</v>
      </c>
      <c r="W1103" s="12">
        <f t="shared" ca="1" si="250"/>
        <v>-3407.5949367088606</v>
      </c>
      <c r="X1103" s="7">
        <f ca="1">AVERAGE(E1103:OFFSET(F1103,-$X$5+1,0))</f>
        <v>10559.8</v>
      </c>
      <c r="Y1103" s="7">
        <f ca="1">AVERAGE(E1103:OFFSET(F1103,-$Y$5+1,0))</f>
        <v>10646.3</v>
      </c>
      <c r="Z1103" s="7">
        <f t="shared" ca="1" si="252"/>
        <v>0</v>
      </c>
    </row>
    <row r="1104" spans="1:26">
      <c r="A1104" s="3" t="s">
        <v>77</v>
      </c>
      <c r="B1104" s="4">
        <v>43284</v>
      </c>
      <c r="C1104" s="3">
        <v>10651</v>
      </c>
      <c r="D1104" s="3">
        <v>10717</v>
      </c>
      <c r="E1104" s="3">
        <v>10544</v>
      </c>
      <c r="F1104" s="3">
        <v>10622</v>
      </c>
      <c r="G1104" s="3">
        <v>221125</v>
      </c>
      <c r="H1104" s="3">
        <v>1.0449999999999999</v>
      </c>
      <c r="I1104" s="2">
        <f t="shared" si="261"/>
        <v>0</v>
      </c>
      <c r="J1104" s="10">
        <f t="shared" si="263"/>
        <v>40</v>
      </c>
      <c r="K1104" s="10">
        <f t="shared" si="262"/>
        <v>-29</v>
      </c>
      <c r="L1104" s="10">
        <f t="shared" ca="1" si="251"/>
        <v>0</v>
      </c>
      <c r="M1104" s="10">
        <f t="shared" ca="1" si="253"/>
        <v>0</v>
      </c>
      <c r="N1104" s="30">
        <f t="shared" ca="1" si="254"/>
        <v>0</v>
      </c>
      <c r="O1104" s="10">
        <f t="shared" ca="1" si="255"/>
        <v>0</v>
      </c>
      <c r="P1104" s="29">
        <f t="shared" ca="1" si="256"/>
        <v>0</v>
      </c>
      <c r="Q1104" s="12">
        <f t="shared" ca="1" si="257"/>
        <v>-318800</v>
      </c>
      <c r="R1104" s="10">
        <f t="shared" ca="1" si="258"/>
        <v>0</v>
      </c>
      <c r="S1104" s="10">
        <f t="shared" ca="1" si="248"/>
        <v>0.59332044673539519</v>
      </c>
      <c r="T1104" s="14">
        <f t="shared" ca="1" si="249"/>
        <v>-5.350034538585087E-2</v>
      </c>
      <c r="U1104" s="12">
        <f t="shared" ca="1" si="259"/>
        <v>7900</v>
      </c>
      <c r="V1104" s="14">
        <f t="shared" ca="1" si="260"/>
        <v>-4135.4430379746836</v>
      </c>
      <c r="W1104" s="12">
        <f t="shared" ca="1" si="250"/>
        <v>-3407.5949367088606</v>
      </c>
      <c r="X1104" s="7">
        <f ca="1">AVERAGE(E1104:OFFSET(F1104,-$X$5+1,0))</f>
        <v>10568.8</v>
      </c>
      <c r="Y1104" s="7">
        <f ca="1">AVERAGE(E1104:OFFSET(F1104,-$Y$5+1,0))</f>
        <v>10617.35</v>
      </c>
      <c r="Z1104" s="7">
        <f t="shared" ca="1" si="252"/>
        <v>0</v>
      </c>
    </row>
    <row r="1105" spans="1:26">
      <c r="A1105" s="3" t="s">
        <v>77</v>
      </c>
      <c r="B1105" s="4">
        <v>43285</v>
      </c>
      <c r="C1105" s="3">
        <v>10598</v>
      </c>
      <c r="D1105" s="3">
        <v>10639</v>
      </c>
      <c r="E1105" s="3">
        <v>10584</v>
      </c>
      <c r="F1105" s="3">
        <v>10618</v>
      </c>
      <c r="G1105" s="3">
        <v>130994</v>
      </c>
      <c r="H1105" s="3">
        <v>1.0449999999999999</v>
      </c>
      <c r="I1105" s="2">
        <f t="shared" si="261"/>
        <v>0</v>
      </c>
      <c r="J1105" s="10">
        <f t="shared" si="263"/>
        <v>-24</v>
      </c>
      <c r="K1105" s="10">
        <f t="shared" si="262"/>
        <v>20</v>
      </c>
      <c r="L1105" s="10">
        <f t="shared" ca="1" si="251"/>
        <v>0</v>
      </c>
      <c r="M1105" s="10">
        <f t="shared" ca="1" si="253"/>
        <v>0</v>
      </c>
      <c r="N1105" s="30">
        <f t="shared" ca="1" si="254"/>
        <v>0</v>
      </c>
      <c r="O1105" s="10">
        <f t="shared" ca="1" si="255"/>
        <v>0</v>
      </c>
      <c r="P1105" s="29">
        <f t="shared" ca="1" si="256"/>
        <v>0</v>
      </c>
      <c r="Q1105" s="12">
        <f t="shared" ca="1" si="257"/>
        <v>-318800</v>
      </c>
      <c r="R1105" s="10">
        <f t="shared" ca="1" si="258"/>
        <v>0</v>
      </c>
      <c r="S1105" s="10">
        <f t="shared" ca="1" si="248"/>
        <v>0.65129557119011594</v>
      </c>
      <c r="T1105" s="14">
        <f t="shared" ca="1" si="249"/>
        <v>-4.6633332788762534E-2</v>
      </c>
      <c r="U1105" s="12">
        <f t="shared" ca="1" si="259"/>
        <v>7900</v>
      </c>
      <c r="V1105" s="14">
        <f t="shared" ca="1" si="260"/>
        <v>-4135.4430379746836</v>
      </c>
      <c r="W1105" s="12">
        <f t="shared" ca="1" si="250"/>
        <v>-3407.5949367088606</v>
      </c>
      <c r="X1105" s="7">
        <f ca="1">AVERAGE(E1105:OFFSET(F1105,-$X$5+1,0))</f>
        <v>10579.8</v>
      </c>
      <c r="Y1105" s="7">
        <f ca="1">AVERAGE(E1105:OFFSET(F1105,-$Y$5+1,0))</f>
        <v>10588.15</v>
      </c>
      <c r="Z1105" s="7">
        <f t="shared" ca="1" si="252"/>
        <v>0</v>
      </c>
    </row>
    <row r="1106" spans="1:26">
      <c r="A1106" s="3" t="s">
        <v>77</v>
      </c>
      <c r="B1106" s="4">
        <v>43286</v>
      </c>
      <c r="C1106" s="3">
        <v>10625</v>
      </c>
      <c r="D1106" s="3">
        <v>10633</v>
      </c>
      <c r="E1106" s="3">
        <v>10488</v>
      </c>
      <c r="F1106" s="3">
        <v>10500</v>
      </c>
      <c r="G1106" s="3">
        <v>191745</v>
      </c>
      <c r="H1106" s="3">
        <v>1.0449999999999999</v>
      </c>
      <c r="I1106" s="2">
        <f t="shared" si="261"/>
        <v>0</v>
      </c>
      <c r="J1106" s="10">
        <f t="shared" si="263"/>
        <v>7</v>
      </c>
      <c r="K1106" s="10">
        <f t="shared" si="262"/>
        <v>-125</v>
      </c>
      <c r="L1106" s="10">
        <f t="shared" ca="1" si="251"/>
        <v>1</v>
      </c>
      <c r="M1106" s="10">
        <f t="shared" ca="1" si="253"/>
        <v>0</v>
      </c>
      <c r="N1106" s="30">
        <f t="shared" ca="1" si="254"/>
        <v>0</v>
      </c>
      <c r="O1106" s="10">
        <f t="shared" ca="1" si="255"/>
        <v>0</v>
      </c>
      <c r="P1106" s="29">
        <f t="shared" ca="1" si="256"/>
        <v>0</v>
      </c>
      <c r="Q1106" s="12">
        <f t="shared" ca="1" si="257"/>
        <v>-318800</v>
      </c>
      <c r="R1106" s="10">
        <f t="shared" ca="1" si="258"/>
        <v>0</v>
      </c>
      <c r="S1106" s="10">
        <f t="shared" ca="1" si="248"/>
        <v>0.67781539085534215</v>
      </c>
      <c r="T1106" s="14">
        <f t="shared" ca="1" si="249"/>
        <v>-4.3492124599449358E-2</v>
      </c>
      <c r="U1106" s="12">
        <f t="shared" ca="1" si="259"/>
        <v>7900</v>
      </c>
      <c r="V1106" s="14">
        <f t="shared" ca="1" si="260"/>
        <v>-4135.4430379746836</v>
      </c>
      <c r="W1106" s="12">
        <f t="shared" ca="1" si="250"/>
        <v>-3407.5949367088606</v>
      </c>
      <c r="X1106" s="7">
        <f ca="1">AVERAGE(E1106:OFFSET(F1106,-$X$5+1,0))</f>
        <v>10577.9</v>
      </c>
      <c r="Y1106" s="7">
        <f ca="1">AVERAGE(E1106:OFFSET(F1106,-$Y$5+1,0))</f>
        <v>10567.85</v>
      </c>
      <c r="Z1106" s="7">
        <f t="shared" ca="1" si="252"/>
        <v>1</v>
      </c>
    </row>
    <row r="1107" spans="1:26">
      <c r="A1107" s="3" t="s">
        <v>77</v>
      </c>
      <c r="B1107" s="4">
        <v>43287</v>
      </c>
      <c r="C1107" s="3">
        <v>10535</v>
      </c>
      <c r="D1107" s="3">
        <v>10556</v>
      </c>
      <c r="E1107" s="3">
        <v>10414</v>
      </c>
      <c r="F1107" s="3">
        <v>10539</v>
      </c>
      <c r="G1107" s="3">
        <v>218771</v>
      </c>
      <c r="H1107" s="3">
        <v>1.0449999999999999</v>
      </c>
      <c r="I1107" s="2">
        <f t="shared" si="261"/>
        <v>0</v>
      </c>
      <c r="J1107" s="10">
        <f t="shared" si="263"/>
        <v>35</v>
      </c>
      <c r="K1107" s="10">
        <f t="shared" si="262"/>
        <v>4</v>
      </c>
      <c r="L1107" s="10">
        <f t="shared" ca="1" si="251"/>
        <v>-1</v>
      </c>
      <c r="M1107" s="10">
        <f t="shared" ca="1" si="253"/>
        <v>1</v>
      </c>
      <c r="N1107" s="30">
        <f t="shared" ca="1" si="254"/>
        <v>2107000</v>
      </c>
      <c r="O1107" s="10">
        <f t="shared" ca="1" si="255"/>
        <v>2107000</v>
      </c>
      <c r="P1107" s="29">
        <f t="shared" ca="1" si="256"/>
        <v>300</v>
      </c>
      <c r="Q1107" s="12">
        <f t="shared" ca="1" si="257"/>
        <v>-318500</v>
      </c>
      <c r="R1107" s="10">
        <f t="shared" ca="1" si="258"/>
        <v>1.4238253440911248E-2</v>
      </c>
      <c r="S1107" s="10">
        <f t="shared" ca="1" si="248"/>
        <v>0.53993944103539748</v>
      </c>
      <c r="T1107" s="14">
        <f t="shared" ca="1" si="249"/>
        <v>-5.982319425204146E-2</v>
      </c>
      <c r="U1107" s="12">
        <f t="shared" ca="1" si="259"/>
        <v>7900</v>
      </c>
      <c r="V1107" s="14">
        <f t="shared" ca="1" si="260"/>
        <v>-4131.6455696202529</v>
      </c>
      <c r="W1107" s="12">
        <f t="shared" ca="1" si="250"/>
        <v>-3407.5949367088606</v>
      </c>
      <c r="X1107" s="7">
        <f ca="1">AVERAGE(E1107:OFFSET(F1107,-$X$5+1,0))</f>
        <v>10552.9</v>
      </c>
      <c r="Y1107" s="7">
        <f ca="1">AVERAGE(E1107:OFFSET(F1107,-$Y$5+1,0))</f>
        <v>10553.7</v>
      </c>
      <c r="Z1107" s="7">
        <f t="shared" ca="1" si="252"/>
        <v>-1</v>
      </c>
    </row>
    <row r="1108" spans="1:26">
      <c r="A1108" s="3" t="s">
        <v>77</v>
      </c>
      <c r="B1108" s="4">
        <v>43290</v>
      </c>
      <c r="C1108" s="3">
        <v>10583</v>
      </c>
      <c r="D1108" s="3">
        <v>10676</v>
      </c>
      <c r="E1108" s="3">
        <v>10582</v>
      </c>
      <c r="F1108" s="3">
        <v>10661</v>
      </c>
      <c r="G1108" s="3">
        <v>147171</v>
      </c>
      <c r="H1108" s="3">
        <v>1.0449999999999999</v>
      </c>
      <c r="I1108" s="2">
        <f t="shared" si="261"/>
        <v>0</v>
      </c>
      <c r="J1108" s="10">
        <f t="shared" si="263"/>
        <v>44</v>
      </c>
      <c r="K1108" s="10">
        <f t="shared" si="262"/>
        <v>78</v>
      </c>
      <c r="L1108" s="10">
        <f t="shared" ca="1" si="251"/>
        <v>0</v>
      </c>
      <c r="M1108" s="10">
        <f t="shared" ca="1" si="253"/>
        <v>0</v>
      </c>
      <c r="N1108" s="30">
        <f t="shared" ca="1" si="254"/>
        <v>0</v>
      </c>
      <c r="O1108" s="10">
        <f t="shared" ca="1" si="255"/>
        <v>0</v>
      </c>
      <c r="P1108" s="29">
        <f t="shared" ca="1" si="256"/>
        <v>8300</v>
      </c>
      <c r="Q1108" s="12">
        <f t="shared" ca="1" si="257"/>
        <v>-310200</v>
      </c>
      <c r="R1108" s="10">
        <f t="shared" ca="1" si="258"/>
        <v>0.39392501186521123</v>
      </c>
      <c r="S1108" s="10">
        <f t="shared" ca="1" si="248"/>
        <v>0.56070634261368202</v>
      </c>
      <c r="T1108" s="14">
        <f t="shared" ca="1" si="249"/>
        <v>-5.7309955676025287E-2</v>
      </c>
      <c r="U1108" s="12">
        <f t="shared" ca="1" si="259"/>
        <v>7900</v>
      </c>
      <c r="V1108" s="14">
        <f t="shared" ca="1" si="260"/>
        <v>-4026.5822784810125</v>
      </c>
      <c r="W1108" s="12">
        <f t="shared" ca="1" si="250"/>
        <v>-3407.5949367088606</v>
      </c>
      <c r="X1108" s="7">
        <f ca="1">AVERAGE(E1108:OFFSET(F1108,-$X$5+1,0))</f>
        <v>10555.2</v>
      </c>
      <c r="Y1108" s="7">
        <f ca="1">AVERAGE(E1108:OFFSET(F1108,-$Y$5+1,0))</f>
        <v>10557.5</v>
      </c>
      <c r="Z1108" s="7">
        <f t="shared" ca="1" si="252"/>
        <v>0</v>
      </c>
    </row>
    <row r="1109" spans="1:26">
      <c r="A1109" s="3" t="s">
        <v>77</v>
      </c>
      <c r="B1109" s="4">
        <v>43291</v>
      </c>
      <c r="C1109" s="3">
        <v>10733</v>
      </c>
      <c r="D1109" s="3">
        <v>10744</v>
      </c>
      <c r="E1109" s="3">
        <v>10680</v>
      </c>
      <c r="F1109" s="3">
        <v>10709</v>
      </c>
      <c r="G1109" s="3">
        <v>122142</v>
      </c>
      <c r="H1109" s="3">
        <v>1.0449999999999999</v>
      </c>
      <c r="I1109" s="2">
        <f t="shared" si="261"/>
        <v>0</v>
      </c>
      <c r="J1109" s="10">
        <f t="shared" si="263"/>
        <v>72</v>
      </c>
      <c r="K1109" s="10">
        <f t="shared" si="262"/>
        <v>-24</v>
      </c>
      <c r="L1109" s="10">
        <f t="shared" ca="1" si="251"/>
        <v>1</v>
      </c>
      <c r="M1109" s="10">
        <f t="shared" ca="1" si="253"/>
        <v>0</v>
      </c>
      <c r="N1109" s="30">
        <f t="shared" ca="1" si="254"/>
        <v>0</v>
      </c>
      <c r="O1109" s="10">
        <f t="shared" ca="1" si="255"/>
        <v>0</v>
      </c>
      <c r="P1109" s="29">
        <f t="shared" ca="1" si="256"/>
        <v>0</v>
      </c>
      <c r="Q1109" s="12">
        <f t="shared" ca="1" si="257"/>
        <v>-310200</v>
      </c>
      <c r="R1109" s="10">
        <f t="shared" ca="1" si="258"/>
        <v>0</v>
      </c>
      <c r="S1109" s="10">
        <f t="shared" ca="1" si="248"/>
        <v>0.54127924113722237</v>
      </c>
      <c r="T1109" s="14">
        <f t="shared" ca="1" si="249"/>
        <v>-5.9608904480224538E-2</v>
      </c>
      <c r="U1109" s="12">
        <f t="shared" ca="1" si="259"/>
        <v>7900</v>
      </c>
      <c r="V1109" s="14">
        <f t="shared" ca="1" si="260"/>
        <v>-4026.5822784810125</v>
      </c>
      <c r="W1109" s="12">
        <f t="shared" ca="1" si="250"/>
        <v>-3407.5949367088606</v>
      </c>
      <c r="X1109" s="7">
        <f ca="1">AVERAGE(E1109:OFFSET(F1109,-$X$5+1,0))</f>
        <v>10577.5</v>
      </c>
      <c r="Y1109" s="7">
        <f ca="1">AVERAGE(E1109:OFFSET(F1109,-$Y$5+1,0))</f>
        <v>10573.15</v>
      </c>
      <c r="Z1109" s="7">
        <f t="shared" ca="1" si="252"/>
        <v>1</v>
      </c>
    </row>
    <row r="1110" spans="1:26">
      <c r="A1110" s="3" t="s">
        <v>77</v>
      </c>
      <c r="B1110" s="4">
        <v>43292</v>
      </c>
      <c r="C1110" s="3">
        <v>10608</v>
      </c>
      <c r="D1110" s="3">
        <v>10656</v>
      </c>
      <c r="E1110" s="3">
        <v>10574</v>
      </c>
      <c r="F1110" s="3">
        <v>10617</v>
      </c>
      <c r="G1110" s="3">
        <v>177783</v>
      </c>
      <c r="H1110" s="3">
        <v>1.0449999999999999</v>
      </c>
      <c r="I1110" s="2">
        <f t="shared" si="261"/>
        <v>0</v>
      </c>
      <c r="J1110" s="10">
        <f t="shared" si="263"/>
        <v>-101</v>
      </c>
      <c r="K1110" s="10">
        <f t="shared" si="262"/>
        <v>9</v>
      </c>
      <c r="L1110" s="10">
        <f t="shared" ca="1" si="251"/>
        <v>-1</v>
      </c>
      <c r="M1110" s="10">
        <f t="shared" ca="1" si="253"/>
        <v>1</v>
      </c>
      <c r="N1110" s="30">
        <f t="shared" ca="1" si="254"/>
        <v>2121600</v>
      </c>
      <c r="O1110" s="10">
        <f t="shared" ca="1" si="255"/>
        <v>2121600</v>
      </c>
      <c r="P1110" s="29">
        <f t="shared" ca="1" si="256"/>
        <v>1300</v>
      </c>
      <c r="Q1110" s="12">
        <f t="shared" ca="1" si="257"/>
        <v>-308900</v>
      </c>
      <c r="R1110" s="10">
        <f t="shared" ca="1" si="258"/>
        <v>6.1274509803921566E-2</v>
      </c>
      <c r="S1110" s="10">
        <f t="shared" ca="1" si="248"/>
        <v>0.48154752129132161</v>
      </c>
      <c r="T1110" s="14">
        <f t="shared" ca="1" si="249"/>
        <v>-6.6676262811158696E-2</v>
      </c>
      <c r="U1110" s="12">
        <f t="shared" ca="1" si="259"/>
        <v>7900</v>
      </c>
      <c r="V1110" s="14">
        <f t="shared" ca="1" si="260"/>
        <v>-4010.1265822784812</v>
      </c>
      <c r="W1110" s="12">
        <f t="shared" ca="1" si="250"/>
        <v>-3407.5949367088606</v>
      </c>
      <c r="X1110" s="7">
        <f ca="1">AVERAGE(E1110:OFFSET(F1110,-$X$5+1,0))</f>
        <v>10576.4</v>
      </c>
      <c r="Y1110" s="7">
        <f ca="1">AVERAGE(E1110:OFFSET(F1110,-$Y$5+1,0))</f>
        <v>10578.1</v>
      </c>
      <c r="Z1110" s="7">
        <f t="shared" ca="1" si="252"/>
        <v>-1</v>
      </c>
    </row>
    <row r="1111" spans="1:26">
      <c r="A1111" s="3" t="s">
        <v>77</v>
      </c>
      <c r="B1111" s="4">
        <v>43293</v>
      </c>
      <c r="C1111" s="3">
        <v>10640</v>
      </c>
      <c r="D1111" s="3">
        <v>10750</v>
      </c>
      <c r="E1111" s="3">
        <v>10609</v>
      </c>
      <c r="F1111" s="3">
        <v>10740</v>
      </c>
      <c r="G1111" s="3">
        <v>147260</v>
      </c>
      <c r="H1111" s="3">
        <v>1.0449999999999999</v>
      </c>
      <c r="I1111" s="2">
        <f t="shared" si="261"/>
        <v>0</v>
      </c>
      <c r="J1111" s="10">
        <f t="shared" si="263"/>
        <v>23</v>
      </c>
      <c r="K1111" s="10">
        <f t="shared" si="262"/>
        <v>100</v>
      </c>
      <c r="L1111" s="10">
        <f t="shared" ca="1" si="251"/>
        <v>1</v>
      </c>
      <c r="M1111" s="10">
        <f t="shared" ca="1" si="253"/>
        <v>0</v>
      </c>
      <c r="N1111" s="30">
        <f t="shared" ca="1" si="254"/>
        <v>0</v>
      </c>
      <c r="O1111" s="10">
        <f t="shared" ca="1" si="255"/>
        <v>0</v>
      </c>
      <c r="P1111" s="29">
        <f t="shared" ca="1" si="256"/>
        <v>4100</v>
      </c>
      <c r="Q1111" s="12">
        <f t="shared" ca="1" si="257"/>
        <v>-304800</v>
      </c>
      <c r="R1111" s="10">
        <f t="shared" ca="1" si="258"/>
        <v>0.19325037707390649</v>
      </c>
      <c r="S1111" s="10">
        <f t="shared" ca="1" si="248"/>
        <v>0.50559557046664949</v>
      </c>
      <c r="T1111" s="14">
        <f t="shared" ca="1" si="249"/>
        <v>-6.3817039334369025E-2</v>
      </c>
      <c r="U1111" s="12">
        <f t="shared" ca="1" si="259"/>
        <v>7900</v>
      </c>
      <c r="V1111" s="14">
        <f t="shared" ca="1" si="260"/>
        <v>-3958.2278481012659</v>
      </c>
      <c r="W1111" s="12">
        <f t="shared" ca="1" si="250"/>
        <v>-3407.5949367088606</v>
      </c>
      <c r="X1111" s="7">
        <f ca="1">AVERAGE(E1111:OFFSET(F1111,-$X$5+1,0))</f>
        <v>10612.5</v>
      </c>
      <c r="Y1111" s="7">
        <f ca="1">AVERAGE(E1111:OFFSET(F1111,-$Y$5+1,0))</f>
        <v>10595.2</v>
      </c>
      <c r="Z1111" s="7">
        <f t="shared" ca="1" si="252"/>
        <v>1</v>
      </c>
    </row>
    <row r="1112" spans="1:26">
      <c r="A1112" s="3" t="s">
        <v>77</v>
      </c>
      <c r="B1112" s="4">
        <v>43294</v>
      </c>
      <c r="C1112" s="3">
        <v>10808</v>
      </c>
      <c r="D1112" s="3">
        <v>10850</v>
      </c>
      <c r="E1112" s="3">
        <v>10768</v>
      </c>
      <c r="F1112" s="3">
        <v>10848</v>
      </c>
      <c r="G1112" s="3">
        <v>133034</v>
      </c>
      <c r="H1112" s="3">
        <v>1.0449999999999999</v>
      </c>
      <c r="I1112" s="2">
        <f t="shared" si="261"/>
        <v>0</v>
      </c>
      <c r="J1112" s="10">
        <f t="shared" si="263"/>
        <v>68</v>
      </c>
      <c r="K1112" s="10">
        <f t="shared" si="262"/>
        <v>40</v>
      </c>
      <c r="L1112" s="10">
        <f t="shared" ca="1" si="251"/>
        <v>0</v>
      </c>
      <c r="M1112" s="10">
        <f t="shared" ca="1" si="253"/>
        <v>1</v>
      </c>
      <c r="N1112" s="30">
        <f t="shared" ca="1" si="254"/>
        <v>2161600</v>
      </c>
      <c r="O1112" s="10">
        <f t="shared" ca="1" si="255"/>
        <v>2161600</v>
      </c>
      <c r="P1112" s="29">
        <f t="shared" ca="1" si="256"/>
        <v>7500</v>
      </c>
      <c r="Q1112" s="12">
        <f t="shared" ca="1" si="257"/>
        <v>-297300</v>
      </c>
      <c r="R1112" s="10">
        <f t="shared" ca="1" si="258"/>
        <v>0.34696521095484828</v>
      </c>
      <c r="S1112" s="10">
        <f t="shared" ca="1" si="248"/>
        <v>0.48774647594061676</v>
      </c>
      <c r="T1112" s="14">
        <f t="shared" ca="1" si="249"/>
        <v>-6.5882129785653595E-2</v>
      </c>
      <c r="U1112" s="12">
        <f t="shared" ca="1" si="259"/>
        <v>7900</v>
      </c>
      <c r="V1112" s="14">
        <f t="shared" ca="1" si="260"/>
        <v>-3863.2911392405063</v>
      </c>
      <c r="W1112" s="12">
        <f t="shared" ca="1" si="250"/>
        <v>-3407.5949367088606</v>
      </c>
      <c r="X1112" s="7">
        <f ca="1">AVERAGE(E1112:OFFSET(F1112,-$X$5+1,0))</f>
        <v>10678.8</v>
      </c>
      <c r="Y1112" s="7">
        <f ca="1">AVERAGE(E1112:OFFSET(F1112,-$Y$5+1,0))</f>
        <v>10615.85</v>
      </c>
      <c r="Z1112" s="7">
        <f t="shared" ca="1" si="252"/>
        <v>0</v>
      </c>
    </row>
    <row r="1113" spans="1:26">
      <c r="A1113" s="3" t="s">
        <v>77</v>
      </c>
      <c r="B1113" s="4">
        <v>43297</v>
      </c>
      <c r="C1113" s="3">
        <v>10854</v>
      </c>
      <c r="D1113" s="3">
        <v>10874</v>
      </c>
      <c r="E1113" s="3">
        <v>10807</v>
      </c>
      <c r="F1113" s="3">
        <v>10815</v>
      </c>
      <c r="G1113" s="3">
        <v>137166</v>
      </c>
      <c r="H1113" s="3">
        <v>1.0449999999999999</v>
      </c>
      <c r="I1113" s="2">
        <f t="shared" si="261"/>
        <v>0</v>
      </c>
      <c r="J1113" s="10">
        <f t="shared" si="263"/>
        <v>6</v>
      </c>
      <c r="K1113" s="10">
        <f t="shared" si="262"/>
        <v>-39</v>
      </c>
      <c r="L1113" s="10">
        <f t="shared" ca="1" si="251"/>
        <v>0</v>
      </c>
      <c r="M1113" s="10">
        <f t="shared" ca="1" si="253"/>
        <v>1</v>
      </c>
      <c r="N1113" s="30">
        <f t="shared" ca="1" si="254"/>
        <v>0</v>
      </c>
      <c r="O1113" s="10">
        <f t="shared" ca="1" si="255"/>
        <v>2161600</v>
      </c>
      <c r="P1113" s="29">
        <f t="shared" ca="1" si="256"/>
        <v>-6600</v>
      </c>
      <c r="Q1113" s="12">
        <f t="shared" ca="1" si="257"/>
        <v>-303900</v>
      </c>
      <c r="R1113" s="10">
        <f t="shared" ca="1" si="258"/>
        <v>-0.30532938564026646</v>
      </c>
      <c r="S1113" s="10">
        <f t="shared" ca="1" si="248"/>
        <v>0.45339080100776646</v>
      </c>
      <c r="T1113" s="14">
        <f t="shared" ca="1" si="249"/>
        <v>-6.9900566985219736E-2</v>
      </c>
      <c r="U1113" s="12">
        <f t="shared" ca="1" si="259"/>
        <v>7900</v>
      </c>
      <c r="V1113" s="14">
        <f t="shared" ca="1" si="260"/>
        <v>-3946.8354430379745</v>
      </c>
      <c r="W1113" s="12">
        <f t="shared" ca="1" si="250"/>
        <v>-3407.5949367088606</v>
      </c>
      <c r="X1113" s="7">
        <f ca="1">AVERAGE(E1113:OFFSET(F1113,-$X$5+1,0))</f>
        <v>10716.7</v>
      </c>
      <c r="Y1113" s="7">
        <f ca="1">AVERAGE(E1113:OFFSET(F1113,-$Y$5+1,0))</f>
        <v>10635.95</v>
      </c>
      <c r="Z1113" s="7">
        <f t="shared" ca="1" si="252"/>
        <v>0</v>
      </c>
    </row>
    <row r="1114" spans="1:26">
      <c r="A1114" s="3" t="s">
        <v>77</v>
      </c>
      <c r="B1114" s="4">
        <v>43298</v>
      </c>
      <c r="C1114" s="3">
        <v>10809</v>
      </c>
      <c r="D1114" s="3">
        <v>10819</v>
      </c>
      <c r="E1114" s="3">
        <v>10756</v>
      </c>
      <c r="F1114" s="3">
        <v>10768</v>
      </c>
      <c r="G1114" s="3">
        <v>150847</v>
      </c>
      <c r="H1114" s="3">
        <v>1.0449999999999999</v>
      </c>
      <c r="I1114" s="2">
        <f t="shared" si="261"/>
        <v>0</v>
      </c>
      <c r="J1114" s="10">
        <f t="shared" si="263"/>
        <v>-6</v>
      </c>
      <c r="K1114" s="10">
        <f t="shared" si="262"/>
        <v>-41</v>
      </c>
      <c r="L1114" s="10">
        <f t="shared" ca="1" si="251"/>
        <v>0</v>
      </c>
      <c r="M1114" s="10">
        <f t="shared" ca="1" si="253"/>
        <v>1</v>
      </c>
      <c r="N1114" s="30">
        <f t="shared" ca="1" si="254"/>
        <v>0</v>
      </c>
      <c r="O1114" s="10">
        <f t="shared" ca="1" si="255"/>
        <v>2161600</v>
      </c>
      <c r="P1114" s="29">
        <f t="shared" ca="1" si="256"/>
        <v>-9400</v>
      </c>
      <c r="Q1114" s="12">
        <f t="shared" ca="1" si="257"/>
        <v>-313300</v>
      </c>
      <c r="R1114" s="10">
        <f t="shared" ca="1" si="258"/>
        <v>-0.43486306439674316</v>
      </c>
      <c r="S1114" s="10">
        <f t="shared" ca="1" si="248"/>
        <v>0.34772107356278759</v>
      </c>
      <c r="T1114" s="14">
        <f t="shared" ca="1" si="249"/>
        <v>-8.2285047540180692E-2</v>
      </c>
      <c r="U1114" s="12">
        <f t="shared" ca="1" si="259"/>
        <v>7900</v>
      </c>
      <c r="V1114" s="14">
        <f t="shared" ca="1" si="260"/>
        <v>-4065.8227848101264</v>
      </c>
      <c r="W1114" s="12">
        <f t="shared" ca="1" si="250"/>
        <v>-3407.5949367088606</v>
      </c>
      <c r="X1114" s="7">
        <f ca="1">AVERAGE(E1114:OFFSET(F1114,-$X$5+1,0))</f>
        <v>10730.2</v>
      </c>
      <c r="Y1114" s="7">
        <f ca="1">AVERAGE(E1114:OFFSET(F1114,-$Y$5+1,0))</f>
        <v>10653.85</v>
      </c>
      <c r="Z1114" s="7">
        <f t="shared" ca="1" si="252"/>
        <v>0</v>
      </c>
    </row>
    <row r="1115" spans="1:26">
      <c r="A1115" s="3" t="s">
        <v>77</v>
      </c>
      <c r="B1115" s="4">
        <v>43299</v>
      </c>
      <c r="C1115" s="3">
        <v>10829</v>
      </c>
      <c r="D1115" s="3">
        <v>10872</v>
      </c>
      <c r="E1115" s="3">
        <v>10791</v>
      </c>
      <c r="F1115" s="3">
        <v>10844</v>
      </c>
      <c r="G1115" s="3">
        <v>89274</v>
      </c>
      <c r="H1115" s="3">
        <v>1.0449999999999999</v>
      </c>
      <c r="I1115" s="2">
        <f t="shared" si="261"/>
        <v>1</v>
      </c>
      <c r="J1115" s="10">
        <f t="shared" si="263"/>
        <v>61</v>
      </c>
      <c r="K1115" s="10">
        <f t="shared" si="262"/>
        <v>15</v>
      </c>
      <c r="L1115" s="10">
        <f t="shared" ca="1" si="251"/>
        <v>0</v>
      </c>
      <c r="M1115" s="10">
        <f t="shared" si="253"/>
        <v>0</v>
      </c>
      <c r="N1115" s="30">
        <f t="shared" si="254"/>
        <v>0</v>
      </c>
      <c r="O1115" s="10">
        <f t="shared" si="255"/>
        <v>0</v>
      </c>
      <c r="P1115" s="29">
        <f t="shared" ca="1" si="256"/>
        <v>11700</v>
      </c>
      <c r="Q1115" s="12">
        <f t="shared" ca="1" si="257"/>
        <v>-301600</v>
      </c>
      <c r="R1115" s="10">
        <f t="shared" ca="1" si="258"/>
        <v>0.54126572908956327</v>
      </c>
      <c r="S1115" s="10">
        <f t="shared" ca="1" si="248"/>
        <v>0.53251296145917926</v>
      </c>
      <c r="T1115" s="14">
        <f t="shared" ca="1" si="249"/>
        <v>-6.0395943879190853E-2</v>
      </c>
      <c r="U1115" s="12">
        <f t="shared" ca="1" si="259"/>
        <v>7900</v>
      </c>
      <c r="V1115" s="14">
        <f t="shared" ca="1" si="260"/>
        <v>-3917.7215189873418</v>
      </c>
      <c r="W1115" s="12">
        <f t="shared" ca="1" si="250"/>
        <v>-3407.5949367088606</v>
      </c>
      <c r="X1115" s="7">
        <f ca="1">AVERAGE(E1115:OFFSET(F1115,-$X$5+1,0))</f>
        <v>10774.6</v>
      </c>
      <c r="Y1115" s="7">
        <f ca="1">AVERAGE(E1115:OFFSET(F1115,-$Y$5+1,0))</f>
        <v>10675.5</v>
      </c>
      <c r="Z1115" s="7">
        <f t="shared" ca="1" si="252"/>
        <v>0</v>
      </c>
    </row>
    <row r="1116" spans="1:26">
      <c r="A1116" s="3" t="s">
        <v>78</v>
      </c>
      <c r="B1116" s="4">
        <v>43300</v>
      </c>
      <c r="C1116" s="3">
        <v>10756</v>
      </c>
      <c r="D1116" s="3">
        <v>10792</v>
      </c>
      <c r="E1116" s="3">
        <v>10708</v>
      </c>
      <c r="F1116" s="3">
        <v>10721</v>
      </c>
      <c r="G1116" s="3">
        <v>142334</v>
      </c>
      <c r="H1116" s="3">
        <v>1.0449999999999999</v>
      </c>
      <c r="I1116" s="2">
        <f t="shared" si="261"/>
        <v>0</v>
      </c>
      <c r="J1116" s="10">
        <f t="shared" si="263"/>
        <v>-88</v>
      </c>
      <c r="K1116" s="10">
        <f t="shared" si="262"/>
        <v>-35</v>
      </c>
      <c r="L1116" s="10">
        <f t="shared" ca="1" si="251"/>
        <v>0</v>
      </c>
      <c r="M1116" s="10">
        <f t="shared" ca="1" si="253"/>
        <v>0</v>
      </c>
      <c r="N1116" s="30">
        <f t="shared" ca="1" si="254"/>
        <v>0</v>
      </c>
      <c r="O1116" s="10">
        <f t="shared" ca="1" si="255"/>
        <v>0</v>
      </c>
      <c r="P1116" s="29">
        <f t="shared" ca="1" si="256"/>
        <v>0</v>
      </c>
      <c r="Q1116" s="12">
        <f t="shared" ca="1" si="257"/>
        <v>-301600</v>
      </c>
      <c r="R1116" s="10">
        <f t="shared" ca="1" si="258"/>
        <v>0</v>
      </c>
      <c r="S1116" s="10">
        <f t="shared" ca="1" si="248"/>
        <v>0.42007620713348742</v>
      </c>
      <c r="T1116" s="14">
        <f t="shared" ca="1" si="249"/>
        <v>-7.3896515431907436E-2</v>
      </c>
      <c r="U1116" s="12">
        <f t="shared" ca="1" si="259"/>
        <v>7900</v>
      </c>
      <c r="V1116" s="14">
        <f t="shared" ca="1" si="260"/>
        <v>-3917.7215189873418</v>
      </c>
      <c r="W1116" s="12">
        <f t="shared" ca="1" si="250"/>
        <v>-3407.5949367088606</v>
      </c>
      <c r="X1116" s="7">
        <f ca="1">AVERAGE(E1116:OFFSET(F1116,-$X$5+1,0))</f>
        <v>10782.6</v>
      </c>
      <c r="Y1116" s="7">
        <f ca="1">AVERAGE(E1116:OFFSET(F1116,-$Y$5+1,0))</f>
        <v>10697.55</v>
      </c>
      <c r="Z1116" s="7">
        <f t="shared" ca="1" si="252"/>
        <v>0</v>
      </c>
    </row>
    <row r="1117" spans="1:26">
      <c r="A1117" s="3" t="s">
        <v>78</v>
      </c>
      <c r="B1117" s="4">
        <v>43301</v>
      </c>
      <c r="C1117" s="3">
        <v>10774</v>
      </c>
      <c r="D1117" s="3">
        <v>10847</v>
      </c>
      <c r="E1117" s="3">
        <v>10765</v>
      </c>
      <c r="F1117" s="3">
        <v>10824</v>
      </c>
      <c r="G1117" s="3">
        <v>191859</v>
      </c>
      <c r="H1117" s="3">
        <v>1.0449999999999999</v>
      </c>
      <c r="I1117" s="2">
        <f t="shared" si="261"/>
        <v>0</v>
      </c>
      <c r="J1117" s="10">
        <f t="shared" si="263"/>
        <v>53</v>
      </c>
      <c r="K1117" s="10">
        <f t="shared" si="262"/>
        <v>50</v>
      </c>
      <c r="L1117" s="10">
        <f t="shared" ca="1" si="251"/>
        <v>0</v>
      </c>
      <c r="M1117" s="10">
        <f t="shared" ca="1" si="253"/>
        <v>0</v>
      </c>
      <c r="N1117" s="30">
        <f t="shared" ca="1" si="254"/>
        <v>0</v>
      </c>
      <c r="O1117" s="10">
        <f t="shared" ca="1" si="255"/>
        <v>0</v>
      </c>
      <c r="P1117" s="29">
        <f t="shared" ca="1" si="256"/>
        <v>0</v>
      </c>
      <c r="Q1117" s="12">
        <f t="shared" ca="1" si="257"/>
        <v>-301600</v>
      </c>
      <c r="R1117" s="10">
        <f t="shared" ca="1" si="258"/>
        <v>0</v>
      </c>
      <c r="S1117" s="10">
        <f t="shared" ca="1" si="248"/>
        <v>0.43569242301205574</v>
      </c>
      <c r="T1117" s="14">
        <f t="shared" ca="1" si="249"/>
        <v>-7.2450697636602251E-2</v>
      </c>
      <c r="U1117" s="12">
        <f t="shared" ca="1" si="259"/>
        <v>7900</v>
      </c>
      <c r="V1117" s="14">
        <f t="shared" ca="1" si="260"/>
        <v>-3917.7215189873418</v>
      </c>
      <c r="W1117" s="12">
        <f t="shared" ca="1" si="250"/>
        <v>-3407.5949367088606</v>
      </c>
      <c r="X1117" s="7">
        <f ca="1">AVERAGE(E1117:OFFSET(F1117,-$X$5+1,0))</f>
        <v>10779.9</v>
      </c>
      <c r="Y1117" s="7">
        <f ca="1">AVERAGE(E1117:OFFSET(F1117,-$Y$5+1,0))</f>
        <v>10729.35</v>
      </c>
      <c r="Z1117" s="7">
        <f t="shared" ca="1" si="252"/>
        <v>0</v>
      </c>
    </row>
    <row r="1118" spans="1:26">
      <c r="A1118" s="3" t="s">
        <v>78</v>
      </c>
      <c r="B1118" s="4">
        <v>43304</v>
      </c>
      <c r="C1118" s="3">
        <v>10846</v>
      </c>
      <c r="D1118" s="3">
        <v>10864</v>
      </c>
      <c r="E1118" s="3">
        <v>10794</v>
      </c>
      <c r="F1118" s="3">
        <v>10830</v>
      </c>
      <c r="G1118" s="3">
        <v>142476</v>
      </c>
      <c r="H1118" s="3">
        <v>1.0449999999999999</v>
      </c>
      <c r="I1118" s="2">
        <f t="shared" si="261"/>
        <v>0</v>
      </c>
      <c r="J1118" s="10">
        <f t="shared" si="263"/>
        <v>22</v>
      </c>
      <c r="K1118" s="10">
        <f t="shared" si="262"/>
        <v>-16</v>
      </c>
      <c r="L1118" s="10">
        <f t="shared" ca="1" si="251"/>
        <v>0</v>
      </c>
      <c r="M1118" s="10">
        <f t="shared" ca="1" si="253"/>
        <v>0</v>
      </c>
      <c r="N1118" s="30">
        <f t="shared" ca="1" si="254"/>
        <v>0</v>
      </c>
      <c r="O1118" s="10">
        <f t="shared" ca="1" si="255"/>
        <v>0</v>
      </c>
      <c r="P1118" s="29">
        <f t="shared" ca="1" si="256"/>
        <v>0</v>
      </c>
      <c r="Q1118" s="12">
        <f t="shared" ca="1" si="257"/>
        <v>-301600</v>
      </c>
      <c r="R1118" s="10">
        <f t="shared" ca="1" si="258"/>
        <v>0</v>
      </c>
      <c r="S1118" s="10">
        <f t="shared" ca="1" si="248"/>
        <v>0.44818539571491034</v>
      </c>
      <c r="T1118" s="14">
        <f t="shared" ca="1" si="249"/>
        <v>-7.128627092842546E-2</v>
      </c>
      <c r="U1118" s="12">
        <f t="shared" ca="1" si="259"/>
        <v>7900</v>
      </c>
      <c r="V1118" s="14">
        <f t="shared" ca="1" si="260"/>
        <v>-3917.7215189873418</v>
      </c>
      <c r="W1118" s="12">
        <f t="shared" ca="1" si="250"/>
        <v>-3407.5949367088606</v>
      </c>
      <c r="X1118" s="7">
        <f ca="1">AVERAGE(E1118:OFFSET(F1118,-$X$5+1,0))</f>
        <v>10780.1</v>
      </c>
      <c r="Y1118" s="7">
        <f ca="1">AVERAGE(E1118:OFFSET(F1118,-$Y$5+1,0))</f>
        <v>10748.4</v>
      </c>
      <c r="Z1118" s="7">
        <f t="shared" ca="1" si="252"/>
        <v>0</v>
      </c>
    </row>
    <row r="1119" spans="1:26">
      <c r="A1119" s="3" t="s">
        <v>78</v>
      </c>
      <c r="B1119" s="4">
        <v>43305</v>
      </c>
      <c r="C1119" s="3">
        <v>10841</v>
      </c>
      <c r="D1119" s="3">
        <v>10880</v>
      </c>
      <c r="E1119" s="3">
        <v>10802</v>
      </c>
      <c r="F1119" s="3">
        <v>10871</v>
      </c>
      <c r="G1119" s="3">
        <v>115304</v>
      </c>
      <c r="H1119" s="3">
        <v>1.0449999999999999</v>
      </c>
      <c r="I1119" s="2">
        <f t="shared" si="261"/>
        <v>0</v>
      </c>
      <c r="J1119" s="10">
        <f t="shared" si="263"/>
        <v>11</v>
      </c>
      <c r="K1119" s="10">
        <f t="shared" si="262"/>
        <v>30</v>
      </c>
      <c r="L1119" s="10">
        <f t="shared" ca="1" si="251"/>
        <v>0</v>
      </c>
      <c r="M1119" s="10">
        <f t="shared" ca="1" si="253"/>
        <v>0</v>
      </c>
      <c r="N1119" s="30">
        <f t="shared" ca="1" si="254"/>
        <v>0</v>
      </c>
      <c r="O1119" s="10">
        <f t="shared" ca="1" si="255"/>
        <v>0</v>
      </c>
      <c r="P1119" s="29">
        <f t="shared" ca="1" si="256"/>
        <v>0</v>
      </c>
      <c r="Q1119" s="12">
        <f t="shared" ca="1" si="257"/>
        <v>-301600</v>
      </c>
      <c r="R1119" s="10">
        <f t="shared" ca="1" si="258"/>
        <v>0</v>
      </c>
      <c r="S1119" s="10">
        <f t="shared" ca="1" si="248"/>
        <v>0.53771836675203533</v>
      </c>
      <c r="T1119" s="14">
        <f t="shared" ca="1" si="249"/>
        <v>-6.06678833309406E-2</v>
      </c>
      <c r="U1119" s="12">
        <f t="shared" ca="1" si="259"/>
        <v>7900</v>
      </c>
      <c r="V1119" s="14">
        <f t="shared" ca="1" si="260"/>
        <v>-3917.7215189873418</v>
      </c>
      <c r="W1119" s="12">
        <f t="shared" ca="1" si="250"/>
        <v>-3407.5949367088606</v>
      </c>
      <c r="X1119" s="7">
        <f ca="1">AVERAGE(E1119:OFFSET(F1119,-$X$5+1,0))</f>
        <v>10795</v>
      </c>
      <c r="Y1119" s="7">
        <f ca="1">AVERAGE(E1119:OFFSET(F1119,-$Y$5+1,0))</f>
        <v>10762.6</v>
      </c>
      <c r="Z1119" s="7">
        <f t="shared" ca="1" si="252"/>
        <v>0</v>
      </c>
    </row>
    <row r="1120" spans="1:26">
      <c r="A1120" s="3" t="s">
        <v>78</v>
      </c>
      <c r="B1120" s="4">
        <v>43306</v>
      </c>
      <c r="C1120" s="3">
        <v>10860</v>
      </c>
      <c r="D1120" s="3">
        <v>10892</v>
      </c>
      <c r="E1120" s="3">
        <v>10851</v>
      </c>
      <c r="F1120" s="3">
        <v>10865</v>
      </c>
      <c r="G1120" s="3">
        <v>96247</v>
      </c>
      <c r="H1120" s="3">
        <v>1.0449999999999999</v>
      </c>
      <c r="I1120" s="2">
        <f t="shared" si="261"/>
        <v>0</v>
      </c>
      <c r="J1120" s="10">
        <f t="shared" si="263"/>
        <v>-11</v>
      </c>
      <c r="K1120" s="10">
        <f t="shared" si="262"/>
        <v>5</v>
      </c>
      <c r="L1120" s="10">
        <f t="shared" ca="1" si="251"/>
        <v>0</v>
      </c>
      <c r="M1120" s="10">
        <f t="shared" ca="1" si="253"/>
        <v>0</v>
      </c>
      <c r="N1120" s="30">
        <f t="shared" ca="1" si="254"/>
        <v>0</v>
      </c>
      <c r="O1120" s="10">
        <f t="shared" ca="1" si="255"/>
        <v>0</v>
      </c>
      <c r="P1120" s="29">
        <f t="shared" ca="1" si="256"/>
        <v>0</v>
      </c>
      <c r="Q1120" s="12">
        <f t="shared" ca="1" si="257"/>
        <v>-301600</v>
      </c>
      <c r="R1120" s="10">
        <f t="shared" ca="1" si="258"/>
        <v>0</v>
      </c>
      <c r="S1120" s="10">
        <f t="shared" ca="1" si="248"/>
        <v>0.50596539446561306</v>
      </c>
      <c r="T1120" s="14">
        <f t="shared" ca="1" si="249"/>
        <v>-6.4497796523516115E-2</v>
      </c>
      <c r="U1120" s="12">
        <f t="shared" ca="1" si="259"/>
        <v>7900</v>
      </c>
      <c r="V1120" s="14">
        <f t="shared" ca="1" si="260"/>
        <v>-3917.7215189873418</v>
      </c>
      <c r="W1120" s="12">
        <f t="shared" ca="1" si="250"/>
        <v>-3407.5949367088606</v>
      </c>
      <c r="X1120" s="7">
        <f ca="1">AVERAGE(E1120:OFFSET(F1120,-$X$5+1,0))</f>
        <v>10803.1</v>
      </c>
      <c r="Y1120" s="7">
        <f ca="1">AVERAGE(E1120:OFFSET(F1120,-$Y$5+1,0))</f>
        <v>10788.85</v>
      </c>
      <c r="Z1120" s="7">
        <f t="shared" ca="1" si="252"/>
        <v>0</v>
      </c>
    </row>
    <row r="1121" spans="1:26">
      <c r="A1121" s="3" t="s">
        <v>78</v>
      </c>
      <c r="B1121" s="4">
        <v>43307</v>
      </c>
      <c r="C1121" s="3">
        <v>10909</v>
      </c>
      <c r="D1121" s="3">
        <v>10926</v>
      </c>
      <c r="E1121" s="3">
        <v>10873</v>
      </c>
      <c r="F1121" s="3">
        <v>10915</v>
      </c>
      <c r="G1121" s="3">
        <v>117119</v>
      </c>
      <c r="H1121" s="3">
        <v>1.0449999999999999</v>
      </c>
      <c r="I1121" s="2">
        <f t="shared" si="261"/>
        <v>0</v>
      </c>
      <c r="J1121" s="10">
        <f t="shared" si="263"/>
        <v>44</v>
      </c>
      <c r="K1121" s="10">
        <f t="shared" si="262"/>
        <v>6</v>
      </c>
      <c r="L1121" s="10">
        <f t="shared" ca="1" si="251"/>
        <v>0</v>
      </c>
      <c r="M1121" s="10">
        <f t="shared" ca="1" si="253"/>
        <v>0</v>
      </c>
      <c r="N1121" s="30">
        <f t="shared" ca="1" si="254"/>
        <v>0</v>
      </c>
      <c r="O1121" s="10">
        <f t="shared" ca="1" si="255"/>
        <v>0</v>
      </c>
      <c r="P1121" s="29">
        <f t="shared" ca="1" si="256"/>
        <v>0</v>
      </c>
      <c r="Q1121" s="12">
        <f t="shared" ca="1" si="257"/>
        <v>-301600</v>
      </c>
      <c r="R1121" s="10">
        <f t="shared" ca="1" si="258"/>
        <v>0</v>
      </c>
      <c r="S1121" s="10">
        <f t="shared" ca="1" si="248"/>
        <v>0.54812917733774746</v>
      </c>
      <c r="T1121" s="14">
        <f t="shared" ca="1" si="249"/>
        <v>-5.9464154784629422E-2</v>
      </c>
      <c r="U1121" s="12">
        <f t="shared" ca="1" si="259"/>
        <v>7900</v>
      </c>
      <c r="V1121" s="14">
        <f t="shared" ca="1" si="260"/>
        <v>-3917.7215189873418</v>
      </c>
      <c r="W1121" s="12">
        <f t="shared" ca="1" si="250"/>
        <v>-3407.5949367088606</v>
      </c>
      <c r="X1121" s="7">
        <f ca="1">AVERAGE(E1121:OFFSET(F1121,-$X$5+1,0))</f>
        <v>10839</v>
      </c>
      <c r="Y1121" s="7">
        <f ca="1">AVERAGE(E1121:OFFSET(F1121,-$Y$5+1,0))</f>
        <v>10810.8</v>
      </c>
      <c r="Z1121" s="7">
        <f t="shared" ca="1" si="252"/>
        <v>0</v>
      </c>
    </row>
    <row r="1122" spans="1:26">
      <c r="A1122" s="3" t="s">
        <v>78</v>
      </c>
      <c r="B1122" s="4">
        <v>43308</v>
      </c>
      <c r="C1122" s="3">
        <v>10928</v>
      </c>
      <c r="D1122" s="3">
        <v>10995</v>
      </c>
      <c r="E1122" s="3">
        <v>10918</v>
      </c>
      <c r="F1122" s="3">
        <v>10992</v>
      </c>
      <c r="G1122" s="3">
        <v>111649</v>
      </c>
      <c r="H1122" s="3">
        <v>1.0449999999999999</v>
      </c>
      <c r="I1122" s="2">
        <f t="shared" si="261"/>
        <v>0</v>
      </c>
      <c r="J1122" s="10">
        <f t="shared" si="263"/>
        <v>13</v>
      </c>
      <c r="K1122" s="10">
        <f t="shared" si="262"/>
        <v>64</v>
      </c>
      <c r="L1122" s="10">
        <f t="shared" ca="1" si="251"/>
        <v>0</v>
      </c>
      <c r="M1122" s="10">
        <f t="shared" ca="1" si="253"/>
        <v>0</v>
      </c>
      <c r="N1122" s="30">
        <f t="shared" ca="1" si="254"/>
        <v>0</v>
      </c>
      <c r="O1122" s="10">
        <f t="shared" ca="1" si="255"/>
        <v>0</v>
      </c>
      <c r="P1122" s="29">
        <f t="shared" ca="1" si="256"/>
        <v>0</v>
      </c>
      <c r="Q1122" s="12">
        <f t="shared" ca="1" si="257"/>
        <v>-301600</v>
      </c>
      <c r="R1122" s="10">
        <f t="shared" ca="1" si="258"/>
        <v>0</v>
      </c>
      <c r="S1122" s="10">
        <f t="shared" ca="1" si="248"/>
        <v>0.64182647260915737</v>
      </c>
      <c r="T1122" s="14">
        <f t="shared" ca="1" si="249"/>
        <v>-4.9073304036362897E-2</v>
      </c>
      <c r="U1122" s="12">
        <f t="shared" ca="1" si="259"/>
        <v>7900</v>
      </c>
      <c r="V1122" s="14">
        <f t="shared" ca="1" si="260"/>
        <v>-3917.7215189873418</v>
      </c>
      <c r="W1122" s="12">
        <f t="shared" ca="1" si="250"/>
        <v>-3407.5949367088606</v>
      </c>
      <c r="X1122" s="7">
        <f ca="1">AVERAGE(E1122:OFFSET(F1122,-$X$5+1,0))</f>
        <v>10871.1</v>
      </c>
      <c r="Y1122" s="7">
        <f ca="1">AVERAGE(E1122:OFFSET(F1122,-$Y$5+1,0))</f>
        <v>10825.5</v>
      </c>
      <c r="Z1122" s="7">
        <f t="shared" ca="1" si="252"/>
        <v>0</v>
      </c>
    </row>
    <row r="1123" spans="1:26">
      <c r="A1123" s="3" t="s">
        <v>78</v>
      </c>
      <c r="B1123" s="4">
        <v>43311</v>
      </c>
      <c r="C1123" s="3">
        <v>10970</v>
      </c>
      <c r="D1123" s="3">
        <v>11007</v>
      </c>
      <c r="E1123" s="3">
        <v>10937</v>
      </c>
      <c r="F1123" s="3">
        <v>10940</v>
      </c>
      <c r="G1123" s="3">
        <v>117666</v>
      </c>
      <c r="H1123" s="3">
        <v>1.0449999999999999</v>
      </c>
      <c r="I1123" s="2">
        <f t="shared" si="261"/>
        <v>0</v>
      </c>
      <c r="J1123" s="10">
        <f t="shared" si="263"/>
        <v>-22</v>
      </c>
      <c r="K1123" s="10">
        <f t="shared" si="262"/>
        <v>-30</v>
      </c>
      <c r="L1123" s="10">
        <f t="shared" ca="1" si="251"/>
        <v>0</v>
      </c>
      <c r="M1123" s="10">
        <f t="shared" ca="1" si="253"/>
        <v>0</v>
      </c>
      <c r="N1123" s="30">
        <f t="shared" ca="1" si="254"/>
        <v>0</v>
      </c>
      <c r="O1123" s="10">
        <f t="shared" ca="1" si="255"/>
        <v>0</v>
      </c>
      <c r="P1123" s="29">
        <f t="shared" ca="1" si="256"/>
        <v>0</v>
      </c>
      <c r="Q1123" s="12">
        <f t="shared" ca="1" si="257"/>
        <v>-301600</v>
      </c>
      <c r="R1123" s="10">
        <f t="shared" ca="1" si="258"/>
        <v>0</v>
      </c>
      <c r="S1123" s="10">
        <f t="shared" ca="1" si="248"/>
        <v>0.63870322943344371</v>
      </c>
      <c r="T1123" s="14">
        <f t="shared" ca="1" si="249"/>
        <v>-4.9459769705852724E-2</v>
      </c>
      <c r="U1123" s="12">
        <f t="shared" ca="1" si="259"/>
        <v>7900</v>
      </c>
      <c r="V1123" s="14">
        <f t="shared" ca="1" si="260"/>
        <v>-3917.7215189873418</v>
      </c>
      <c r="W1123" s="12">
        <f t="shared" ca="1" si="250"/>
        <v>-3407.5949367088606</v>
      </c>
      <c r="X1123" s="7">
        <f ca="1">AVERAGE(E1123:OFFSET(F1123,-$X$5+1,0))</f>
        <v>10896.4</v>
      </c>
      <c r="Y1123" s="7">
        <f ca="1">AVERAGE(E1123:OFFSET(F1123,-$Y$5+1,0))</f>
        <v>10838.25</v>
      </c>
      <c r="Z1123" s="7">
        <f t="shared" ca="1" si="252"/>
        <v>0</v>
      </c>
    </row>
    <row r="1124" spans="1:26">
      <c r="A1124" s="3" t="s">
        <v>78</v>
      </c>
      <c r="B1124" s="4">
        <v>43312</v>
      </c>
      <c r="C1124" s="3">
        <v>10931</v>
      </c>
      <c r="D1124" s="3">
        <v>10997</v>
      </c>
      <c r="E1124" s="3">
        <v>10913</v>
      </c>
      <c r="F1124" s="3">
        <v>10989</v>
      </c>
      <c r="G1124" s="3">
        <v>116649</v>
      </c>
      <c r="H1124" s="3">
        <v>1.0449999999999999</v>
      </c>
      <c r="I1124" s="2">
        <f t="shared" si="261"/>
        <v>0</v>
      </c>
      <c r="J1124" s="10">
        <f t="shared" si="263"/>
        <v>-9</v>
      </c>
      <c r="K1124" s="10">
        <f t="shared" si="262"/>
        <v>58</v>
      </c>
      <c r="L1124" s="10">
        <f t="shared" ca="1" si="251"/>
        <v>0</v>
      </c>
      <c r="M1124" s="10">
        <f t="shared" ca="1" si="253"/>
        <v>0</v>
      </c>
      <c r="N1124" s="30">
        <f t="shared" ca="1" si="254"/>
        <v>0</v>
      </c>
      <c r="O1124" s="10">
        <f t="shared" ca="1" si="255"/>
        <v>0</v>
      </c>
      <c r="P1124" s="29">
        <f t="shared" ca="1" si="256"/>
        <v>0</v>
      </c>
      <c r="Q1124" s="12">
        <f t="shared" ca="1" si="257"/>
        <v>-301600</v>
      </c>
      <c r="R1124" s="10">
        <f t="shared" ca="1" si="258"/>
        <v>0</v>
      </c>
      <c r="S1124" s="10">
        <f t="shared" ca="1" si="248"/>
        <v>0.57884106856559847</v>
      </c>
      <c r="T1124" s="14">
        <f t="shared" ca="1" si="249"/>
        <v>-5.717592949806883E-2</v>
      </c>
      <c r="U1124" s="12">
        <f t="shared" ca="1" si="259"/>
        <v>7900</v>
      </c>
      <c r="V1124" s="14">
        <f t="shared" ca="1" si="260"/>
        <v>-3917.7215189873418</v>
      </c>
      <c r="W1124" s="12">
        <f t="shared" ca="1" si="250"/>
        <v>-3407.5949367088606</v>
      </c>
      <c r="X1124" s="7">
        <f ca="1">AVERAGE(E1124:OFFSET(F1124,-$X$5+1,0))</f>
        <v>10919.3</v>
      </c>
      <c r="Y1124" s="7">
        <f ca="1">AVERAGE(E1124:OFFSET(F1124,-$Y$5+1,0))</f>
        <v>10857.15</v>
      </c>
      <c r="Z1124" s="7">
        <f t="shared" ca="1" si="252"/>
        <v>0</v>
      </c>
    </row>
    <row r="1125" spans="1:26">
      <c r="A1125" s="3" t="s">
        <v>78</v>
      </c>
      <c r="B1125" s="4">
        <v>43313</v>
      </c>
      <c r="C1125" s="3">
        <v>11034</v>
      </c>
      <c r="D1125" s="3">
        <v>11057</v>
      </c>
      <c r="E1125" s="3">
        <v>11010</v>
      </c>
      <c r="F1125" s="3">
        <v>11047</v>
      </c>
      <c r="G1125" s="3">
        <v>96117</v>
      </c>
      <c r="H1125" s="3">
        <v>1.0449999999999999</v>
      </c>
      <c r="I1125" s="2">
        <f t="shared" si="261"/>
        <v>0</v>
      </c>
      <c r="J1125" s="10">
        <f t="shared" si="263"/>
        <v>45</v>
      </c>
      <c r="K1125" s="10">
        <f t="shared" si="262"/>
        <v>13</v>
      </c>
      <c r="L1125" s="10">
        <f t="shared" ca="1" si="251"/>
        <v>0</v>
      </c>
      <c r="M1125" s="10">
        <f t="shared" ca="1" si="253"/>
        <v>0</v>
      </c>
      <c r="N1125" s="30">
        <f t="shared" ca="1" si="254"/>
        <v>0</v>
      </c>
      <c r="O1125" s="10">
        <f t="shared" ca="1" si="255"/>
        <v>0</v>
      </c>
      <c r="P1125" s="29">
        <f t="shared" ca="1" si="256"/>
        <v>0</v>
      </c>
      <c r="Q1125" s="12">
        <f t="shared" ca="1" si="257"/>
        <v>-301600</v>
      </c>
      <c r="R1125" s="10">
        <f t="shared" ca="1" si="258"/>
        <v>0</v>
      </c>
      <c r="S1125" s="10">
        <f t="shared" ca="1" si="248"/>
        <v>0.42632269348491475</v>
      </c>
      <c r="T1125" s="14">
        <f t="shared" ca="1" si="249"/>
        <v>-7.5940777537071374E-2</v>
      </c>
      <c r="U1125" s="12">
        <f t="shared" ca="1" si="259"/>
        <v>7900</v>
      </c>
      <c r="V1125" s="14">
        <f t="shared" ca="1" si="260"/>
        <v>-3917.7215189873418</v>
      </c>
      <c r="W1125" s="12">
        <f t="shared" ca="1" si="250"/>
        <v>-3407.5949367088606</v>
      </c>
      <c r="X1125" s="7">
        <f ca="1">AVERAGE(E1125:OFFSET(F1125,-$X$5+1,0))</f>
        <v>10953.4</v>
      </c>
      <c r="Y1125" s="7">
        <f ca="1">AVERAGE(E1125:OFFSET(F1125,-$Y$5+1,0))</f>
        <v>10878.25</v>
      </c>
      <c r="Z1125" s="7">
        <f t="shared" ca="1" si="252"/>
        <v>0</v>
      </c>
    </row>
    <row r="1126" spans="1:26">
      <c r="A1126" s="3" t="s">
        <v>78</v>
      </c>
      <c r="B1126" s="4">
        <v>43314</v>
      </c>
      <c r="C1126" s="3">
        <v>11048</v>
      </c>
      <c r="D1126" s="3">
        <v>11048</v>
      </c>
      <c r="E1126" s="3">
        <v>10862</v>
      </c>
      <c r="F1126" s="3">
        <v>10871</v>
      </c>
      <c r="G1126" s="3">
        <v>168828</v>
      </c>
      <c r="H1126" s="3">
        <v>1.0449999999999999</v>
      </c>
      <c r="I1126" s="2">
        <f t="shared" si="261"/>
        <v>0</v>
      </c>
      <c r="J1126" s="10">
        <f t="shared" si="263"/>
        <v>1</v>
      </c>
      <c r="K1126" s="10">
        <f t="shared" si="262"/>
        <v>-177</v>
      </c>
      <c r="L1126" s="10">
        <f t="shared" ca="1" si="251"/>
        <v>0</v>
      </c>
      <c r="M1126" s="10">
        <f t="shared" ca="1" si="253"/>
        <v>0</v>
      </c>
      <c r="N1126" s="30">
        <f t="shared" ca="1" si="254"/>
        <v>0</v>
      </c>
      <c r="O1126" s="10">
        <f t="shared" ca="1" si="255"/>
        <v>0</v>
      </c>
      <c r="P1126" s="29">
        <f t="shared" ca="1" si="256"/>
        <v>0</v>
      </c>
      <c r="Q1126" s="12">
        <f t="shared" ca="1" si="257"/>
        <v>-301600</v>
      </c>
      <c r="R1126" s="10">
        <f t="shared" ca="1" si="258"/>
        <v>0</v>
      </c>
      <c r="S1126" s="10">
        <f t="shared" ca="1" si="248"/>
        <v>0.32481729027422074</v>
      </c>
      <c r="T1126" s="14">
        <f t="shared" ca="1" si="249"/>
        <v>-8.8524407642654304E-2</v>
      </c>
      <c r="U1126" s="12">
        <f t="shared" ca="1" si="259"/>
        <v>7900</v>
      </c>
      <c r="V1126" s="14">
        <f t="shared" ca="1" si="260"/>
        <v>-3917.7215189873418</v>
      </c>
      <c r="W1126" s="12">
        <f t="shared" ca="1" si="250"/>
        <v>-3407.5949367088606</v>
      </c>
      <c r="X1126" s="7">
        <f ca="1">AVERAGE(E1126:OFFSET(F1126,-$X$5+1,0))</f>
        <v>10947.9</v>
      </c>
      <c r="Y1126" s="7">
        <f ca="1">AVERAGE(E1126:OFFSET(F1126,-$Y$5+1,0))</f>
        <v>10893.45</v>
      </c>
      <c r="Z1126" s="7">
        <f t="shared" ca="1" si="252"/>
        <v>0</v>
      </c>
    </row>
    <row r="1127" spans="1:26">
      <c r="A1127" s="3" t="s">
        <v>78</v>
      </c>
      <c r="B1127" s="4">
        <v>43315</v>
      </c>
      <c r="C1127" s="3">
        <v>10934</v>
      </c>
      <c r="D1127" s="3">
        <v>10977</v>
      </c>
      <c r="E1127" s="3">
        <v>10928</v>
      </c>
      <c r="F1127" s="3">
        <v>10970</v>
      </c>
      <c r="G1127" s="3">
        <v>107878</v>
      </c>
      <c r="H1127" s="3">
        <v>1.0449999999999999</v>
      </c>
      <c r="I1127" s="2">
        <f t="shared" si="261"/>
        <v>0</v>
      </c>
      <c r="J1127" s="10">
        <f t="shared" si="263"/>
        <v>63</v>
      </c>
      <c r="K1127" s="10">
        <f t="shared" si="262"/>
        <v>36</v>
      </c>
      <c r="L1127" s="10">
        <f t="shared" ca="1" si="251"/>
        <v>0</v>
      </c>
      <c r="M1127" s="10">
        <f t="shared" ca="1" si="253"/>
        <v>0</v>
      </c>
      <c r="N1127" s="30">
        <f t="shared" ca="1" si="254"/>
        <v>0</v>
      </c>
      <c r="O1127" s="10">
        <f t="shared" ca="1" si="255"/>
        <v>0</v>
      </c>
      <c r="P1127" s="29">
        <f t="shared" ca="1" si="256"/>
        <v>0</v>
      </c>
      <c r="Q1127" s="12">
        <f t="shared" ca="1" si="257"/>
        <v>-301600</v>
      </c>
      <c r="R1127" s="10">
        <f t="shared" ca="1" si="258"/>
        <v>0</v>
      </c>
      <c r="S1127" s="10">
        <f t="shared" ca="1" si="248"/>
        <v>0.32481729027422074</v>
      </c>
      <c r="T1127" s="14">
        <f t="shared" ca="1" si="249"/>
        <v>-8.8596207896337889E-2</v>
      </c>
      <c r="U1127" s="12">
        <f t="shared" ca="1" si="259"/>
        <v>7900</v>
      </c>
      <c r="V1127" s="14">
        <f t="shared" ca="1" si="260"/>
        <v>-3917.7215189873418</v>
      </c>
      <c r="W1127" s="12">
        <f t="shared" ca="1" si="250"/>
        <v>-3407.5949367088606</v>
      </c>
      <c r="X1127" s="7">
        <f ca="1">AVERAGE(E1127:OFFSET(F1127,-$X$5+1,0))</f>
        <v>10946.7</v>
      </c>
      <c r="Y1127" s="7">
        <f ca="1">AVERAGE(E1127:OFFSET(F1127,-$Y$5+1,0))</f>
        <v>10908.9</v>
      </c>
      <c r="Z1127" s="7">
        <f t="shared" ca="1" si="252"/>
        <v>0</v>
      </c>
    </row>
    <row r="1128" spans="1:26">
      <c r="A1128" s="3" t="s">
        <v>78</v>
      </c>
      <c r="B1128" s="4">
        <v>43318</v>
      </c>
      <c r="C1128" s="3">
        <v>10990</v>
      </c>
      <c r="D1128" s="3">
        <v>11036</v>
      </c>
      <c r="E1128" s="3">
        <v>10956</v>
      </c>
      <c r="F1128" s="3">
        <v>10982</v>
      </c>
      <c r="G1128" s="3">
        <v>133767</v>
      </c>
      <c r="H1128" s="3">
        <v>1.0449999999999999</v>
      </c>
      <c r="I1128" s="2">
        <f t="shared" si="261"/>
        <v>0</v>
      </c>
      <c r="J1128" s="10">
        <f t="shared" si="263"/>
        <v>20</v>
      </c>
      <c r="K1128" s="10">
        <f t="shared" si="262"/>
        <v>-8</v>
      </c>
      <c r="L1128" s="10">
        <f t="shared" ca="1" si="251"/>
        <v>0</v>
      </c>
      <c r="M1128" s="10">
        <f t="shared" ca="1" si="253"/>
        <v>0</v>
      </c>
      <c r="N1128" s="30">
        <f t="shared" ca="1" si="254"/>
        <v>0</v>
      </c>
      <c r="O1128" s="10">
        <f t="shared" ca="1" si="255"/>
        <v>0</v>
      </c>
      <c r="P1128" s="29">
        <f t="shared" ca="1" si="256"/>
        <v>0</v>
      </c>
      <c r="Q1128" s="12">
        <f t="shared" ca="1" si="257"/>
        <v>-301600</v>
      </c>
      <c r="R1128" s="10">
        <f t="shared" ca="1" si="258"/>
        <v>0</v>
      </c>
      <c r="S1128" s="10">
        <f t="shared" ca="1" si="248"/>
        <v>0.32481729027422074</v>
      </c>
      <c r="T1128" s="14">
        <f t="shared" ca="1" si="249"/>
        <v>-8.8909867788962871E-2</v>
      </c>
      <c r="U1128" s="12">
        <f t="shared" ca="1" si="259"/>
        <v>7900</v>
      </c>
      <c r="V1128" s="14">
        <f t="shared" ca="1" si="260"/>
        <v>-3917.7215189873418</v>
      </c>
      <c r="W1128" s="12">
        <f t="shared" ca="1" si="250"/>
        <v>-3407.5949367088606</v>
      </c>
      <c r="X1128" s="7">
        <f ca="1">AVERAGE(E1128:OFFSET(F1128,-$X$5+1,0))</f>
        <v>10952.8</v>
      </c>
      <c r="Y1128" s="7">
        <f ca="1">AVERAGE(E1128:OFFSET(F1128,-$Y$5+1,0))</f>
        <v>10924.6</v>
      </c>
      <c r="Z1128" s="7">
        <f t="shared" ca="1" si="252"/>
        <v>0</v>
      </c>
    </row>
    <row r="1129" spans="1:26">
      <c r="A1129" s="3" t="s">
        <v>78</v>
      </c>
      <c r="B1129" s="4">
        <v>43319</v>
      </c>
      <c r="C1129" s="3">
        <v>10986</v>
      </c>
      <c r="D1129" s="3">
        <v>11003</v>
      </c>
      <c r="E1129" s="3">
        <v>10951</v>
      </c>
      <c r="F1129" s="3">
        <v>10968</v>
      </c>
      <c r="G1129" s="3">
        <v>104241</v>
      </c>
      <c r="H1129" s="3">
        <v>1.0449999999999999</v>
      </c>
      <c r="I1129" s="2">
        <f t="shared" si="261"/>
        <v>0</v>
      </c>
      <c r="J1129" s="10">
        <f t="shared" si="263"/>
        <v>4</v>
      </c>
      <c r="K1129" s="10">
        <f t="shared" si="262"/>
        <v>-18</v>
      </c>
      <c r="L1129" s="10">
        <f t="shared" ca="1" si="251"/>
        <v>0</v>
      </c>
      <c r="M1129" s="10">
        <f t="shared" ca="1" si="253"/>
        <v>0</v>
      </c>
      <c r="N1129" s="30">
        <f t="shared" ca="1" si="254"/>
        <v>0</v>
      </c>
      <c r="O1129" s="10">
        <f t="shared" ca="1" si="255"/>
        <v>0</v>
      </c>
      <c r="P1129" s="29">
        <f t="shared" ca="1" si="256"/>
        <v>0</v>
      </c>
      <c r="Q1129" s="12">
        <f t="shared" ca="1" si="257"/>
        <v>-301600</v>
      </c>
      <c r="R1129" s="10">
        <f t="shared" ca="1" si="258"/>
        <v>0</v>
      </c>
      <c r="S1129" s="10">
        <f t="shared" ca="1" si="248"/>
        <v>0.32481729027422074</v>
      </c>
      <c r="T1129" s="14">
        <f t="shared" ca="1" si="249"/>
        <v>-8.891199445751595E-2</v>
      </c>
      <c r="U1129" s="12">
        <f t="shared" ca="1" si="259"/>
        <v>7900</v>
      </c>
      <c r="V1129" s="14">
        <f t="shared" ca="1" si="260"/>
        <v>-3917.7215189873418</v>
      </c>
      <c r="W1129" s="12">
        <f t="shared" ca="1" si="250"/>
        <v>-3407.5949367088606</v>
      </c>
      <c r="X1129" s="7">
        <f ca="1">AVERAGE(E1129:OFFSET(F1129,-$X$5+1,0))</f>
        <v>10954.5</v>
      </c>
      <c r="Y1129" s="7">
        <f ca="1">AVERAGE(E1129:OFFSET(F1129,-$Y$5+1,0))</f>
        <v>10936.9</v>
      </c>
      <c r="Z1129" s="7">
        <f t="shared" ca="1" si="252"/>
        <v>0</v>
      </c>
    </row>
    <row r="1130" spans="1:26">
      <c r="A1130" s="3" t="s">
        <v>78</v>
      </c>
      <c r="B1130" s="4">
        <v>43320</v>
      </c>
      <c r="C1130" s="3">
        <v>11000</v>
      </c>
      <c r="D1130" s="3">
        <v>11070</v>
      </c>
      <c r="E1130" s="3">
        <v>10997</v>
      </c>
      <c r="F1130" s="3">
        <v>11049</v>
      </c>
      <c r="G1130" s="3">
        <v>115922</v>
      </c>
      <c r="H1130" s="3">
        <v>1.0449999999999999</v>
      </c>
      <c r="I1130" s="2">
        <f t="shared" si="261"/>
        <v>0</v>
      </c>
      <c r="J1130" s="10">
        <f t="shared" si="263"/>
        <v>32</v>
      </c>
      <c r="K1130" s="10">
        <f t="shared" si="262"/>
        <v>49</v>
      </c>
      <c r="L1130" s="10">
        <f t="shared" ca="1" si="251"/>
        <v>-1</v>
      </c>
      <c r="M1130" s="10">
        <f t="shared" ca="1" si="253"/>
        <v>0</v>
      </c>
      <c r="N1130" s="30">
        <f t="shared" ca="1" si="254"/>
        <v>0</v>
      </c>
      <c r="O1130" s="10">
        <f t="shared" ca="1" si="255"/>
        <v>0</v>
      </c>
      <c r="P1130" s="29">
        <f t="shared" ca="1" si="256"/>
        <v>0</v>
      </c>
      <c r="Q1130" s="12">
        <f t="shared" ca="1" si="257"/>
        <v>-301600</v>
      </c>
      <c r="R1130" s="10">
        <f t="shared" ca="1" si="258"/>
        <v>0</v>
      </c>
      <c r="S1130" s="10">
        <f t="shared" ca="1" si="248"/>
        <v>0.32481729027422074</v>
      </c>
      <c r="T1130" s="14">
        <f t="shared" ca="1" si="249"/>
        <v>-8.891199445751595E-2</v>
      </c>
      <c r="U1130" s="12">
        <f t="shared" ca="1" si="259"/>
        <v>7900</v>
      </c>
      <c r="V1130" s="14">
        <f t="shared" ca="1" si="260"/>
        <v>-3917.7215189873418</v>
      </c>
      <c r="W1130" s="12">
        <f t="shared" ca="1" si="250"/>
        <v>-3407.5949367088606</v>
      </c>
      <c r="X1130" s="7">
        <f ca="1">AVERAGE(E1130:OFFSET(F1130,-$X$5+1,0))</f>
        <v>10953.4</v>
      </c>
      <c r="Y1130" s="7">
        <f ca="1">AVERAGE(E1130:OFFSET(F1130,-$Y$5+1,0))</f>
        <v>10953.4</v>
      </c>
      <c r="Z1130" s="7">
        <f t="shared" ca="1" si="252"/>
        <v>-1</v>
      </c>
    </row>
    <row r="1131" spans="1:26">
      <c r="A1131" s="3" t="s">
        <v>78</v>
      </c>
      <c r="B1131" s="4">
        <v>43321</v>
      </c>
      <c r="C1131" s="3">
        <v>11031</v>
      </c>
      <c r="D1131" s="3">
        <v>11038</v>
      </c>
      <c r="E1131" s="3">
        <v>10969</v>
      </c>
      <c r="F1131" s="3">
        <v>11017</v>
      </c>
      <c r="G1131" s="3">
        <v>118059</v>
      </c>
      <c r="H1131" s="3">
        <v>1.0449999999999999</v>
      </c>
      <c r="I1131" s="2">
        <f t="shared" si="261"/>
        <v>0</v>
      </c>
      <c r="J1131" s="10">
        <f t="shared" si="263"/>
        <v>-18</v>
      </c>
      <c r="K1131" s="10">
        <f t="shared" si="262"/>
        <v>-14</v>
      </c>
      <c r="L1131" s="10">
        <f t="shared" ca="1" si="251"/>
        <v>1</v>
      </c>
      <c r="M1131" s="10">
        <f t="shared" ca="1" si="253"/>
        <v>-1</v>
      </c>
      <c r="N1131" s="30">
        <f t="shared" ca="1" si="254"/>
        <v>0</v>
      </c>
      <c r="O1131" s="10">
        <f t="shared" ca="1" si="255"/>
        <v>2206200</v>
      </c>
      <c r="P1131" s="29">
        <f t="shared" ca="1" si="256"/>
        <v>2300</v>
      </c>
      <c r="Q1131" s="12">
        <f t="shared" ca="1" si="257"/>
        <v>-299300</v>
      </c>
      <c r="R1131" s="10">
        <f t="shared" ca="1" si="258"/>
        <v>0.10425165442842897</v>
      </c>
      <c r="S1131" s="10">
        <f t="shared" ca="1" si="248"/>
        <v>0.33678972244778976</v>
      </c>
      <c r="T1131" s="14">
        <f t="shared" ca="1" si="249"/>
        <v>-8.7429686767288822E-2</v>
      </c>
      <c r="U1131" s="12">
        <f t="shared" ca="1" si="259"/>
        <v>7900</v>
      </c>
      <c r="V1131" s="14">
        <f t="shared" ca="1" si="260"/>
        <v>-3888.6075949367087</v>
      </c>
      <c r="W1131" s="12">
        <f t="shared" ca="1" si="250"/>
        <v>-3407.5949367088606</v>
      </c>
      <c r="X1131" s="7">
        <f ca="1">AVERAGE(E1131:OFFSET(F1131,-$X$5+1,0))</f>
        <v>10978.7</v>
      </c>
      <c r="Y1131" s="7">
        <f ca="1">AVERAGE(E1131:OFFSET(F1131,-$Y$5+1,0))</f>
        <v>10963.3</v>
      </c>
      <c r="Z1131" s="7">
        <f t="shared" ca="1" si="252"/>
        <v>1</v>
      </c>
    </row>
    <row r="1132" spans="1:26">
      <c r="A1132" s="3" t="s">
        <v>78</v>
      </c>
      <c r="B1132" s="4">
        <v>43322</v>
      </c>
      <c r="C1132" s="3">
        <v>10970</v>
      </c>
      <c r="D1132" s="3">
        <v>11022</v>
      </c>
      <c r="E1132" s="3">
        <v>10953</v>
      </c>
      <c r="F1132" s="3">
        <v>10959</v>
      </c>
      <c r="G1132" s="3">
        <v>121790</v>
      </c>
      <c r="H1132" s="3">
        <v>1.0449999999999999</v>
      </c>
      <c r="I1132" s="2">
        <f t="shared" si="261"/>
        <v>0</v>
      </c>
      <c r="J1132" s="10">
        <f t="shared" si="263"/>
        <v>-47</v>
      </c>
      <c r="K1132" s="10">
        <f t="shared" si="262"/>
        <v>-11</v>
      </c>
      <c r="L1132" s="10">
        <f t="shared" ca="1" si="251"/>
        <v>0</v>
      </c>
      <c r="M1132" s="10">
        <f t="shared" ca="1" si="253"/>
        <v>0</v>
      </c>
      <c r="N1132" s="30">
        <f t="shared" ca="1" si="254"/>
        <v>0</v>
      </c>
      <c r="O1132" s="10">
        <f t="shared" ca="1" si="255"/>
        <v>0</v>
      </c>
      <c r="P1132" s="29">
        <f t="shared" ca="1" si="256"/>
        <v>8900</v>
      </c>
      <c r="Q1132" s="12">
        <f t="shared" ca="1" si="257"/>
        <v>-290400</v>
      </c>
      <c r="R1132" s="10">
        <f t="shared" ca="1" si="258"/>
        <v>0.40340857583174689</v>
      </c>
      <c r="S1132" s="10">
        <f t="shared" ref="S1132:S1195" ca="1" si="264">100*SUM(P893:P1132)/SUM(N893:N1132)</f>
        <v>0.38311782955420909</v>
      </c>
      <c r="T1132" s="14">
        <f t="shared" ca="1" si="249"/>
        <v>-8.1628648730602077E-2</v>
      </c>
      <c r="U1132" s="12">
        <f t="shared" ca="1" si="259"/>
        <v>7900</v>
      </c>
      <c r="V1132" s="14">
        <f t="shared" ca="1" si="260"/>
        <v>-3775.9493670886077</v>
      </c>
      <c r="W1132" s="12">
        <f t="shared" ca="1" si="250"/>
        <v>-3407.5949367088606</v>
      </c>
      <c r="X1132" s="7">
        <f ca="1">AVERAGE(E1132:OFFSET(F1132,-$X$5+1,0))</f>
        <v>10980.1</v>
      </c>
      <c r="Y1132" s="7">
        <f ca="1">AVERAGE(E1132:OFFSET(F1132,-$Y$5+1,0))</f>
        <v>10963.4</v>
      </c>
      <c r="Z1132" s="7">
        <f t="shared" ca="1" si="252"/>
        <v>0</v>
      </c>
    </row>
    <row r="1133" spans="1:26">
      <c r="A1133" s="3" t="s">
        <v>78</v>
      </c>
      <c r="B1133" s="4">
        <v>43325</v>
      </c>
      <c r="C1133" s="3">
        <v>10909</v>
      </c>
      <c r="D1133" s="3">
        <v>10912</v>
      </c>
      <c r="E1133" s="3">
        <v>10692</v>
      </c>
      <c r="F1133" s="3">
        <v>10757</v>
      </c>
      <c r="G1133" s="3">
        <v>228396</v>
      </c>
      <c r="H1133" s="3">
        <v>1.0449999999999999</v>
      </c>
      <c r="I1133" s="2">
        <f t="shared" si="261"/>
        <v>0</v>
      </c>
      <c r="J1133" s="10">
        <f t="shared" si="263"/>
        <v>-50</v>
      </c>
      <c r="K1133" s="10">
        <f t="shared" si="262"/>
        <v>-152</v>
      </c>
      <c r="L1133" s="10">
        <f t="shared" ca="1" si="251"/>
        <v>-1</v>
      </c>
      <c r="M1133" s="10">
        <f t="shared" ca="1" si="253"/>
        <v>0</v>
      </c>
      <c r="N1133" s="30">
        <f t="shared" ca="1" si="254"/>
        <v>0</v>
      </c>
      <c r="O1133" s="10">
        <f t="shared" ca="1" si="255"/>
        <v>0</v>
      </c>
      <c r="P1133" s="29">
        <f t="shared" ca="1" si="256"/>
        <v>0</v>
      </c>
      <c r="Q1133" s="12">
        <f t="shared" ca="1" si="257"/>
        <v>-290400</v>
      </c>
      <c r="R1133" s="10">
        <f t="shared" ca="1" si="258"/>
        <v>0</v>
      </c>
      <c r="S1133" s="10">
        <f t="shared" ca="1" si="264"/>
        <v>0.38311782955420909</v>
      </c>
      <c r="T1133" s="14">
        <f t="shared" ref="T1133:T1196" ca="1" si="265">(S1133-AVERAGE(H864:H1133))/(_xlfn.STDEV.S(R864:R1133)*SQRT(240))</f>
        <v>-8.1628648730602077E-2</v>
      </c>
      <c r="U1133" s="12">
        <f t="shared" ca="1" si="259"/>
        <v>7900</v>
      </c>
      <c r="V1133" s="14">
        <f t="shared" ca="1" si="260"/>
        <v>-3775.9493670886077</v>
      </c>
      <c r="W1133" s="12">
        <f t="shared" ref="W1133:W1196" ca="1" si="266">MAX(V894:V1133)</f>
        <v>-3407.5949367088606</v>
      </c>
      <c r="X1133" s="7">
        <f ca="1">AVERAGE(E1133:OFFSET(F1133,-$X$5+1,0))</f>
        <v>10931.2</v>
      </c>
      <c r="Y1133" s="7">
        <f ca="1">AVERAGE(E1133:OFFSET(F1133,-$Y$5+1,0))</f>
        <v>10942</v>
      </c>
      <c r="Z1133" s="7">
        <f t="shared" ca="1" si="252"/>
        <v>-1</v>
      </c>
    </row>
    <row r="1134" spans="1:26">
      <c r="A1134" s="3" t="s">
        <v>78</v>
      </c>
      <c r="B1134" s="4">
        <v>43326</v>
      </c>
      <c r="C1134" s="3">
        <v>10791</v>
      </c>
      <c r="D1134" s="3">
        <v>10831</v>
      </c>
      <c r="E1134" s="3">
        <v>10756</v>
      </c>
      <c r="F1134" s="3">
        <v>10820</v>
      </c>
      <c r="G1134" s="3">
        <v>145603</v>
      </c>
      <c r="H1134" s="3">
        <v>1.0449999999999999</v>
      </c>
      <c r="I1134" s="2">
        <f t="shared" si="261"/>
        <v>0</v>
      </c>
      <c r="J1134" s="10">
        <f t="shared" si="263"/>
        <v>34</v>
      </c>
      <c r="K1134" s="10">
        <f t="shared" si="262"/>
        <v>29</v>
      </c>
      <c r="L1134" s="10">
        <f t="shared" ca="1" si="251"/>
        <v>0</v>
      </c>
      <c r="M1134" s="10">
        <f t="shared" ca="1" si="253"/>
        <v>-1</v>
      </c>
      <c r="N1134" s="30">
        <f t="shared" ca="1" si="254"/>
        <v>0</v>
      </c>
      <c r="O1134" s="10">
        <f t="shared" ca="1" si="255"/>
        <v>2158200</v>
      </c>
      <c r="P1134" s="29">
        <f t="shared" ca="1" si="256"/>
        <v>-6300</v>
      </c>
      <c r="Q1134" s="12">
        <f t="shared" ca="1" si="257"/>
        <v>-296700</v>
      </c>
      <c r="R1134" s="10">
        <f t="shared" ca="1" si="258"/>
        <v>-0.29190992493744788</v>
      </c>
      <c r="S1134" s="10">
        <f t="shared" ca="1" si="264"/>
        <v>0.35032377620921568</v>
      </c>
      <c r="T1134" s="14">
        <f t="shared" ca="1" si="265"/>
        <v>-8.5617074935220222E-2</v>
      </c>
      <c r="U1134" s="12">
        <f t="shared" ca="1" si="259"/>
        <v>7900</v>
      </c>
      <c r="V1134" s="14">
        <f t="shared" ca="1" si="260"/>
        <v>-3855.6962025316457</v>
      </c>
      <c r="W1134" s="12">
        <f t="shared" ca="1" si="266"/>
        <v>-3407.5949367088606</v>
      </c>
      <c r="X1134" s="7">
        <f ca="1">AVERAGE(E1134:OFFSET(F1134,-$X$5+1,0))</f>
        <v>10896.9</v>
      </c>
      <c r="Y1134" s="7">
        <f ca="1">AVERAGE(E1134:OFFSET(F1134,-$Y$5+1,0))</f>
        <v>10925.7</v>
      </c>
      <c r="Z1134" s="7">
        <f t="shared" ca="1" si="252"/>
        <v>0</v>
      </c>
    </row>
    <row r="1135" spans="1:26">
      <c r="A1135" s="3" t="s">
        <v>78</v>
      </c>
      <c r="B1135" s="4">
        <v>43327</v>
      </c>
      <c r="C1135" s="3">
        <v>10835</v>
      </c>
      <c r="D1135" s="3">
        <v>10841</v>
      </c>
      <c r="E1135" s="3">
        <v>10696</v>
      </c>
      <c r="F1135" s="3">
        <v>10737</v>
      </c>
      <c r="G1135" s="3">
        <v>112549</v>
      </c>
      <c r="H1135" s="3">
        <v>1.0449999999999999</v>
      </c>
      <c r="I1135" s="2">
        <f t="shared" si="261"/>
        <v>1</v>
      </c>
      <c r="J1135" s="10">
        <f t="shared" si="263"/>
        <v>15</v>
      </c>
      <c r="K1135" s="10">
        <f t="shared" si="262"/>
        <v>-98</v>
      </c>
      <c r="L1135" s="10">
        <f t="shared" ca="1" si="251"/>
        <v>0</v>
      </c>
      <c r="M1135" s="10">
        <f t="shared" si="253"/>
        <v>0</v>
      </c>
      <c r="N1135" s="30">
        <f t="shared" si="254"/>
        <v>0</v>
      </c>
      <c r="O1135" s="10">
        <f t="shared" si="255"/>
        <v>0</v>
      </c>
      <c r="P1135" s="29">
        <f t="shared" ca="1" si="256"/>
        <v>-3500</v>
      </c>
      <c r="Q1135" s="12">
        <f t="shared" ca="1" si="257"/>
        <v>-300200</v>
      </c>
      <c r="R1135" s="10">
        <f t="shared" ca="1" si="258"/>
        <v>-0.16217218052080437</v>
      </c>
      <c r="S1135" s="10">
        <f t="shared" ca="1" si="264"/>
        <v>0.28535748465255245</v>
      </c>
      <c r="T1135" s="14">
        <f t="shared" ca="1" si="265"/>
        <v>-9.3633517447471407E-2</v>
      </c>
      <c r="U1135" s="12">
        <f t="shared" ca="1" si="259"/>
        <v>7900</v>
      </c>
      <c r="V1135" s="14">
        <f t="shared" ca="1" si="260"/>
        <v>-3900</v>
      </c>
      <c r="W1135" s="12">
        <f t="shared" ca="1" si="266"/>
        <v>-3407.5949367088606</v>
      </c>
      <c r="X1135" s="7">
        <f ca="1">AVERAGE(E1135:OFFSET(F1135,-$X$5+1,0))</f>
        <v>10835.6</v>
      </c>
      <c r="Y1135" s="7">
        <f ca="1">AVERAGE(E1135:OFFSET(F1135,-$Y$5+1,0))</f>
        <v>10894.5</v>
      </c>
      <c r="Z1135" s="7">
        <f t="shared" ca="1" si="252"/>
        <v>0</v>
      </c>
    </row>
    <row r="1136" spans="1:26">
      <c r="A1136" s="3" t="s">
        <v>79</v>
      </c>
      <c r="B1136" s="4">
        <v>43328</v>
      </c>
      <c r="C1136" s="3">
        <v>10610</v>
      </c>
      <c r="D1136" s="3">
        <v>10724</v>
      </c>
      <c r="E1136" s="3">
        <v>10591</v>
      </c>
      <c r="F1136" s="3">
        <v>10690</v>
      </c>
      <c r="G1136" s="3">
        <v>160436</v>
      </c>
      <c r="H1136" s="3">
        <v>1.0449999999999999</v>
      </c>
      <c r="I1136" s="2">
        <f t="shared" si="261"/>
        <v>0</v>
      </c>
      <c r="J1136" s="10">
        <f t="shared" si="263"/>
        <v>-127</v>
      </c>
      <c r="K1136" s="10">
        <f t="shared" si="262"/>
        <v>80</v>
      </c>
      <c r="L1136" s="10">
        <f t="shared" ca="1" si="251"/>
        <v>0</v>
      </c>
      <c r="M1136" s="10">
        <f t="shared" ca="1" si="253"/>
        <v>0</v>
      </c>
      <c r="N1136" s="30">
        <f t="shared" ca="1" si="254"/>
        <v>0</v>
      </c>
      <c r="O1136" s="10">
        <f t="shared" ca="1" si="255"/>
        <v>0</v>
      </c>
      <c r="P1136" s="29">
        <f t="shared" ca="1" si="256"/>
        <v>0</v>
      </c>
      <c r="Q1136" s="12">
        <f t="shared" ca="1" si="257"/>
        <v>-300200</v>
      </c>
      <c r="R1136" s="10">
        <f t="shared" ca="1" si="258"/>
        <v>0</v>
      </c>
      <c r="S1136" s="10">
        <f t="shared" ca="1" si="264"/>
        <v>0.24100744613804534</v>
      </c>
      <c r="T1136" s="14">
        <f t="shared" ca="1" si="265"/>
        <v>-9.9121927179633931E-2</v>
      </c>
      <c r="U1136" s="12">
        <f t="shared" ca="1" si="259"/>
        <v>7900</v>
      </c>
      <c r="V1136" s="14">
        <f t="shared" ca="1" si="260"/>
        <v>-3900</v>
      </c>
      <c r="W1136" s="12">
        <f t="shared" ca="1" si="266"/>
        <v>-3407.5949367088606</v>
      </c>
      <c r="X1136" s="7">
        <f ca="1">AVERAGE(E1136:OFFSET(F1136,-$X$5+1,0))</f>
        <v>10765.1</v>
      </c>
      <c r="Y1136" s="7">
        <f ca="1">AVERAGE(E1136:OFFSET(F1136,-$Y$5+1,0))</f>
        <v>10871.9</v>
      </c>
      <c r="Z1136" s="7">
        <f t="shared" ca="1" si="252"/>
        <v>0</v>
      </c>
    </row>
    <row r="1137" spans="1:26">
      <c r="A1137" s="3" t="s">
        <v>79</v>
      </c>
      <c r="B1137" s="4">
        <v>43329</v>
      </c>
      <c r="C1137" s="3">
        <v>10723</v>
      </c>
      <c r="D1137" s="3">
        <v>10732</v>
      </c>
      <c r="E1137" s="3">
        <v>10647</v>
      </c>
      <c r="F1137" s="3">
        <v>10662</v>
      </c>
      <c r="G1137" s="3">
        <v>118840</v>
      </c>
      <c r="H1137" s="3">
        <v>1.0449999999999999</v>
      </c>
      <c r="I1137" s="2">
        <f t="shared" si="261"/>
        <v>0</v>
      </c>
      <c r="J1137" s="10">
        <f t="shared" si="263"/>
        <v>33</v>
      </c>
      <c r="K1137" s="10">
        <f t="shared" si="262"/>
        <v>-61</v>
      </c>
      <c r="L1137" s="10">
        <f t="shared" ca="1" si="251"/>
        <v>0</v>
      </c>
      <c r="M1137" s="10">
        <f t="shared" ca="1" si="253"/>
        <v>0</v>
      </c>
      <c r="N1137" s="30">
        <f t="shared" ca="1" si="254"/>
        <v>0</v>
      </c>
      <c r="O1137" s="10">
        <f t="shared" ca="1" si="255"/>
        <v>0</v>
      </c>
      <c r="P1137" s="29">
        <f t="shared" ca="1" si="256"/>
        <v>0</v>
      </c>
      <c r="Q1137" s="12">
        <f t="shared" ca="1" si="257"/>
        <v>-300200</v>
      </c>
      <c r="R1137" s="10">
        <f t="shared" ca="1" si="258"/>
        <v>0</v>
      </c>
      <c r="S1137" s="10">
        <f t="shared" ca="1" si="264"/>
        <v>0.23750612730795267</v>
      </c>
      <c r="T1137" s="14">
        <f t="shared" ca="1" si="265"/>
        <v>-9.9614322886257142E-2</v>
      </c>
      <c r="U1137" s="12">
        <f t="shared" ca="1" si="259"/>
        <v>7900</v>
      </c>
      <c r="V1137" s="14">
        <f t="shared" ca="1" si="260"/>
        <v>-3900</v>
      </c>
      <c r="W1137" s="12">
        <f t="shared" ca="1" si="266"/>
        <v>-3407.5949367088606</v>
      </c>
      <c r="X1137" s="7">
        <f ca="1">AVERAGE(E1137:OFFSET(F1137,-$X$5+1,0))</f>
        <v>10704.8</v>
      </c>
      <c r="Y1137" s="7">
        <f ca="1">AVERAGE(E1137:OFFSET(F1137,-$Y$5+1,0))</f>
        <v>10842.45</v>
      </c>
      <c r="Z1137" s="7">
        <f t="shared" ca="1" si="252"/>
        <v>0</v>
      </c>
    </row>
    <row r="1138" spans="1:26">
      <c r="A1138" s="3" t="s">
        <v>79</v>
      </c>
      <c r="B1138" s="4">
        <v>43332</v>
      </c>
      <c r="C1138" s="3">
        <v>10687</v>
      </c>
      <c r="D1138" s="3">
        <v>10715</v>
      </c>
      <c r="E1138" s="3">
        <v>10652</v>
      </c>
      <c r="F1138" s="3">
        <v>10671</v>
      </c>
      <c r="G1138" s="3">
        <v>120121</v>
      </c>
      <c r="H1138" s="3">
        <v>1.0449999999999999</v>
      </c>
      <c r="I1138" s="2">
        <f t="shared" si="261"/>
        <v>0</v>
      </c>
      <c r="J1138" s="10">
        <f t="shared" si="263"/>
        <v>25</v>
      </c>
      <c r="K1138" s="10">
        <f t="shared" si="262"/>
        <v>-16</v>
      </c>
      <c r="L1138" s="10">
        <f t="shared" ca="1" si="251"/>
        <v>0</v>
      </c>
      <c r="M1138" s="10">
        <f t="shared" ca="1" si="253"/>
        <v>0</v>
      </c>
      <c r="N1138" s="30">
        <f t="shared" ca="1" si="254"/>
        <v>0</v>
      </c>
      <c r="O1138" s="10">
        <f t="shared" ca="1" si="255"/>
        <v>0</v>
      </c>
      <c r="P1138" s="29">
        <f t="shared" ca="1" si="256"/>
        <v>0</v>
      </c>
      <c r="Q1138" s="12">
        <f t="shared" ca="1" si="257"/>
        <v>-300200</v>
      </c>
      <c r="R1138" s="10">
        <f t="shared" ca="1" si="258"/>
        <v>0</v>
      </c>
      <c r="S1138" s="10">
        <f t="shared" ca="1" si="264"/>
        <v>0.26901799677878668</v>
      </c>
      <c r="T1138" s="14">
        <f t="shared" ca="1" si="265"/>
        <v>-9.5762378108162974E-2</v>
      </c>
      <c r="U1138" s="12">
        <f t="shared" ca="1" si="259"/>
        <v>7900</v>
      </c>
      <c r="V1138" s="14">
        <f t="shared" ca="1" si="260"/>
        <v>-3900</v>
      </c>
      <c r="W1138" s="12">
        <f t="shared" ca="1" si="266"/>
        <v>-3407.5949367088606</v>
      </c>
      <c r="X1138" s="7">
        <f ca="1">AVERAGE(E1138:OFFSET(F1138,-$X$5+1,0))</f>
        <v>10692.2</v>
      </c>
      <c r="Y1138" s="7">
        <f ca="1">AVERAGE(E1138:OFFSET(F1138,-$Y$5+1,0))</f>
        <v>10811.7</v>
      </c>
      <c r="Z1138" s="7">
        <f t="shared" ca="1" si="252"/>
        <v>0</v>
      </c>
    </row>
    <row r="1139" spans="1:26">
      <c r="A1139" s="3" t="s">
        <v>79</v>
      </c>
      <c r="B1139" s="4">
        <v>43333</v>
      </c>
      <c r="C1139" s="3">
        <v>10698</v>
      </c>
      <c r="D1139" s="3">
        <v>10774</v>
      </c>
      <c r="E1139" s="3">
        <v>10682</v>
      </c>
      <c r="F1139" s="3">
        <v>10767</v>
      </c>
      <c r="G1139" s="3">
        <v>126191</v>
      </c>
      <c r="H1139" s="3">
        <v>1.0449999999999999</v>
      </c>
      <c r="I1139" s="2">
        <f t="shared" si="261"/>
        <v>0</v>
      </c>
      <c r="J1139" s="10">
        <f t="shared" si="263"/>
        <v>27</v>
      </c>
      <c r="K1139" s="10">
        <f t="shared" si="262"/>
        <v>69</v>
      </c>
      <c r="L1139" s="10">
        <f t="shared" ca="1" si="251"/>
        <v>0</v>
      </c>
      <c r="M1139" s="10">
        <f t="shared" ca="1" si="253"/>
        <v>0</v>
      </c>
      <c r="N1139" s="30">
        <f t="shared" ca="1" si="254"/>
        <v>0</v>
      </c>
      <c r="O1139" s="10">
        <f t="shared" ca="1" si="255"/>
        <v>0</v>
      </c>
      <c r="P1139" s="29">
        <f t="shared" ca="1" si="256"/>
        <v>0</v>
      </c>
      <c r="Q1139" s="12">
        <f t="shared" ca="1" si="257"/>
        <v>-300200</v>
      </c>
      <c r="R1139" s="10">
        <f t="shared" ca="1" si="258"/>
        <v>0</v>
      </c>
      <c r="S1139" s="10">
        <f t="shared" ca="1" si="264"/>
        <v>0.18965476996335287</v>
      </c>
      <c r="T1139" s="14">
        <f t="shared" ca="1" si="265"/>
        <v>-0.10556730311259128</v>
      </c>
      <c r="U1139" s="12">
        <f t="shared" ca="1" si="259"/>
        <v>7900</v>
      </c>
      <c r="V1139" s="14">
        <f t="shared" ca="1" si="260"/>
        <v>-3900</v>
      </c>
      <c r="W1139" s="12">
        <f t="shared" ca="1" si="266"/>
        <v>-3407.5949367088606</v>
      </c>
      <c r="X1139" s="7">
        <f ca="1">AVERAGE(E1139:OFFSET(F1139,-$X$5+1,0))</f>
        <v>10679.5</v>
      </c>
      <c r="Y1139" s="7">
        <f ca="1">AVERAGE(E1139:OFFSET(F1139,-$Y$5+1,0))</f>
        <v>10788.2</v>
      </c>
      <c r="Z1139" s="7">
        <f t="shared" ca="1" si="252"/>
        <v>0</v>
      </c>
    </row>
    <row r="1140" spans="1:26">
      <c r="A1140" s="3" t="s">
        <v>79</v>
      </c>
      <c r="B1140" s="4">
        <v>43334</v>
      </c>
      <c r="C1140" s="3">
        <v>10752</v>
      </c>
      <c r="D1140" s="3">
        <v>10795</v>
      </c>
      <c r="E1140" s="3">
        <v>10733</v>
      </c>
      <c r="F1140" s="3">
        <v>10764</v>
      </c>
      <c r="G1140" s="3">
        <v>124070</v>
      </c>
      <c r="H1140" s="3">
        <v>1.0449999999999999</v>
      </c>
      <c r="I1140" s="2">
        <f t="shared" si="261"/>
        <v>0</v>
      </c>
      <c r="J1140" s="10">
        <f t="shared" si="263"/>
        <v>-15</v>
      </c>
      <c r="K1140" s="10">
        <f t="shared" si="262"/>
        <v>12</v>
      </c>
      <c r="L1140" s="10">
        <f t="shared" ca="1" si="251"/>
        <v>0</v>
      </c>
      <c r="M1140" s="10">
        <f t="shared" ca="1" si="253"/>
        <v>0</v>
      </c>
      <c r="N1140" s="30">
        <f t="shared" ca="1" si="254"/>
        <v>0</v>
      </c>
      <c r="O1140" s="10">
        <f t="shared" ca="1" si="255"/>
        <v>0</v>
      </c>
      <c r="P1140" s="29">
        <f t="shared" ca="1" si="256"/>
        <v>0</v>
      </c>
      <c r="Q1140" s="12">
        <f t="shared" ca="1" si="257"/>
        <v>-300200</v>
      </c>
      <c r="R1140" s="10">
        <f t="shared" ca="1" si="258"/>
        <v>0</v>
      </c>
      <c r="S1140" s="10">
        <f t="shared" ca="1" si="264"/>
        <v>0.16631264442940175</v>
      </c>
      <c r="T1140" s="14">
        <f t="shared" ca="1" si="265"/>
        <v>-0.10844820447849848</v>
      </c>
      <c r="U1140" s="12">
        <f t="shared" ca="1" si="259"/>
        <v>7900</v>
      </c>
      <c r="V1140" s="14">
        <f t="shared" ca="1" si="260"/>
        <v>-3900</v>
      </c>
      <c r="W1140" s="12">
        <f t="shared" ca="1" si="266"/>
        <v>-3407.5949367088606</v>
      </c>
      <c r="X1140" s="7">
        <f ca="1">AVERAGE(E1140:OFFSET(F1140,-$X$5+1,0))</f>
        <v>10685.9</v>
      </c>
      <c r="Y1140" s="7">
        <f ca="1">AVERAGE(E1140:OFFSET(F1140,-$Y$5+1,0))</f>
        <v>10760.75</v>
      </c>
      <c r="Z1140" s="7">
        <f t="shared" ca="1" si="252"/>
        <v>0</v>
      </c>
    </row>
    <row r="1141" spans="1:26">
      <c r="A1141" s="3" t="s">
        <v>79</v>
      </c>
      <c r="B1141" s="4">
        <v>43335</v>
      </c>
      <c r="C1141" s="3">
        <v>10795</v>
      </c>
      <c r="D1141" s="3">
        <v>10845</v>
      </c>
      <c r="E1141" s="3">
        <v>10758</v>
      </c>
      <c r="F1141" s="3">
        <v>10842</v>
      </c>
      <c r="G1141" s="3">
        <v>150200</v>
      </c>
      <c r="H1141" s="3">
        <v>1.0449999999999999</v>
      </c>
      <c r="I1141" s="2">
        <f t="shared" si="261"/>
        <v>0</v>
      </c>
      <c r="J1141" s="10">
        <f t="shared" si="263"/>
        <v>31</v>
      </c>
      <c r="K1141" s="10">
        <f t="shared" si="262"/>
        <v>47</v>
      </c>
      <c r="L1141" s="10">
        <f t="shared" ca="1" si="251"/>
        <v>0</v>
      </c>
      <c r="M1141" s="10">
        <f t="shared" ca="1" si="253"/>
        <v>0</v>
      </c>
      <c r="N1141" s="30">
        <f t="shared" ca="1" si="254"/>
        <v>0</v>
      </c>
      <c r="O1141" s="10">
        <f t="shared" ca="1" si="255"/>
        <v>0</v>
      </c>
      <c r="P1141" s="29">
        <f t="shared" ca="1" si="256"/>
        <v>0</v>
      </c>
      <c r="Q1141" s="12">
        <f t="shared" ca="1" si="257"/>
        <v>-300200</v>
      </c>
      <c r="R1141" s="10">
        <f t="shared" ca="1" si="258"/>
        <v>0</v>
      </c>
      <c r="S1141" s="10">
        <f t="shared" ca="1" si="264"/>
        <v>0.13713498751196285</v>
      </c>
      <c r="T1141" s="14">
        <f t="shared" ca="1" si="265"/>
        <v>-0.11204933118588248</v>
      </c>
      <c r="U1141" s="12">
        <f t="shared" ca="1" si="259"/>
        <v>7900</v>
      </c>
      <c r="V1141" s="14">
        <f t="shared" ca="1" si="260"/>
        <v>-3900</v>
      </c>
      <c r="W1141" s="12">
        <f t="shared" ca="1" si="266"/>
        <v>-3407.5949367088606</v>
      </c>
      <c r="X1141" s="7">
        <f ca="1">AVERAGE(E1141:OFFSET(F1141,-$X$5+1,0))</f>
        <v>10717.8</v>
      </c>
      <c r="Y1141" s="7">
        <f ca="1">AVERAGE(E1141:OFFSET(F1141,-$Y$5+1,0))</f>
        <v>10741.45</v>
      </c>
      <c r="Z1141" s="7">
        <f t="shared" ca="1" si="252"/>
        <v>0</v>
      </c>
    </row>
    <row r="1142" spans="1:26">
      <c r="A1142" s="3" t="s">
        <v>79</v>
      </c>
      <c r="B1142" s="4">
        <v>43336</v>
      </c>
      <c r="C1142" s="3">
        <v>10811</v>
      </c>
      <c r="D1142" s="3">
        <v>10830</v>
      </c>
      <c r="E1142" s="3">
        <v>10728</v>
      </c>
      <c r="F1142" s="3">
        <v>10788</v>
      </c>
      <c r="G1142" s="3">
        <v>143666</v>
      </c>
      <c r="H1142" s="3">
        <v>1.0449999999999999</v>
      </c>
      <c r="I1142" s="2">
        <f t="shared" si="261"/>
        <v>0</v>
      </c>
      <c r="J1142" s="10">
        <f t="shared" si="263"/>
        <v>-31</v>
      </c>
      <c r="K1142" s="10">
        <f t="shared" si="262"/>
        <v>-23</v>
      </c>
      <c r="L1142" s="10">
        <f t="shared" ca="1" si="251"/>
        <v>1</v>
      </c>
      <c r="M1142" s="10">
        <f t="shared" ca="1" si="253"/>
        <v>0</v>
      </c>
      <c r="N1142" s="30">
        <f t="shared" ca="1" si="254"/>
        <v>0</v>
      </c>
      <c r="O1142" s="10">
        <f t="shared" ca="1" si="255"/>
        <v>0</v>
      </c>
      <c r="P1142" s="29">
        <f t="shared" ca="1" si="256"/>
        <v>0</v>
      </c>
      <c r="Q1142" s="12">
        <f t="shared" ca="1" si="257"/>
        <v>-300200</v>
      </c>
      <c r="R1142" s="10">
        <f t="shared" ca="1" si="258"/>
        <v>0</v>
      </c>
      <c r="S1142" s="10">
        <f t="shared" ca="1" si="264"/>
        <v>0.16514553815270419</v>
      </c>
      <c r="T1142" s="14">
        <f t="shared" ca="1" si="265"/>
        <v>-0.10859224954679385</v>
      </c>
      <c r="U1142" s="12">
        <f t="shared" ca="1" si="259"/>
        <v>7900</v>
      </c>
      <c r="V1142" s="14">
        <f t="shared" ca="1" si="260"/>
        <v>-3900</v>
      </c>
      <c r="W1142" s="12">
        <f t="shared" ca="1" si="266"/>
        <v>-3407.5949367088606</v>
      </c>
      <c r="X1142" s="7">
        <f ca="1">AVERAGE(E1142:OFFSET(F1142,-$X$5+1,0))</f>
        <v>10738.5</v>
      </c>
      <c r="Y1142" s="7">
        <f ca="1">AVERAGE(E1142:OFFSET(F1142,-$Y$5+1,0))</f>
        <v>10721.65</v>
      </c>
      <c r="Z1142" s="7">
        <f t="shared" ca="1" si="252"/>
        <v>1</v>
      </c>
    </row>
    <row r="1143" spans="1:26">
      <c r="A1143" s="3" t="s">
        <v>79</v>
      </c>
      <c r="B1143" s="4">
        <v>43339</v>
      </c>
      <c r="C1143" s="3">
        <v>10831</v>
      </c>
      <c r="D1143" s="3">
        <v>10892</v>
      </c>
      <c r="E1143" s="3">
        <v>10820</v>
      </c>
      <c r="F1143" s="3">
        <v>10886</v>
      </c>
      <c r="G1143" s="3">
        <v>127704</v>
      </c>
      <c r="H1143" s="3">
        <v>1.0449999999999999</v>
      </c>
      <c r="I1143" s="2">
        <f t="shared" si="261"/>
        <v>0</v>
      </c>
      <c r="J1143" s="10">
        <f t="shared" si="263"/>
        <v>43</v>
      </c>
      <c r="K1143" s="10">
        <f t="shared" si="262"/>
        <v>55</v>
      </c>
      <c r="L1143" s="10">
        <f t="shared" ca="1" si="251"/>
        <v>0</v>
      </c>
      <c r="M1143" s="10">
        <f t="shared" ca="1" si="253"/>
        <v>1</v>
      </c>
      <c r="N1143" s="30">
        <f t="shared" ca="1" si="254"/>
        <v>2166200</v>
      </c>
      <c r="O1143" s="10">
        <f t="shared" ca="1" si="255"/>
        <v>2166200</v>
      </c>
      <c r="P1143" s="29">
        <f t="shared" ca="1" si="256"/>
        <v>10500</v>
      </c>
      <c r="Q1143" s="12">
        <f t="shared" ca="1" si="257"/>
        <v>-289700</v>
      </c>
      <c r="R1143" s="10">
        <f t="shared" ca="1" si="258"/>
        <v>0.48471978580001845</v>
      </c>
      <c r="S1143" s="10">
        <f t="shared" ca="1" si="264"/>
        <v>0.16992529503797416</v>
      </c>
      <c r="T1143" s="14">
        <f t="shared" ca="1" si="265"/>
        <v>-0.10784170293708734</v>
      </c>
      <c r="U1143" s="12">
        <f t="shared" ca="1" si="259"/>
        <v>7900</v>
      </c>
      <c r="V1143" s="14">
        <f t="shared" ca="1" si="260"/>
        <v>-3767.0886075949365</v>
      </c>
      <c r="W1143" s="12">
        <f t="shared" ca="1" si="266"/>
        <v>-3407.5949367088606</v>
      </c>
      <c r="X1143" s="7">
        <f ca="1">AVERAGE(E1143:OFFSET(F1143,-$X$5+1,0))</f>
        <v>10776.8</v>
      </c>
      <c r="Y1143" s="7">
        <f ca="1">AVERAGE(E1143:OFFSET(F1143,-$Y$5+1,0))</f>
        <v>10734.5</v>
      </c>
      <c r="Z1143" s="7">
        <f t="shared" ca="1" si="252"/>
        <v>0</v>
      </c>
    </row>
    <row r="1144" spans="1:26">
      <c r="A1144" s="3" t="s">
        <v>79</v>
      </c>
      <c r="B1144" s="4">
        <v>43340</v>
      </c>
      <c r="C1144" s="3">
        <v>10945</v>
      </c>
      <c r="D1144" s="3">
        <v>10980</v>
      </c>
      <c r="E1144" s="3">
        <v>10935</v>
      </c>
      <c r="F1144" s="3">
        <v>10954</v>
      </c>
      <c r="G1144" s="3">
        <v>115627</v>
      </c>
      <c r="H1144" s="3">
        <v>1.0449999999999999</v>
      </c>
      <c r="I1144" s="2">
        <f t="shared" si="261"/>
        <v>0</v>
      </c>
      <c r="J1144" s="10">
        <f t="shared" si="263"/>
        <v>59</v>
      </c>
      <c r="K1144" s="10">
        <f t="shared" si="262"/>
        <v>9</v>
      </c>
      <c r="L1144" s="10">
        <f t="shared" ca="1" si="251"/>
        <v>0</v>
      </c>
      <c r="M1144" s="10">
        <f t="shared" ca="1" si="253"/>
        <v>1</v>
      </c>
      <c r="N1144" s="30">
        <f t="shared" ca="1" si="254"/>
        <v>0</v>
      </c>
      <c r="O1144" s="10">
        <f t="shared" ca="1" si="255"/>
        <v>2166200</v>
      </c>
      <c r="P1144" s="29">
        <f t="shared" ca="1" si="256"/>
        <v>13600</v>
      </c>
      <c r="Q1144" s="12">
        <f t="shared" ca="1" si="257"/>
        <v>-276100</v>
      </c>
      <c r="R1144" s="10">
        <f t="shared" ca="1" si="258"/>
        <v>0.62782753208383346</v>
      </c>
      <c r="S1144" s="10">
        <f t="shared" ca="1" si="264"/>
        <v>0.30565830509879499</v>
      </c>
      <c r="T1144" s="14">
        <f t="shared" ca="1" si="265"/>
        <v>-9.1043282656701807E-2</v>
      </c>
      <c r="U1144" s="12">
        <f t="shared" ca="1" si="259"/>
        <v>7900</v>
      </c>
      <c r="V1144" s="14">
        <f t="shared" ca="1" si="260"/>
        <v>-3594.9367088607596</v>
      </c>
      <c r="W1144" s="12">
        <f t="shared" ca="1" si="266"/>
        <v>-3407.5949367088606</v>
      </c>
      <c r="X1144" s="7">
        <f ca="1">AVERAGE(E1144:OFFSET(F1144,-$X$5+1,0))</f>
        <v>10820.8</v>
      </c>
      <c r="Y1144" s="7">
        <f ca="1">AVERAGE(E1144:OFFSET(F1144,-$Y$5+1,0))</f>
        <v>10750.15</v>
      </c>
      <c r="Z1144" s="7">
        <f t="shared" ca="1" si="252"/>
        <v>0</v>
      </c>
    </row>
    <row r="1145" spans="1:26">
      <c r="A1145" s="3" t="s">
        <v>79</v>
      </c>
      <c r="B1145" s="4">
        <v>43341</v>
      </c>
      <c r="C1145" s="3">
        <v>10977</v>
      </c>
      <c r="D1145" s="3">
        <v>11049</v>
      </c>
      <c r="E1145" s="3">
        <v>10968</v>
      </c>
      <c r="F1145" s="3">
        <v>11044</v>
      </c>
      <c r="G1145" s="3">
        <v>130889</v>
      </c>
      <c r="H1145" s="3">
        <v>1.0449999999999999</v>
      </c>
      <c r="I1145" s="2">
        <f t="shared" si="261"/>
        <v>0</v>
      </c>
      <c r="J1145" s="10">
        <f t="shared" si="263"/>
        <v>23</v>
      </c>
      <c r="K1145" s="10">
        <f t="shared" si="262"/>
        <v>67</v>
      </c>
      <c r="L1145" s="10">
        <f t="shared" ca="1" si="251"/>
        <v>0</v>
      </c>
      <c r="M1145" s="10">
        <f t="shared" ca="1" si="253"/>
        <v>1</v>
      </c>
      <c r="N1145" s="30">
        <f t="shared" ca="1" si="254"/>
        <v>0</v>
      </c>
      <c r="O1145" s="10">
        <f t="shared" ca="1" si="255"/>
        <v>2166200</v>
      </c>
      <c r="P1145" s="29">
        <f t="shared" ca="1" si="256"/>
        <v>18000</v>
      </c>
      <c r="Q1145" s="12">
        <f t="shared" ca="1" si="257"/>
        <v>-258100</v>
      </c>
      <c r="R1145" s="10">
        <f t="shared" ca="1" si="258"/>
        <v>0.83094820422860305</v>
      </c>
      <c r="S1145" s="10">
        <f t="shared" ca="1" si="264"/>
        <v>0.4289577569861055</v>
      </c>
      <c r="T1145" s="14">
        <f t="shared" ca="1" si="265"/>
        <v>-7.6224687342098002E-2</v>
      </c>
      <c r="U1145" s="12">
        <f t="shared" ca="1" si="259"/>
        <v>7900</v>
      </c>
      <c r="V1145" s="14">
        <f t="shared" ca="1" si="260"/>
        <v>-3367.0886075949365</v>
      </c>
      <c r="W1145" s="12">
        <f t="shared" ca="1" si="266"/>
        <v>-3367.0886075949365</v>
      </c>
      <c r="X1145" s="7">
        <f ca="1">AVERAGE(E1145:OFFSET(F1145,-$X$5+1,0))</f>
        <v>10872.3</v>
      </c>
      <c r="Y1145" s="7">
        <f ca="1">AVERAGE(E1145:OFFSET(F1145,-$Y$5+1,0))</f>
        <v>10779.1</v>
      </c>
      <c r="Z1145" s="7">
        <f t="shared" ca="1" si="252"/>
        <v>0</v>
      </c>
    </row>
    <row r="1146" spans="1:26">
      <c r="A1146" s="3" t="s">
        <v>79</v>
      </c>
      <c r="B1146" s="4">
        <v>43342</v>
      </c>
      <c r="C1146" s="3">
        <v>11088</v>
      </c>
      <c r="D1146" s="3">
        <v>11135</v>
      </c>
      <c r="E1146" s="3">
        <v>11019</v>
      </c>
      <c r="F1146" s="3">
        <v>11023</v>
      </c>
      <c r="G1146" s="3">
        <v>160151</v>
      </c>
      <c r="H1146" s="3">
        <v>1.0449999999999999</v>
      </c>
      <c r="I1146" s="2">
        <f t="shared" si="261"/>
        <v>0</v>
      </c>
      <c r="J1146" s="10">
        <f t="shared" si="263"/>
        <v>44</v>
      </c>
      <c r="K1146" s="10">
        <f t="shared" si="262"/>
        <v>-65</v>
      </c>
      <c r="L1146" s="10">
        <f t="shared" ca="1" si="251"/>
        <v>0</v>
      </c>
      <c r="M1146" s="10">
        <f t="shared" ca="1" si="253"/>
        <v>1</v>
      </c>
      <c r="N1146" s="30">
        <f t="shared" ca="1" si="254"/>
        <v>0</v>
      </c>
      <c r="O1146" s="10">
        <f t="shared" ca="1" si="255"/>
        <v>2166200</v>
      </c>
      <c r="P1146" s="29">
        <f t="shared" ca="1" si="256"/>
        <v>-4200</v>
      </c>
      <c r="Q1146" s="12">
        <f t="shared" ca="1" si="257"/>
        <v>-262300</v>
      </c>
      <c r="R1146" s="10">
        <f t="shared" ca="1" si="258"/>
        <v>-0.19388791432000738</v>
      </c>
      <c r="S1146" s="10">
        <f t="shared" ca="1" si="264"/>
        <v>0.33881446022815581</v>
      </c>
      <c r="T1146" s="14">
        <f t="shared" ca="1" si="265"/>
        <v>-8.7974280135623112E-2</v>
      </c>
      <c r="U1146" s="12">
        <f t="shared" ca="1" si="259"/>
        <v>7900</v>
      </c>
      <c r="V1146" s="14">
        <f t="shared" ca="1" si="260"/>
        <v>-3420.253164556962</v>
      </c>
      <c r="W1146" s="12">
        <f t="shared" ca="1" si="266"/>
        <v>-3367.0886075949365</v>
      </c>
      <c r="X1146" s="7">
        <f ca="1">AVERAGE(E1146:OFFSET(F1146,-$X$5+1,0))</f>
        <v>10916.5</v>
      </c>
      <c r="Y1146" s="7">
        <f ca="1">AVERAGE(E1146:OFFSET(F1146,-$Y$5+1,0))</f>
        <v>10817.15</v>
      </c>
      <c r="Z1146" s="7">
        <f t="shared" ca="1" si="252"/>
        <v>0</v>
      </c>
    </row>
    <row r="1147" spans="1:26">
      <c r="A1147" s="3" t="s">
        <v>79</v>
      </c>
      <c r="B1147" s="4">
        <v>43343</v>
      </c>
      <c r="C1147" s="3">
        <v>10975</v>
      </c>
      <c r="D1147" s="3">
        <v>11024</v>
      </c>
      <c r="E1147" s="3">
        <v>10953</v>
      </c>
      <c r="F1147" s="3">
        <v>11022</v>
      </c>
      <c r="G1147" s="3">
        <v>136261</v>
      </c>
      <c r="H1147" s="3">
        <v>1.0449999999999999</v>
      </c>
      <c r="I1147" s="2">
        <f t="shared" si="261"/>
        <v>0</v>
      </c>
      <c r="J1147" s="10">
        <f t="shared" si="263"/>
        <v>-48</v>
      </c>
      <c r="K1147" s="10">
        <f t="shared" si="262"/>
        <v>47</v>
      </c>
      <c r="L1147" s="10">
        <f t="shared" ca="1" si="251"/>
        <v>0</v>
      </c>
      <c r="M1147" s="10">
        <f t="shared" ca="1" si="253"/>
        <v>1</v>
      </c>
      <c r="N1147" s="30">
        <f t="shared" ca="1" si="254"/>
        <v>0</v>
      </c>
      <c r="O1147" s="10">
        <f t="shared" ca="1" si="255"/>
        <v>2166200</v>
      </c>
      <c r="P1147" s="29">
        <f t="shared" ca="1" si="256"/>
        <v>-200</v>
      </c>
      <c r="Q1147" s="12">
        <f t="shared" ca="1" si="257"/>
        <v>-262500</v>
      </c>
      <c r="R1147" s="10">
        <f t="shared" ca="1" si="258"/>
        <v>-9.2327578247622562E-3</v>
      </c>
      <c r="S1147" s="10">
        <f t="shared" ca="1" si="264"/>
        <v>0.32845316175023054</v>
      </c>
      <c r="T1147" s="14">
        <f t="shared" ca="1" si="265"/>
        <v>-8.9281303088129232E-2</v>
      </c>
      <c r="U1147" s="12">
        <f t="shared" ca="1" si="259"/>
        <v>7900</v>
      </c>
      <c r="V1147" s="14">
        <f t="shared" ca="1" si="260"/>
        <v>-3422.7848101265822</v>
      </c>
      <c r="W1147" s="12">
        <f t="shared" ca="1" si="266"/>
        <v>-3367.0886075949365</v>
      </c>
      <c r="X1147" s="7">
        <f ca="1">AVERAGE(E1147:OFFSET(F1147,-$X$5+1,0))</f>
        <v>10962.4</v>
      </c>
      <c r="Y1147" s="7">
        <f ca="1">AVERAGE(E1147:OFFSET(F1147,-$Y$5+1,0))</f>
        <v>10850.45</v>
      </c>
      <c r="Z1147" s="7">
        <f t="shared" ca="1" si="252"/>
        <v>0</v>
      </c>
    </row>
    <row r="1148" spans="1:26">
      <c r="A1148" s="3" t="s">
        <v>79</v>
      </c>
      <c r="B1148" s="4">
        <v>43346</v>
      </c>
      <c r="C1148" s="3">
        <v>11013</v>
      </c>
      <c r="D1148" s="3">
        <v>11045</v>
      </c>
      <c r="E1148" s="3">
        <v>10919</v>
      </c>
      <c r="F1148" s="3">
        <v>10935</v>
      </c>
      <c r="G1148" s="3">
        <v>141943</v>
      </c>
      <c r="H1148" s="3">
        <v>1.0449999999999999</v>
      </c>
      <c r="I1148" s="2">
        <f t="shared" si="261"/>
        <v>0</v>
      </c>
      <c r="J1148" s="10">
        <f t="shared" si="263"/>
        <v>-9</v>
      </c>
      <c r="K1148" s="10">
        <f t="shared" si="262"/>
        <v>-78</v>
      </c>
      <c r="L1148" s="10">
        <f t="shared" ca="1" si="251"/>
        <v>0</v>
      </c>
      <c r="M1148" s="10">
        <f t="shared" ca="1" si="253"/>
        <v>1</v>
      </c>
      <c r="N1148" s="30">
        <f t="shared" ca="1" si="254"/>
        <v>0</v>
      </c>
      <c r="O1148" s="10">
        <f t="shared" ca="1" si="255"/>
        <v>2166200</v>
      </c>
      <c r="P1148" s="29">
        <f t="shared" ca="1" si="256"/>
        <v>-17400</v>
      </c>
      <c r="Q1148" s="12">
        <f t="shared" ca="1" si="257"/>
        <v>-279900</v>
      </c>
      <c r="R1148" s="10">
        <f t="shared" ca="1" si="258"/>
        <v>-0.80324993075431628</v>
      </c>
      <c r="S1148" s="10">
        <f t="shared" ca="1" si="264"/>
        <v>0.21240661879746769</v>
      </c>
      <c r="T1148" s="14">
        <f t="shared" ca="1" si="265"/>
        <v>-0.10327074929949275</v>
      </c>
      <c r="U1148" s="12">
        <f t="shared" ca="1" si="259"/>
        <v>7900</v>
      </c>
      <c r="V1148" s="14">
        <f t="shared" ca="1" si="260"/>
        <v>-3643.0379746835442</v>
      </c>
      <c r="W1148" s="12">
        <f t="shared" ca="1" si="266"/>
        <v>-3367.0886075949365</v>
      </c>
      <c r="X1148" s="7">
        <f ca="1">AVERAGE(E1148:OFFSET(F1148,-$X$5+1,0))</f>
        <v>10977.2</v>
      </c>
      <c r="Y1148" s="7">
        <f ca="1">AVERAGE(E1148:OFFSET(F1148,-$Y$5+1,0))</f>
        <v>10877</v>
      </c>
      <c r="Z1148" s="7">
        <f t="shared" ca="1" si="252"/>
        <v>0</v>
      </c>
    </row>
    <row r="1149" spans="1:26">
      <c r="A1149" s="3" t="s">
        <v>79</v>
      </c>
      <c r="B1149" s="4">
        <v>43347</v>
      </c>
      <c r="C1149" s="3">
        <v>10963</v>
      </c>
      <c r="D1149" s="3">
        <v>11004</v>
      </c>
      <c r="E1149" s="3">
        <v>10935</v>
      </c>
      <c r="F1149" s="3">
        <v>11002</v>
      </c>
      <c r="G1149" s="3">
        <v>131455</v>
      </c>
      <c r="H1149" s="3">
        <v>1.0449999999999999</v>
      </c>
      <c r="I1149" s="2">
        <f t="shared" si="261"/>
        <v>0</v>
      </c>
      <c r="J1149" s="10">
        <f t="shared" si="263"/>
        <v>28</v>
      </c>
      <c r="K1149" s="10">
        <f t="shared" si="262"/>
        <v>39</v>
      </c>
      <c r="L1149" s="10">
        <f t="shared" ref="L1149:L1212" ca="1" si="267">Z1149</f>
        <v>0</v>
      </c>
      <c r="M1149" s="10">
        <f t="shared" ca="1" si="253"/>
        <v>1</v>
      </c>
      <c r="N1149" s="30">
        <f t="shared" ca="1" si="254"/>
        <v>0</v>
      </c>
      <c r="O1149" s="10">
        <f t="shared" ca="1" si="255"/>
        <v>2166200</v>
      </c>
      <c r="P1149" s="29">
        <f t="shared" ca="1" si="256"/>
        <v>13400</v>
      </c>
      <c r="Q1149" s="12">
        <f t="shared" ca="1" si="257"/>
        <v>-266500</v>
      </c>
      <c r="R1149" s="10">
        <f t="shared" ca="1" si="258"/>
        <v>0.61859477425907117</v>
      </c>
      <c r="S1149" s="10">
        <f t="shared" ca="1" si="264"/>
        <v>0.27923699398008556</v>
      </c>
      <c r="T1149" s="14">
        <f t="shared" ca="1" si="265"/>
        <v>-9.521897827375439E-2</v>
      </c>
      <c r="U1149" s="12">
        <f t="shared" ca="1" si="259"/>
        <v>7900</v>
      </c>
      <c r="V1149" s="14">
        <f t="shared" ca="1" si="260"/>
        <v>-3473.4177215189875</v>
      </c>
      <c r="W1149" s="12">
        <f t="shared" ca="1" si="266"/>
        <v>-3367.0886075949365</v>
      </c>
      <c r="X1149" s="7">
        <f ca="1">AVERAGE(E1149:OFFSET(F1149,-$X$5+1,0))</f>
        <v>10982</v>
      </c>
      <c r="Y1149" s="7">
        <f ca="1">AVERAGE(E1149:OFFSET(F1149,-$Y$5+1,0))</f>
        <v>10901.4</v>
      </c>
      <c r="Z1149" s="7">
        <f t="shared" ref="Z1149:Z1212" ca="1" si="268">IF(AND(X1148&lt;=Y1148,X1149&gt;Y1149),1,IF(AND(X1148&gt;Y1148,X1149&lt;=Y1149),-1,0))</f>
        <v>0</v>
      </c>
    </row>
    <row r="1150" spans="1:26">
      <c r="A1150" s="3" t="s">
        <v>79</v>
      </c>
      <c r="B1150" s="4">
        <v>43348</v>
      </c>
      <c r="C1150" s="3">
        <v>10973</v>
      </c>
      <c r="D1150" s="3">
        <v>11021</v>
      </c>
      <c r="E1150" s="3">
        <v>10948</v>
      </c>
      <c r="F1150" s="3">
        <v>10950</v>
      </c>
      <c r="G1150" s="3">
        <v>151692</v>
      </c>
      <c r="H1150" s="3">
        <v>1.0449999999999999</v>
      </c>
      <c r="I1150" s="2">
        <f t="shared" si="261"/>
        <v>0</v>
      </c>
      <c r="J1150" s="10">
        <f t="shared" si="263"/>
        <v>-29</v>
      </c>
      <c r="K1150" s="10">
        <f t="shared" si="262"/>
        <v>-23</v>
      </c>
      <c r="L1150" s="10">
        <f t="shared" ca="1" si="267"/>
        <v>0</v>
      </c>
      <c r="M1150" s="10">
        <f t="shared" ref="M1150:M1213" ca="1" si="269">IF(I1150=1,0,IF(M1149+L1149&gt;=$M$5,$M$5,IF(M1149+L1149&lt;=$M$7,$M$7,M1149+L1149)))</f>
        <v>1</v>
      </c>
      <c r="N1150" s="30">
        <f t="shared" ref="N1150:N1213" ca="1" si="270">IF(M1150=0,0,IF(M1150&gt;M1149,(C1150+N1149*M1149)*$S$5,0))</f>
        <v>0</v>
      </c>
      <c r="O1150" s="10">
        <f t="shared" ref="O1150:O1213" ca="1" si="271">IF(M1150=0,0,IF(M1150=M1149,O1149,((M1150-M1149)*C1150+N1149*M1149)*$S$5/M1150))</f>
        <v>2166200</v>
      </c>
      <c r="P1150" s="29">
        <f t="shared" ref="P1150:P1213" ca="1" si="272">IF(M1149=M1150,(M1149*J1150+M1150*K1150)*$S$5,(M1149*J1150+M1150*K1150)*$S$5-$S$6)</f>
        <v>-10400</v>
      </c>
      <c r="Q1150" s="12">
        <f t="shared" ref="Q1150:Q1213" ca="1" si="273">P1150+Q1149</f>
        <v>-276900</v>
      </c>
      <c r="R1150" s="10">
        <f t="shared" ref="R1150:R1213" ca="1" si="274">IF(P1150=0,0,IF(O1150=0,100*P1150/O1149,100*P1150/O1150))</f>
        <v>-0.48010340688763736</v>
      </c>
      <c r="S1150" s="10">
        <f t="shared" ca="1" si="264"/>
        <v>0.22535824189487427</v>
      </c>
      <c r="T1150" s="14">
        <f t="shared" ca="1" si="265"/>
        <v>-0.1017934296919505</v>
      </c>
      <c r="U1150" s="12">
        <f t="shared" ref="U1150:U1213" ca="1" si="275">IF(Q1150&gt;U1149,Q1150,U1149)</f>
        <v>7900</v>
      </c>
      <c r="V1150" s="14">
        <f t="shared" ref="V1150:V1213" ca="1" si="276">IF(U1150=0,0,100*(Q1150-U1150)/U1150)</f>
        <v>-3605.0632911392404</v>
      </c>
      <c r="W1150" s="12">
        <f t="shared" ca="1" si="266"/>
        <v>-3367.0886075949365</v>
      </c>
      <c r="X1150" s="7">
        <f ca="1">AVERAGE(E1150:OFFSET(F1150,-$X$5+1,0))</f>
        <v>10970.6</v>
      </c>
      <c r="Y1150" s="7">
        <f ca="1">AVERAGE(E1150:OFFSET(F1150,-$Y$5+1,0))</f>
        <v>10921.45</v>
      </c>
      <c r="Z1150" s="7">
        <f t="shared" ca="1" si="268"/>
        <v>0</v>
      </c>
    </row>
    <row r="1151" spans="1:26">
      <c r="A1151" s="3" t="s">
        <v>79</v>
      </c>
      <c r="B1151" s="4">
        <v>43349</v>
      </c>
      <c r="C1151" s="3">
        <v>10920</v>
      </c>
      <c r="D1151" s="3">
        <v>10950</v>
      </c>
      <c r="E1151" s="3">
        <v>10865</v>
      </c>
      <c r="F1151" s="3">
        <v>10901</v>
      </c>
      <c r="G1151" s="3">
        <v>165409</v>
      </c>
      <c r="H1151" s="3">
        <v>1.0449999999999999</v>
      </c>
      <c r="I1151" s="2">
        <f t="shared" si="261"/>
        <v>0</v>
      </c>
      <c r="J1151" s="10">
        <f t="shared" si="263"/>
        <v>-30</v>
      </c>
      <c r="K1151" s="10">
        <f t="shared" si="262"/>
        <v>-19</v>
      </c>
      <c r="L1151" s="10">
        <f t="shared" ca="1" si="267"/>
        <v>0</v>
      </c>
      <c r="M1151" s="10">
        <f t="shared" ca="1" si="269"/>
        <v>1</v>
      </c>
      <c r="N1151" s="30">
        <f t="shared" ca="1" si="270"/>
        <v>0</v>
      </c>
      <c r="O1151" s="10">
        <f t="shared" ca="1" si="271"/>
        <v>2166200</v>
      </c>
      <c r="P1151" s="29">
        <f t="shared" ca="1" si="272"/>
        <v>-9800</v>
      </c>
      <c r="Q1151" s="12">
        <f t="shared" ca="1" si="273"/>
        <v>-286700</v>
      </c>
      <c r="R1151" s="10">
        <f t="shared" ca="1" si="274"/>
        <v>-0.45240513341335059</v>
      </c>
      <c r="S1151" s="10">
        <f t="shared" ca="1" si="264"/>
        <v>0.15467814153631448</v>
      </c>
      <c r="T1151" s="14">
        <f t="shared" ca="1" si="265"/>
        <v>-0.11052907828127306</v>
      </c>
      <c r="U1151" s="12">
        <f t="shared" ca="1" si="275"/>
        <v>7900</v>
      </c>
      <c r="V1151" s="14">
        <f t="shared" ca="1" si="276"/>
        <v>-3729.1139240506327</v>
      </c>
      <c r="W1151" s="12">
        <f t="shared" ca="1" si="266"/>
        <v>-3367.0886075949365</v>
      </c>
      <c r="X1151" s="7">
        <f ca="1">AVERAGE(E1151:OFFSET(F1151,-$X$5+1,0))</f>
        <v>10943</v>
      </c>
      <c r="Y1151" s="7">
        <f ca="1">AVERAGE(E1151:OFFSET(F1151,-$Y$5+1,0))</f>
        <v>10929.75</v>
      </c>
      <c r="Z1151" s="7">
        <f t="shared" ca="1" si="268"/>
        <v>0</v>
      </c>
    </row>
    <row r="1152" spans="1:26">
      <c r="A1152" s="3" t="s">
        <v>79</v>
      </c>
      <c r="B1152" s="4">
        <v>43350</v>
      </c>
      <c r="C1152" s="3">
        <v>10864</v>
      </c>
      <c r="D1152" s="3">
        <v>10892</v>
      </c>
      <c r="E1152" s="3">
        <v>10803</v>
      </c>
      <c r="F1152" s="3">
        <v>10845</v>
      </c>
      <c r="G1152" s="3">
        <v>178235</v>
      </c>
      <c r="H1152" s="3">
        <v>1.0449999999999999</v>
      </c>
      <c r="I1152" s="2">
        <f t="shared" si="261"/>
        <v>0</v>
      </c>
      <c r="J1152" s="10">
        <f t="shared" si="263"/>
        <v>-37</v>
      </c>
      <c r="K1152" s="10">
        <f t="shared" si="262"/>
        <v>-19</v>
      </c>
      <c r="L1152" s="10">
        <f t="shared" ca="1" si="267"/>
        <v>-1</v>
      </c>
      <c r="M1152" s="10">
        <f t="shared" ca="1" si="269"/>
        <v>1</v>
      </c>
      <c r="N1152" s="30">
        <f t="shared" ca="1" si="270"/>
        <v>0</v>
      </c>
      <c r="O1152" s="10">
        <f t="shared" ca="1" si="271"/>
        <v>2166200</v>
      </c>
      <c r="P1152" s="29">
        <f t="shared" ca="1" si="272"/>
        <v>-11200</v>
      </c>
      <c r="Q1152" s="12">
        <f t="shared" ca="1" si="273"/>
        <v>-297900</v>
      </c>
      <c r="R1152" s="10">
        <f t="shared" ca="1" si="274"/>
        <v>-0.51703443818668637</v>
      </c>
      <c r="S1152" s="10">
        <f t="shared" ca="1" si="264"/>
        <v>8.1409548177007619E-3</v>
      </c>
      <c r="T1152" s="14">
        <f t="shared" ca="1" si="265"/>
        <v>-0.12916219187951486</v>
      </c>
      <c r="U1152" s="12">
        <f t="shared" ca="1" si="275"/>
        <v>7900</v>
      </c>
      <c r="V1152" s="14">
        <f t="shared" ca="1" si="276"/>
        <v>-3870.8860759493673</v>
      </c>
      <c r="W1152" s="12">
        <f t="shared" ca="1" si="266"/>
        <v>-3367.0886075949365</v>
      </c>
      <c r="X1152" s="7">
        <f ca="1">AVERAGE(E1152:OFFSET(F1152,-$X$5+1,0))</f>
        <v>10910.3</v>
      </c>
      <c r="Y1152" s="7">
        <f ca="1">AVERAGE(E1152:OFFSET(F1152,-$Y$5+1,0))</f>
        <v>10936.35</v>
      </c>
      <c r="Z1152" s="7">
        <f t="shared" ca="1" si="268"/>
        <v>-1</v>
      </c>
    </row>
    <row r="1153" spans="1:26">
      <c r="A1153" s="3" t="s">
        <v>79</v>
      </c>
      <c r="B1153" s="4">
        <v>43353</v>
      </c>
      <c r="C1153" s="3">
        <v>10865</v>
      </c>
      <c r="D1153" s="3">
        <v>10880</v>
      </c>
      <c r="E1153" s="3">
        <v>10708</v>
      </c>
      <c r="F1153" s="3">
        <v>10734</v>
      </c>
      <c r="G1153" s="3">
        <v>198790</v>
      </c>
      <c r="H1153" s="3">
        <v>1.0449999999999999</v>
      </c>
      <c r="I1153" s="2">
        <f t="shared" si="261"/>
        <v>0</v>
      </c>
      <c r="J1153" s="10">
        <f t="shared" si="263"/>
        <v>20</v>
      </c>
      <c r="K1153" s="10">
        <f t="shared" si="262"/>
        <v>-131</v>
      </c>
      <c r="L1153" s="10">
        <f t="shared" ca="1" si="267"/>
        <v>0</v>
      </c>
      <c r="M1153" s="10">
        <f t="shared" ca="1" si="269"/>
        <v>0</v>
      </c>
      <c r="N1153" s="30">
        <f t="shared" ca="1" si="270"/>
        <v>0</v>
      </c>
      <c r="O1153" s="10">
        <f t="shared" ca="1" si="271"/>
        <v>0</v>
      </c>
      <c r="P1153" s="29">
        <f t="shared" ca="1" si="272"/>
        <v>3500</v>
      </c>
      <c r="Q1153" s="12">
        <f t="shared" ca="1" si="273"/>
        <v>-294400</v>
      </c>
      <c r="R1153" s="10">
        <f t="shared" ca="1" si="274"/>
        <v>0.16157326193333948</v>
      </c>
      <c r="S1153" s="10">
        <f t="shared" ca="1" si="264"/>
        <v>9.3620980403558762E-2</v>
      </c>
      <c r="T1153" s="14">
        <f t="shared" ca="1" si="265"/>
        <v>-0.11849792177676911</v>
      </c>
      <c r="U1153" s="12">
        <f t="shared" ca="1" si="275"/>
        <v>7900</v>
      </c>
      <c r="V1153" s="14">
        <f t="shared" ca="1" si="276"/>
        <v>-3826.5822784810125</v>
      </c>
      <c r="W1153" s="12">
        <f t="shared" ca="1" si="266"/>
        <v>-3367.0886075949365</v>
      </c>
      <c r="X1153" s="7">
        <f ca="1">AVERAGE(E1153:OFFSET(F1153,-$X$5+1,0))</f>
        <v>10869.1</v>
      </c>
      <c r="Y1153" s="7">
        <f ca="1">AVERAGE(E1153:OFFSET(F1153,-$Y$5+1,0))</f>
        <v>10923.15</v>
      </c>
      <c r="Z1153" s="7">
        <f t="shared" ca="1" si="268"/>
        <v>0</v>
      </c>
    </row>
    <row r="1154" spans="1:26">
      <c r="A1154" s="3" t="s">
        <v>79</v>
      </c>
      <c r="B1154" s="4">
        <v>43354</v>
      </c>
      <c r="C1154" s="3">
        <v>10758</v>
      </c>
      <c r="D1154" s="3">
        <v>10767</v>
      </c>
      <c r="E1154" s="3">
        <v>10682</v>
      </c>
      <c r="F1154" s="3">
        <v>10740</v>
      </c>
      <c r="G1154" s="3">
        <v>171082</v>
      </c>
      <c r="H1154" s="3">
        <v>1.0449999999999999</v>
      </c>
      <c r="I1154" s="2">
        <f t="shared" si="261"/>
        <v>0</v>
      </c>
      <c r="J1154" s="10">
        <f t="shared" si="263"/>
        <v>24</v>
      </c>
      <c r="K1154" s="10">
        <f t="shared" si="262"/>
        <v>-18</v>
      </c>
      <c r="L1154" s="10">
        <f t="shared" ca="1" si="267"/>
        <v>0</v>
      </c>
      <c r="M1154" s="10">
        <f t="shared" ca="1" si="269"/>
        <v>0</v>
      </c>
      <c r="N1154" s="30">
        <f t="shared" ca="1" si="270"/>
        <v>0</v>
      </c>
      <c r="O1154" s="10">
        <f t="shared" ca="1" si="271"/>
        <v>0</v>
      </c>
      <c r="P1154" s="29">
        <f t="shared" ca="1" si="272"/>
        <v>0</v>
      </c>
      <c r="Q1154" s="12">
        <f t="shared" ca="1" si="273"/>
        <v>-294400</v>
      </c>
      <c r="R1154" s="10">
        <f t="shared" ca="1" si="274"/>
        <v>0</v>
      </c>
      <c r="S1154" s="10">
        <f t="shared" ca="1" si="264"/>
        <v>0.10583241263010991</v>
      </c>
      <c r="T1154" s="14">
        <f t="shared" ca="1" si="265"/>
        <v>-0.11720615059345274</v>
      </c>
      <c r="U1154" s="12">
        <f t="shared" ca="1" si="275"/>
        <v>7900</v>
      </c>
      <c r="V1154" s="14">
        <f t="shared" ca="1" si="276"/>
        <v>-3826.5822784810125</v>
      </c>
      <c r="W1154" s="12">
        <f t="shared" ca="1" si="266"/>
        <v>-3367.0886075949365</v>
      </c>
      <c r="X1154" s="7">
        <f ca="1">AVERAGE(E1154:OFFSET(F1154,-$X$5+1,0))</f>
        <v>10817.6</v>
      </c>
      <c r="Y1154" s="7">
        <f ca="1">AVERAGE(E1154:OFFSET(F1154,-$Y$5+1,0))</f>
        <v>10899.8</v>
      </c>
      <c r="Z1154" s="7">
        <f t="shared" ca="1" si="268"/>
        <v>0</v>
      </c>
    </row>
    <row r="1155" spans="1:26">
      <c r="A1155" s="3" t="s">
        <v>79</v>
      </c>
      <c r="B1155" s="4">
        <v>43355</v>
      </c>
      <c r="C1155" s="3">
        <v>10762</v>
      </c>
      <c r="D1155" s="3">
        <v>10772</v>
      </c>
      <c r="E1155" s="3">
        <v>10687</v>
      </c>
      <c r="F1155" s="3">
        <v>10726</v>
      </c>
      <c r="G1155" s="3">
        <v>161851</v>
      </c>
      <c r="H1155" s="3">
        <v>1.0449999999999999</v>
      </c>
      <c r="I1155" s="2">
        <f t="shared" si="261"/>
        <v>0</v>
      </c>
      <c r="J1155" s="10">
        <f t="shared" si="263"/>
        <v>22</v>
      </c>
      <c r="K1155" s="10">
        <f t="shared" si="262"/>
        <v>-36</v>
      </c>
      <c r="L1155" s="10">
        <f t="shared" ca="1" si="267"/>
        <v>0</v>
      </c>
      <c r="M1155" s="10">
        <f t="shared" ca="1" si="269"/>
        <v>0</v>
      </c>
      <c r="N1155" s="30">
        <f t="shared" ca="1" si="270"/>
        <v>0</v>
      </c>
      <c r="O1155" s="10">
        <f t="shared" ca="1" si="271"/>
        <v>0</v>
      </c>
      <c r="P1155" s="29">
        <f t="shared" ca="1" si="272"/>
        <v>0</v>
      </c>
      <c r="Q1155" s="12">
        <f t="shared" ca="1" si="273"/>
        <v>-294400</v>
      </c>
      <c r="R1155" s="10">
        <f t="shared" ca="1" si="274"/>
        <v>0</v>
      </c>
      <c r="S1155" s="10">
        <f t="shared" ca="1" si="264"/>
        <v>0.10583241263010991</v>
      </c>
      <c r="T1155" s="14">
        <f t="shared" ca="1" si="265"/>
        <v>-0.11879007708271448</v>
      </c>
      <c r="U1155" s="12">
        <f t="shared" ca="1" si="275"/>
        <v>7900</v>
      </c>
      <c r="V1155" s="14">
        <f t="shared" ca="1" si="276"/>
        <v>-3826.5822784810125</v>
      </c>
      <c r="W1155" s="12">
        <f t="shared" ca="1" si="266"/>
        <v>-3367.0886075949365</v>
      </c>
      <c r="X1155" s="7">
        <f ca="1">AVERAGE(E1155:OFFSET(F1155,-$X$5+1,0))</f>
        <v>10769.1</v>
      </c>
      <c r="Y1155" s="7">
        <f ca="1">AVERAGE(E1155:OFFSET(F1155,-$Y$5+1,0))</f>
        <v>10869.85</v>
      </c>
      <c r="Z1155" s="7">
        <f t="shared" ca="1" si="268"/>
        <v>0</v>
      </c>
    </row>
    <row r="1156" spans="1:26">
      <c r="A1156" s="3" t="s">
        <v>79</v>
      </c>
      <c r="B1156" s="4">
        <v>43356</v>
      </c>
      <c r="C1156" s="3">
        <v>10740</v>
      </c>
      <c r="D1156" s="3">
        <v>10779</v>
      </c>
      <c r="E1156" s="3">
        <v>10709</v>
      </c>
      <c r="F1156" s="3">
        <v>10717</v>
      </c>
      <c r="G1156" s="3">
        <v>140045</v>
      </c>
      <c r="H1156" s="3">
        <v>1.0449999999999999</v>
      </c>
      <c r="I1156" s="2">
        <f t="shared" ref="I1156:I1219" si="277">IF(A1156=A1157,0,1)</f>
        <v>0</v>
      </c>
      <c r="J1156" s="10">
        <f t="shared" si="263"/>
        <v>14</v>
      </c>
      <c r="K1156" s="10">
        <f t="shared" ref="K1156:K1219" si="278">F1156-C1156</f>
        <v>-23</v>
      </c>
      <c r="L1156" s="10">
        <f t="shared" ca="1" si="267"/>
        <v>0</v>
      </c>
      <c r="M1156" s="10">
        <f t="shared" ca="1" si="269"/>
        <v>0</v>
      </c>
      <c r="N1156" s="30">
        <f t="shared" ca="1" si="270"/>
        <v>0</v>
      </c>
      <c r="O1156" s="10">
        <f t="shared" ca="1" si="271"/>
        <v>0</v>
      </c>
      <c r="P1156" s="29">
        <f t="shared" ca="1" si="272"/>
        <v>0</v>
      </c>
      <c r="Q1156" s="12">
        <f t="shared" ca="1" si="273"/>
        <v>-294400</v>
      </c>
      <c r="R1156" s="10">
        <f t="shared" ca="1" si="274"/>
        <v>0</v>
      </c>
      <c r="S1156" s="10">
        <f t="shared" ca="1" si="264"/>
        <v>0.10583241263010991</v>
      </c>
      <c r="T1156" s="14">
        <f t="shared" ca="1" si="265"/>
        <v>-0.11951000224196841</v>
      </c>
      <c r="U1156" s="12">
        <f t="shared" ca="1" si="275"/>
        <v>7900</v>
      </c>
      <c r="V1156" s="14">
        <f t="shared" ca="1" si="276"/>
        <v>-3826.5822784810125</v>
      </c>
      <c r="W1156" s="12">
        <f t="shared" ca="1" si="266"/>
        <v>-3367.0886075949365</v>
      </c>
      <c r="X1156" s="7">
        <f ca="1">AVERAGE(E1156:OFFSET(F1156,-$X$5+1,0))</f>
        <v>10735.1</v>
      </c>
      <c r="Y1156" s="7">
        <f ca="1">AVERAGE(E1156:OFFSET(F1156,-$Y$5+1,0))</f>
        <v>10839.05</v>
      </c>
      <c r="Z1156" s="7">
        <f t="shared" ca="1" si="268"/>
        <v>0</v>
      </c>
    </row>
    <row r="1157" spans="1:26">
      <c r="A1157" s="3" t="s">
        <v>79</v>
      </c>
      <c r="B1157" s="4">
        <v>43357</v>
      </c>
      <c r="C1157" s="3">
        <v>10784</v>
      </c>
      <c r="D1157" s="3">
        <v>10887</v>
      </c>
      <c r="E1157" s="3">
        <v>10771</v>
      </c>
      <c r="F1157" s="3">
        <v>10881</v>
      </c>
      <c r="G1157" s="3">
        <v>167546</v>
      </c>
      <c r="H1157" s="3">
        <v>1.0449999999999999</v>
      </c>
      <c r="I1157" s="2">
        <f t="shared" si="277"/>
        <v>0</v>
      </c>
      <c r="J1157" s="10">
        <f t="shared" ref="J1157:J1220" si="279">C1157-F1156</f>
        <v>67</v>
      </c>
      <c r="K1157" s="10">
        <f t="shared" si="278"/>
        <v>97</v>
      </c>
      <c r="L1157" s="10">
        <f t="shared" ca="1" si="267"/>
        <v>0</v>
      </c>
      <c r="M1157" s="10">
        <f t="shared" ca="1" si="269"/>
        <v>0</v>
      </c>
      <c r="N1157" s="30">
        <f t="shared" ca="1" si="270"/>
        <v>0</v>
      </c>
      <c r="O1157" s="10">
        <f t="shared" ca="1" si="271"/>
        <v>0</v>
      </c>
      <c r="P1157" s="29">
        <f t="shared" ca="1" si="272"/>
        <v>0</v>
      </c>
      <c r="Q1157" s="12">
        <f t="shared" ca="1" si="273"/>
        <v>-294400</v>
      </c>
      <c r="R1157" s="10">
        <f t="shared" ca="1" si="274"/>
        <v>0</v>
      </c>
      <c r="S1157" s="10">
        <f t="shared" ca="1" si="264"/>
        <v>5.8149677269291153E-4</v>
      </c>
      <c r="T1157" s="14">
        <f t="shared" ca="1" si="265"/>
        <v>-0.13290328514402744</v>
      </c>
      <c r="U1157" s="12">
        <f t="shared" ca="1" si="275"/>
        <v>7900</v>
      </c>
      <c r="V1157" s="14">
        <f t="shared" ca="1" si="276"/>
        <v>-3826.5822784810125</v>
      </c>
      <c r="W1157" s="12">
        <f t="shared" ca="1" si="266"/>
        <v>-3367.0886075949365</v>
      </c>
      <c r="X1157" s="7">
        <f ca="1">AVERAGE(E1157:OFFSET(F1157,-$X$5+1,0))</f>
        <v>10735.5</v>
      </c>
      <c r="Y1157" s="7">
        <f ca="1">AVERAGE(E1157:OFFSET(F1157,-$Y$5+1,0))</f>
        <v>10822.9</v>
      </c>
      <c r="Z1157" s="7">
        <f t="shared" ca="1" si="268"/>
        <v>0</v>
      </c>
    </row>
    <row r="1158" spans="1:26">
      <c r="A1158" s="3" t="s">
        <v>79</v>
      </c>
      <c r="B1158" s="4">
        <v>43360</v>
      </c>
      <c r="C1158" s="3">
        <v>10857</v>
      </c>
      <c r="D1158" s="3">
        <v>10868</v>
      </c>
      <c r="E1158" s="3">
        <v>10810</v>
      </c>
      <c r="F1158" s="3">
        <v>10823</v>
      </c>
      <c r="G1158" s="3">
        <v>130683</v>
      </c>
      <c r="H1158" s="3">
        <v>1.0449999999999999</v>
      </c>
      <c r="I1158" s="2">
        <f t="shared" si="277"/>
        <v>0</v>
      </c>
      <c r="J1158" s="10">
        <f t="shared" si="279"/>
        <v>-24</v>
      </c>
      <c r="K1158" s="10">
        <f t="shared" si="278"/>
        <v>-34</v>
      </c>
      <c r="L1158" s="10">
        <f t="shared" ca="1" si="267"/>
        <v>0</v>
      </c>
      <c r="M1158" s="10">
        <f t="shared" ca="1" si="269"/>
        <v>0</v>
      </c>
      <c r="N1158" s="30">
        <f t="shared" ca="1" si="270"/>
        <v>0</v>
      </c>
      <c r="O1158" s="10">
        <f t="shared" ca="1" si="271"/>
        <v>0</v>
      </c>
      <c r="P1158" s="29">
        <f t="shared" ca="1" si="272"/>
        <v>0</v>
      </c>
      <c r="Q1158" s="12">
        <f t="shared" ca="1" si="273"/>
        <v>-294400</v>
      </c>
      <c r="R1158" s="10">
        <f t="shared" ca="1" si="274"/>
        <v>0</v>
      </c>
      <c r="S1158" s="10">
        <f t="shared" ca="1" si="264"/>
        <v>-7.9665057858928884E-2</v>
      </c>
      <c r="T1158" s="14">
        <f t="shared" ca="1" si="265"/>
        <v>-0.14311473840637079</v>
      </c>
      <c r="U1158" s="12">
        <f t="shared" ca="1" si="275"/>
        <v>7900</v>
      </c>
      <c r="V1158" s="14">
        <f t="shared" ca="1" si="276"/>
        <v>-3826.5822784810125</v>
      </c>
      <c r="W1158" s="12">
        <f t="shared" ca="1" si="266"/>
        <v>-3367.0886075949365</v>
      </c>
      <c r="X1158" s="7">
        <f ca="1">AVERAGE(E1158:OFFSET(F1158,-$X$5+1,0))</f>
        <v>10754.6</v>
      </c>
      <c r="Y1158" s="7">
        <f ca="1">AVERAGE(E1158:OFFSET(F1158,-$Y$5+1,0))</f>
        <v>10811.85</v>
      </c>
      <c r="Z1158" s="7">
        <f t="shared" ca="1" si="268"/>
        <v>0</v>
      </c>
    </row>
    <row r="1159" spans="1:26">
      <c r="A1159" s="3" t="s">
        <v>79</v>
      </c>
      <c r="B1159" s="4">
        <v>43361</v>
      </c>
      <c r="C1159" s="3">
        <v>10787</v>
      </c>
      <c r="D1159" s="3">
        <v>10818</v>
      </c>
      <c r="E1159" s="3">
        <v>10761</v>
      </c>
      <c r="F1159" s="3">
        <v>10781</v>
      </c>
      <c r="G1159" s="3">
        <v>155686</v>
      </c>
      <c r="H1159" s="3">
        <v>1.0449999999999999</v>
      </c>
      <c r="I1159" s="2">
        <f t="shared" si="277"/>
        <v>0</v>
      </c>
      <c r="J1159" s="10">
        <f t="shared" si="279"/>
        <v>-36</v>
      </c>
      <c r="K1159" s="10">
        <f t="shared" si="278"/>
        <v>-6</v>
      </c>
      <c r="L1159" s="10">
        <f t="shared" ca="1" si="267"/>
        <v>0</v>
      </c>
      <c r="M1159" s="10">
        <f t="shared" ca="1" si="269"/>
        <v>0</v>
      </c>
      <c r="N1159" s="30">
        <f t="shared" ca="1" si="270"/>
        <v>0</v>
      </c>
      <c r="O1159" s="10">
        <f t="shared" ca="1" si="271"/>
        <v>0</v>
      </c>
      <c r="P1159" s="29">
        <f t="shared" ca="1" si="272"/>
        <v>0</v>
      </c>
      <c r="Q1159" s="12">
        <f t="shared" ca="1" si="273"/>
        <v>-294400</v>
      </c>
      <c r="R1159" s="10">
        <f t="shared" ca="1" si="274"/>
        <v>0</v>
      </c>
      <c r="S1159" s="10">
        <f t="shared" ca="1" si="264"/>
        <v>-1.5700412862708613E-2</v>
      </c>
      <c r="T1159" s="14">
        <f t="shared" ca="1" si="265"/>
        <v>-0.13497517421174926</v>
      </c>
      <c r="U1159" s="12">
        <f t="shared" ca="1" si="275"/>
        <v>7900</v>
      </c>
      <c r="V1159" s="14">
        <f t="shared" ca="1" si="276"/>
        <v>-3826.5822784810125</v>
      </c>
      <c r="W1159" s="12">
        <f t="shared" ca="1" si="266"/>
        <v>-3367.0886075949365</v>
      </c>
      <c r="X1159" s="7">
        <f ca="1">AVERAGE(E1159:OFFSET(F1159,-$X$5+1,0))</f>
        <v>10766.6</v>
      </c>
      <c r="Y1159" s="7">
        <f ca="1">AVERAGE(E1159:OFFSET(F1159,-$Y$5+1,0))</f>
        <v>10792.1</v>
      </c>
      <c r="Z1159" s="7">
        <f t="shared" ca="1" si="268"/>
        <v>0</v>
      </c>
    </row>
    <row r="1160" spans="1:26">
      <c r="A1160" s="3" t="s">
        <v>79</v>
      </c>
      <c r="B1160" s="4">
        <v>43362</v>
      </c>
      <c r="C1160" s="3">
        <v>10836</v>
      </c>
      <c r="D1160" s="3">
        <v>10875</v>
      </c>
      <c r="E1160" s="3">
        <v>10819</v>
      </c>
      <c r="F1160" s="3">
        <v>10873</v>
      </c>
      <c r="G1160" s="3">
        <v>70379</v>
      </c>
      <c r="H1160" s="3">
        <v>1.0449999999999999</v>
      </c>
      <c r="I1160" s="2">
        <f t="shared" si="277"/>
        <v>1</v>
      </c>
      <c r="J1160" s="10">
        <f t="shared" si="279"/>
        <v>55</v>
      </c>
      <c r="K1160" s="10">
        <f t="shared" si="278"/>
        <v>37</v>
      </c>
      <c r="L1160" s="10">
        <f t="shared" ca="1" si="267"/>
        <v>1</v>
      </c>
      <c r="M1160" s="10">
        <f t="shared" si="269"/>
        <v>0</v>
      </c>
      <c r="N1160" s="30">
        <f t="shared" si="270"/>
        <v>0</v>
      </c>
      <c r="O1160" s="10">
        <f t="shared" si="271"/>
        <v>0</v>
      </c>
      <c r="P1160" s="29">
        <f t="shared" ca="1" si="272"/>
        <v>0</v>
      </c>
      <c r="Q1160" s="12">
        <f t="shared" ca="1" si="273"/>
        <v>-294400</v>
      </c>
      <c r="R1160" s="10">
        <f t="shared" ca="1" si="274"/>
        <v>0</v>
      </c>
      <c r="S1160" s="10">
        <f t="shared" ca="1" si="264"/>
        <v>-3.8960283770425076E-2</v>
      </c>
      <c r="T1160" s="14">
        <f t="shared" ca="1" si="265"/>
        <v>-0.13793501573706618</v>
      </c>
      <c r="U1160" s="12">
        <f t="shared" ca="1" si="275"/>
        <v>7900</v>
      </c>
      <c r="V1160" s="14">
        <f t="shared" ca="1" si="276"/>
        <v>-3826.5822784810125</v>
      </c>
      <c r="W1160" s="12">
        <f t="shared" ca="1" si="266"/>
        <v>-3367.0886075949365</v>
      </c>
      <c r="X1160" s="7">
        <f ca="1">AVERAGE(E1160:OFFSET(F1160,-$X$5+1,0))</f>
        <v>10794.5</v>
      </c>
      <c r="Y1160" s="7">
        <f ca="1">AVERAGE(E1160:OFFSET(F1160,-$Y$5+1,0))</f>
        <v>10781.8</v>
      </c>
      <c r="Z1160" s="7">
        <f t="shared" ca="1" si="268"/>
        <v>1</v>
      </c>
    </row>
    <row r="1161" spans="1:26">
      <c r="A1161" s="3" t="s">
        <v>80</v>
      </c>
      <c r="B1161" s="4">
        <v>43363</v>
      </c>
      <c r="C1161" s="3">
        <v>10910</v>
      </c>
      <c r="D1161" s="3">
        <v>10922</v>
      </c>
      <c r="E1161" s="3">
        <v>10824</v>
      </c>
      <c r="F1161" s="3">
        <v>10848</v>
      </c>
      <c r="G1161" s="3">
        <v>147069</v>
      </c>
      <c r="H1161" s="3">
        <v>1.0449999999999999</v>
      </c>
      <c r="I1161" s="2">
        <f t="shared" si="277"/>
        <v>0</v>
      </c>
      <c r="J1161" s="10">
        <f t="shared" si="279"/>
        <v>37</v>
      </c>
      <c r="K1161" s="10">
        <f t="shared" si="278"/>
        <v>-62</v>
      </c>
      <c r="L1161" s="10">
        <f t="shared" ca="1" si="267"/>
        <v>0</v>
      </c>
      <c r="M1161" s="10">
        <f t="shared" ca="1" si="269"/>
        <v>1</v>
      </c>
      <c r="N1161" s="30">
        <f t="shared" ca="1" si="270"/>
        <v>2182000</v>
      </c>
      <c r="O1161" s="10">
        <f t="shared" ca="1" si="271"/>
        <v>2182000</v>
      </c>
      <c r="P1161" s="29">
        <f t="shared" ca="1" si="272"/>
        <v>-12900</v>
      </c>
      <c r="Q1161" s="12">
        <f t="shared" ca="1" si="273"/>
        <v>-307300</v>
      </c>
      <c r="R1161" s="10">
        <f t="shared" ca="1" si="274"/>
        <v>-0.59120073327222733</v>
      </c>
      <c r="S1161" s="10">
        <f t="shared" ca="1" si="264"/>
        <v>-7.8435419784302601E-2</v>
      </c>
      <c r="T1161" s="14">
        <f t="shared" ca="1" si="265"/>
        <v>-0.14258615289808002</v>
      </c>
      <c r="U1161" s="12">
        <f t="shared" ca="1" si="275"/>
        <v>7900</v>
      </c>
      <c r="V1161" s="14">
        <f t="shared" ca="1" si="276"/>
        <v>-3989.8734177215188</v>
      </c>
      <c r="W1161" s="12">
        <f t="shared" ca="1" si="266"/>
        <v>-3367.0886075949365</v>
      </c>
      <c r="X1161" s="7">
        <f ca="1">AVERAGE(E1161:OFFSET(F1161,-$X$5+1,0))</f>
        <v>10819.1</v>
      </c>
      <c r="Y1161" s="7">
        <f ca="1">AVERAGE(E1161:OFFSET(F1161,-$Y$5+1,0))</f>
        <v>10777.1</v>
      </c>
      <c r="Z1161" s="7">
        <f t="shared" ca="1" si="268"/>
        <v>0</v>
      </c>
    </row>
    <row r="1162" spans="1:26">
      <c r="A1162" s="3" t="s">
        <v>80</v>
      </c>
      <c r="B1162" s="4">
        <v>43364</v>
      </c>
      <c r="C1162" s="3">
        <v>10905</v>
      </c>
      <c r="D1162" s="3">
        <v>10976</v>
      </c>
      <c r="E1162" s="3">
        <v>10854</v>
      </c>
      <c r="F1162" s="3">
        <v>10974</v>
      </c>
      <c r="G1162" s="3">
        <v>160951</v>
      </c>
      <c r="H1162" s="3">
        <v>1.0449999999999999</v>
      </c>
      <c r="I1162" s="2">
        <f t="shared" si="277"/>
        <v>0</v>
      </c>
      <c r="J1162" s="10">
        <f t="shared" si="279"/>
        <v>57</v>
      </c>
      <c r="K1162" s="10">
        <f t="shared" si="278"/>
        <v>69</v>
      </c>
      <c r="L1162" s="10">
        <f t="shared" ca="1" si="267"/>
        <v>0</v>
      </c>
      <c r="M1162" s="10">
        <f t="shared" ca="1" si="269"/>
        <v>1</v>
      </c>
      <c r="N1162" s="30">
        <f t="shared" ca="1" si="270"/>
        <v>0</v>
      </c>
      <c r="O1162" s="10">
        <f t="shared" ca="1" si="271"/>
        <v>2182000</v>
      </c>
      <c r="P1162" s="29">
        <f t="shared" ca="1" si="272"/>
        <v>25200</v>
      </c>
      <c r="Q1162" s="12">
        <f t="shared" ca="1" si="273"/>
        <v>-282100</v>
      </c>
      <c r="R1162" s="10">
        <f t="shared" ca="1" si="274"/>
        <v>1.1549037580201651</v>
      </c>
      <c r="S1162" s="10">
        <f t="shared" ca="1" si="264"/>
        <v>0.11249290469064452</v>
      </c>
      <c r="T1162" s="14">
        <f t="shared" ca="1" si="265"/>
        <v>-0.11725699963248677</v>
      </c>
      <c r="U1162" s="12">
        <f t="shared" ca="1" si="275"/>
        <v>7900</v>
      </c>
      <c r="V1162" s="14">
        <f t="shared" ca="1" si="276"/>
        <v>-3670.8860759493673</v>
      </c>
      <c r="W1162" s="12">
        <f t="shared" ca="1" si="266"/>
        <v>-3367.0886075949365</v>
      </c>
      <c r="X1162" s="7">
        <f ca="1">AVERAGE(E1162:OFFSET(F1162,-$X$5+1,0))</f>
        <v>10836.7</v>
      </c>
      <c r="Y1162" s="7">
        <f ca="1">AVERAGE(E1162:OFFSET(F1162,-$Y$5+1,0))</f>
        <v>10786.1</v>
      </c>
      <c r="Z1162" s="7">
        <f t="shared" ca="1" si="268"/>
        <v>0</v>
      </c>
    </row>
    <row r="1163" spans="1:26">
      <c r="A1163" s="3" t="s">
        <v>80</v>
      </c>
      <c r="B1163" s="4">
        <v>43368</v>
      </c>
      <c r="C1163" s="3">
        <v>10960</v>
      </c>
      <c r="D1163" s="3">
        <v>10996</v>
      </c>
      <c r="E1163" s="3">
        <v>10935</v>
      </c>
      <c r="F1163" s="3">
        <v>10981</v>
      </c>
      <c r="G1163" s="3">
        <v>98858</v>
      </c>
      <c r="H1163" s="3">
        <v>1.0449999999999999</v>
      </c>
      <c r="I1163" s="2">
        <f t="shared" si="277"/>
        <v>0</v>
      </c>
      <c r="J1163" s="10">
        <f t="shared" si="279"/>
        <v>-14</v>
      </c>
      <c r="K1163" s="10">
        <f t="shared" si="278"/>
        <v>21</v>
      </c>
      <c r="L1163" s="10">
        <f t="shared" ca="1" si="267"/>
        <v>0</v>
      </c>
      <c r="M1163" s="10">
        <f t="shared" ca="1" si="269"/>
        <v>1</v>
      </c>
      <c r="N1163" s="30">
        <f t="shared" ca="1" si="270"/>
        <v>0</v>
      </c>
      <c r="O1163" s="10">
        <f t="shared" ca="1" si="271"/>
        <v>2182000</v>
      </c>
      <c r="P1163" s="29">
        <f t="shared" ca="1" si="272"/>
        <v>1400</v>
      </c>
      <c r="Q1163" s="12">
        <f t="shared" ca="1" si="273"/>
        <v>-280700</v>
      </c>
      <c r="R1163" s="10">
        <f t="shared" ca="1" si="274"/>
        <v>6.4161319890009172E-2</v>
      </c>
      <c r="S1163" s="10">
        <f t="shared" ca="1" si="264"/>
        <v>0.19092832447494712</v>
      </c>
      <c r="T1163" s="14">
        <f t="shared" ca="1" si="265"/>
        <v>-0.10739243911625634</v>
      </c>
      <c r="U1163" s="12">
        <f t="shared" ca="1" si="275"/>
        <v>7900</v>
      </c>
      <c r="V1163" s="14">
        <f t="shared" ca="1" si="276"/>
        <v>-3653.1645569620255</v>
      </c>
      <c r="W1163" s="12">
        <f t="shared" ca="1" si="266"/>
        <v>-3367.0886075949365</v>
      </c>
      <c r="X1163" s="7">
        <f ca="1">AVERAGE(E1163:OFFSET(F1163,-$X$5+1,0))</f>
        <v>10865</v>
      </c>
      <c r="Y1163" s="7">
        <f ca="1">AVERAGE(E1163:OFFSET(F1163,-$Y$5+1,0))</f>
        <v>10809.8</v>
      </c>
      <c r="Z1163" s="7">
        <f t="shared" ca="1" si="268"/>
        <v>0</v>
      </c>
    </row>
    <row r="1164" spans="1:26">
      <c r="A1164" s="3" t="s">
        <v>80</v>
      </c>
      <c r="B1164" s="4">
        <v>43369</v>
      </c>
      <c r="C1164" s="3">
        <v>10963</v>
      </c>
      <c r="D1164" s="3">
        <v>10991</v>
      </c>
      <c r="E1164" s="3">
        <v>10949</v>
      </c>
      <c r="F1164" s="3">
        <v>10972</v>
      </c>
      <c r="G1164" s="3">
        <v>107637</v>
      </c>
      <c r="H1164" s="3">
        <v>1.0449999999999999</v>
      </c>
      <c r="I1164" s="2">
        <f t="shared" si="277"/>
        <v>0</v>
      </c>
      <c r="J1164" s="10">
        <f t="shared" si="279"/>
        <v>-18</v>
      </c>
      <c r="K1164" s="10">
        <f t="shared" si="278"/>
        <v>9</v>
      </c>
      <c r="L1164" s="10">
        <f t="shared" ca="1" si="267"/>
        <v>0</v>
      </c>
      <c r="M1164" s="10">
        <f t="shared" ca="1" si="269"/>
        <v>1</v>
      </c>
      <c r="N1164" s="30">
        <f t="shared" ca="1" si="270"/>
        <v>0</v>
      </c>
      <c r="O1164" s="10">
        <f t="shared" ca="1" si="271"/>
        <v>2182000</v>
      </c>
      <c r="P1164" s="29">
        <f t="shared" ca="1" si="272"/>
        <v>-1800</v>
      </c>
      <c r="Q1164" s="12">
        <f t="shared" ca="1" si="273"/>
        <v>-282500</v>
      </c>
      <c r="R1164" s="10">
        <f t="shared" ca="1" si="274"/>
        <v>-8.2493125572868933E-2</v>
      </c>
      <c r="S1164" s="10">
        <f t="shared" ca="1" si="264"/>
        <v>0.19505650446359463</v>
      </c>
      <c r="T1164" s="14">
        <f t="shared" ca="1" si="265"/>
        <v>-0.10686653236989156</v>
      </c>
      <c r="U1164" s="12">
        <f t="shared" ca="1" si="275"/>
        <v>7900</v>
      </c>
      <c r="V1164" s="14">
        <f t="shared" ca="1" si="276"/>
        <v>-3675.9493670886077</v>
      </c>
      <c r="W1164" s="12">
        <f t="shared" ca="1" si="266"/>
        <v>-3367.0886075949365</v>
      </c>
      <c r="X1164" s="7">
        <f ca="1">AVERAGE(E1164:OFFSET(F1164,-$X$5+1,0))</f>
        <v>10902.9</v>
      </c>
      <c r="Y1164" s="7">
        <f ca="1">AVERAGE(E1164:OFFSET(F1164,-$Y$5+1,0))</f>
        <v>10834.75</v>
      </c>
      <c r="Z1164" s="7">
        <f t="shared" ca="1" si="268"/>
        <v>0</v>
      </c>
    </row>
    <row r="1165" spans="1:26">
      <c r="A1165" s="3" t="s">
        <v>80</v>
      </c>
      <c r="B1165" s="4">
        <v>43370</v>
      </c>
      <c r="C1165" s="3">
        <v>10955</v>
      </c>
      <c r="D1165" s="3">
        <v>11011</v>
      </c>
      <c r="E1165" s="3">
        <v>10936</v>
      </c>
      <c r="F1165" s="3">
        <v>10982</v>
      </c>
      <c r="G1165" s="3">
        <v>136789</v>
      </c>
      <c r="H1165" s="3">
        <v>1.0449999999999999</v>
      </c>
      <c r="I1165" s="2">
        <f t="shared" si="277"/>
        <v>0</v>
      </c>
      <c r="J1165" s="10">
        <f t="shared" si="279"/>
        <v>-17</v>
      </c>
      <c r="K1165" s="10">
        <f t="shared" si="278"/>
        <v>27</v>
      </c>
      <c r="L1165" s="10">
        <f t="shared" ca="1" si="267"/>
        <v>0</v>
      </c>
      <c r="M1165" s="10">
        <f t="shared" ca="1" si="269"/>
        <v>1</v>
      </c>
      <c r="N1165" s="30">
        <f t="shared" ca="1" si="270"/>
        <v>0</v>
      </c>
      <c r="O1165" s="10">
        <f t="shared" ca="1" si="271"/>
        <v>2182000</v>
      </c>
      <c r="P1165" s="29">
        <f t="shared" ca="1" si="272"/>
        <v>2000</v>
      </c>
      <c r="Q1165" s="12">
        <f t="shared" ca="1" si="273"/>
        <v>-280500</v>
      </c>
      <c r="R1165" s="10">
        <f t="shared" ca="1" si="274"/>
        <v>9.1659028414298807E-2</v>
      </c>
      <c r="S1165" s="10">
        <f t="shared" ca="1" si="264"/>
        <v>0.24975488931317405</v>
      </c>
      <c r="T1165" s="14">
        <f t="shared" ca="1" si="265"/>
        <v>-0.10033793202423164</v>
      </c>
      <c r="U1165" s="12">
        <f t="shared" ca="1" si="275"/>
        <v>7900</v>
      </c>
      <c r="V1165" s="14">
        <f t="shared" ca="1" si="276"/>
        <v>-3650.6329113924053</v>
      </c>
      <c r="W1165" s="12">
        <f t="shared" ca="1" si="266"/>
        <v>-3367.0886075949365</v>
      </c>
      <c r="X1165" s="7">
        <f ca="1">AVERAGE(E1165:OFFSET(F1165,-$X$5+1,0))</f>
        <v>10925.5</v>
      </c>
      <c r="Y1165" s="7">
        <f ca="1">AVERAGE(E1165:OFFSET(F1165,-$Y$5+1,0))</f>
        <v>10860</v>
      </c>
      <c r="Z1165" s="7">
        <f t="shared" ca="1" si="268"/>
        <v>0</v>
      </c>
    </row>
    <row r="1166" spans="1:26">
      <c r="A1166" s="3" t="s">
        <v>80</v>
      </c>
      <c r="B1166" s="4">
        <v>43371</v>
      </c>
      <c r="C1166" s="3">
        <v>11011</v>
      </c>
      <c r="D1166" s="3">
        <v>11039</v>
      </c>
      <c r="E1166" s="3">
        <v>10921</v>
      </c>
      <c r="F1166" s="3">
        <v>10955</v>
      </c>
      <c r="G1166" s="3">
        <v>162520</v>
      </c>
      <c r="H1166" s="3">
        <v>1.0449999999999999</v>
      </c>
      <c r="I1166" s="2">
        <f t="shared" si="277"/>
        <v>0</v>
      </c>
      <c r="J1166" s="10">
        <f t="shared" si="279"/>
        <v>29</v>
      </c>
      <c r="K1166" s="10">
        <f t="shared" si="278"/>
        <v>-56</v>
      </c>
      <c r="L1166" s="10">
        <f t="shared" ca="1" si="267"/>
        <v>0</v>
      </c>
      <c r="M1166" s="10">
        <f t="shared" ca="1" si="269"/>
        <v>1</v>
      </c>
      <c r="N1166" s="30">
        <f t="shared" ca="1" si="270"/>
        <v>0</v>
      </c>
      <c r="O1166" s="10">
        <f t="shared" ca="1" si="271"/>
        <v>2182000</v>
      </c>
      <c r="P1166" s="29">
        <f t="shared" ca="1" si="272"/>
        <v>-5400</v>
      </c>
      <c r="Q1166" s="12">
        <f t="shared" ca="1" si="273"/>
        <v>-285900</v>
      </c>
      <c r="R1166" s="10">
        <f t="shared" ca="1" si="274"/>
        <v>-0.24747937671860679</v>
      </c>
      <c r="S1166" s="10">
        <f t="shared" ca="1" si="264"/>
        <v>0.25749522679188813</v>
      </c>
      <c r="T1166" s="14">
        <f t="shared" ca="1" si="265"/>
        <v>-9.940417408070007E-2</v>
      </c>
      <c r="U1166" s="12">
        <f t="shared" ca="1" si="275"/>
        <v>7900</v>
      </c>
      <c r="V1166" s="14">
        <f t="shared" ca="1" si="276"/>
        <v>-3718.9873417721519</v>
      </c>
      <c r="W1166" s="12">
        <f t="shared" ca="1" si="266"/>
        <v>-3367.0886075949365</v>
      </c>
      <c r="X1166" s="7">
        <f ca="1">AVERAGE(E1166:OFFSET(F1166,-$X$5+1,0))</f>
        <v>10945.9</v>
      </c>
      <c r="Y1166" s="7">
        <f ca="1">AVERAGE(E1166:OFFSET(F1166,-$Y$5+1,0))</f>
        <v>10882.5</v>
      </c>
      <c r="Z1166" s="7">
        <f t="shared" ca="1" si="268"/>
        <v>0</v>
      </c>
    </row>
    <row r="1167" spans="1:26">
      <c r="A1167" s="3" t="s">
        <v>80</v>
      </c>
      <c r="B1167" s="4">
        <v>43374</v>
      </c>
      <c r="C1167" s="3">
        <v>10968</v>
      </c>
      <c r="D1167" s="3">
        <v>11018</v>
      </c>
      <c r="E1167" s="3">
        <v>10966</v>
      </c>
      <c r="F1167" s="3">
        <v>11006</v>
      </c>
      <c r="G1167" s="3">
        <v>89433</v>
      </c>
      <c r="H1167" s="3">
        <v>1.0449999999999999</v>
      </c>
      <c r="I1167" s="2">
        <f t="shared" si="277"/>
        <v>0</v>
      </c>
      <c r="J1167" s="10">
        <f t="shared" si="279"/>
        <v>13</v>
      </c>
      <c r="K1167" s="10">
        <f t="shared" si="278"/>
        <v>38</v>
      </c>
      <c r="L1167" s="10">
        <f t="shared" ca="1" si="267"/>
        <v>0</v>
      </c>
      <c r="M1167" s="10">
        <f t="shared" ca="1" si="269"/>
        <v>1</v>
      </c>
      <c r="N1167" s="30">
        <f t="shared" ca="1" si="270"/>
        <v>0</v>
      </c>
      <c r="O1167" s="10">
        <f t="shared" ca="1" si="271"/>
        <v>2182000</v>
      </c>
      <c r="P1167" s="29">
        <f t="shared" ca="1" si="272"/>
        <v>10200</v>
      </c>
      <c r="Q1167" s="12">
        <f t="shared" ca="1" si="273"/>
        <v>-275700</v>
      </c>
      <c r="R1167" s="10">
        <f t="shared" ca="1" si="274"/>
        <v>0.4674610449129239</v>
      </c>
      <c r="S1167" s="10">
        <f t="shared" ca="1" si="264"/>
        <v>0.3101295216471438</v>
      </c>
      <c r="T1167" s="14">
        <f t="shared" ca="1" si="265"/>
        <v>-9.2622700008643921E-2</v>
      </c>
      <c r="U1167" s="12">
        <f t="shared" ca="1" si="275"/>
        <v>7900</v>
      </c>
      <c r="V1167" s="14">
        <f t="shared" ca="1" si="276"/>
        <v>-3589.8734177215188</v>
      </c>
      <c r="W1167" s="12">
        <f t="shared" ca="1" si="266"/>
        <v>-3367.0886075949365</v>
      </c>
      <c r="X1167" s="7">
        <f ca="1">AVERAGE(E1167:OFFSET(F1167,-$X$5+1,0))</f>
        <v>10960.3</v>
      </c>
      <c r="Y1167" s="7">
        <f ca="1">AVERAGE(E1167:OFFSET(F1167,-$Y$5+1,0))</f>
        <v>10898.5</v>
      </c>
      <c r="Z1167" s="7">
        <f t="shared" ca="1" si="268"/>
        <v>0</v>
      </c>
    </row>
    <row r="1168" spans="1:26">
      <c r="A1168" s="3" t="s">
        <v>80</v>
      </c>
      <c r="B1168" s="4">
        <v>43375</v>
      </c>
      <c r="C1168" s="3">
        <v>11006</v>
      </c>
      <c r="D1168" s="3">
        <v>11011</v>
      </c>
      <c r="E1168" s="3">
        <v>10873</v>
      </c>
      <c r="F1168" s="3">
        <v>10879</v>
      </c>
      <c r="G1168" s="3">
        <v>156457</v>
      </c>
      <c r="H1168" s="3">
        <v>1.0449999999999999</v>
      </c>
      <c r="I1168" s="2">
        <f t="shared" si="277"/>
        <v>0</v>
      </c>
      <c r="J1168" s="10">
        <f t="shared" si="279"/>
        <v>0</v>
      </c>
      <c r="K1168" s="10">
        <f t="shared" si="278"/>
        <v>-127</v>
      </c>
      <c r="L1168" s="10">
        <f t="shared" ca="1" si="267"/>
        <v>0</v>
      </c>
      <c r="M1168" s="10">
        <f t="shared" ca="1" si="269"/>
        <v>1</v>
      </c>
      <c r="N1168" s="30">
        <f t="shared" ca="1" si="270"/>
        <v>0</v>
      </c>
      <c r="O1168" s="10">
        <f t="shared" ca="1" si="271"/>
        <v>2182000</v>
      </c>
      <c r="P1168" s="29">
        <f t="shared" ca="1" si="272"/>
        <v>-25400</v>
      </c>
      <c r="Q1168" s="12">
        <f t="shared" ca="1" si="273"/>
        <v>-301100</v>
      </c>
      <c r="R1168" s="10">
        <f t="shared" ca="1" si="274"/>
        <v>-1.1640696608615948</v>
      </c>
      <c r="S1168" s="10">
        <f t="shared" ca="1" si="264"/>
        <v>0.17905980700758553</v>
      </c>
      <c r="T1168" s="14">
        <f t="shared" ca="1" si="265"/>
        <v>-0.10814841646456562</v>
      </c>
      <c r="U1168" s="12">
        <f t="shared" ca="1" si="275"/>
        <v>7900</v>
      </c>
      <c r="V1168" s="14">
        <f t="shared" ca="1" si="276"/>
        <v>-3911.3924050632913</v>
      </c>
      <c r="W1168" s="12">
        <f t="shared" ca="1" si="266"/>
        <v>-3367.0886075949365</v>
      </c>
      <c r="X1168" s="7">
        <f ca="1">AVERAGE(E1168:OFFSET(F1168,-$X$5+1,0))</f>
        <v>10943.9</v>
      </c>
      <c r="Y1168" s="7">
        <f ca="1">AVERAGE(E1168:OFFSET(F1168,-$Y$5+1,0))</f>
        <v>10904.45</v>
      </c>
      <c r="Z1168" s="7">
        <f t="shared" ca="1" si="268"/>
        <v>0</v>
      </c>
    </row>
    <row r="1169" spans="1:26">
      <c r="A1169" s="3" t="s">
        <v>80</v>
      </c>
      <c r="B1169" s="4">
        <v>43376</v>
      </c>
      <c r="C1169" s="3">
        <v>10880</v>
      </c>
      <c r="D1169" s="3">
        <v>10914</v>
      </c>
      <c r="E1169" s="3">
        <v>10845</v>
      </c>
      <c r="F1169" s="3">
        <v>10856</v>
      </c>
      <c r="G1169" s="3">
        <v>136321</v>
      </c>
      <c r="H1169" s="3">
        <v>1.0449999999999999</v>
      </c>
      <c r="I1169" s="2">
        <f t="shared" si="277"/>
        <v>0</v>
      </c>
      <c r="J1169" s="10">
        <f t="shared" si="279"/>
        <v>1</v>
      </c>
      <c r="K1169" s="10">
        <f t="shared" si="278"/>
        <v>-24</v>
      </c>
      <c r="L1169" s="10">
        <f t="shared" ca="1" si="267"/>
        <v>0</v>
      </c>
      <c r="M1169" s="10">
        <f t="shared" ca="1" si="269"/>
        <v>1</v>
      </c>
      <c r="N1169" s="30">
        <f t="shared" ca="1" si="270"/>
        <v>0</v>
      </c>
      <c r="O1169" s="10">
        <f t="shared" ca="1" si="271"/>
        <v>2182000</v>
      </c>
      <c r="P1169" s="29">
        <f t="shared" ca="1" si="272"/>
        <v>-4600</v>
      </c>
      <c r="Q1169" s="12">
        <f t="shared" ca="1" si="273"/>
        <v>-305700</v>
      </c>
      <c r="R1169" s="10">
        <f t="shared" ca="1" si="274"/>
        <v>-0.21081576535288726</v>
      </c>
      <c r="S1169" s="10">
        <f t="shared" ca="1" si="264"/>
        <v>0.15532277207286238</v>
      </c>
      <c r="T1169" s="14">
        <f t="shared" ca="1" si="265"/>
        <v>-0.11140464301076433</v>
      </c>
      <c r="U1169" s="12">
        <f t="shared" ca="1" si="275"/>
        <v>7900</v>
      </c>
      <c r="V1169" s="14">
        <f t="shared" ca="1" si="276"/>
        <v>-3969.6202531645567</v>
      </c>
      <c r="W1169" s="12">
        <f t="shared" ca="1" si="266"/>
        <v>-3367.0886075949365</v>
      </c>
      <c r="X1169" s="7">
        <f ca="1">AVERAGE(E1169:OFFSET(F1169,-$X$5+1,0))</f>
        <v>10921.9</v>
      </c>
      <c r="Y1169" s="7">
        <f ca="1">AVERAGE(E1169:OFFSET(F1169,-$Y$5+1,0))</f>
        <v>10912.4</v>
      </c>
      <c r="Z1169" s="7">
        <f t="shared" ca="1" si="268"/>
        <v>0</v>
      </c>
    </row>
    <row r="1170" spans="1:26">
      <c r="A1170" s="3" t="s">
        <v>80</v>
      </c>
      <c r="B1170" s="4">
        <v>43377</v>
      </c>
      <c r="C1170" s="3">
        <v>10823</v>
      </c>
      <c r="D1170" s="3">
        <v>10830</v>
      </c>
      <c r="E1170" s="3">
        <v>10688</v>
      </c>
      <c r="F1170" s="3">
        <v>10694</v>
      </c>
      <c r="G1170" s="3">
        <v>160072</v>
      </c>
      <c r="H1170" s="3">
        <v>1.0449999999999999</v>
      </c>
      <c r="I1170" s="2">
        <f t="shared" si="277"/>
        <v>0</v>
      </c>
      <c r="J1170" s="10">
        <f t="shared" si="279"/>
        <v>-33</v>
      </c>
      <c r="K1170" s="10">
        <f t="shared" si="278"/>
        <v>-129</v>
      </c>
      <c r="L1170" s="10">
        <f t="shared" ca="1" si="267"/>
        <v>-1</v>
      </c>
      <c r="M1170" s="10">
        <f t="shared" ca="1" si="269"/>
        <v>1</v>
      </c>
      <c r="N1170" s="30">
        <f t="shared" ca="1" si="270"/>
        <v>0</v>
      </c>
      <c r="O1170" s="10">
        <f t="shared" ca="1" si="271"/>
        <v>2182000</v>
      </c>
      <c r="P1170" s="29">
        <f t="shared" ca="1" si="272"/>
        <v>-32400</v>
      </c>
      <c r="Q1170" s="12">
        <f t="shared" ca="1" si="273"/>
        <v>-338100</v>
      </c>
      <c r="R1170" s="10">
        <f t="shared" ca="1" si="274"/>
        <v>-1.4848762603116408</v>
      </c>
      <c r="S1170" s="10">
        <f t="shared" ca="1" si="264"/>
        <v>-1.1868517467361577E-2</v>
      </c>
      <c r="T1170" s="14">
        <f t="shared" ca="1" si="265"/>
        <v>-0.13037566784142915</v>
      </c>
      <c r="U1170" s="12">
        <f t="shared" ca="1" si="275"/>
        <v>7900</v>
      </c>
      <c r="V1170" s="14">
        <f t="shared" ca="1" si="276"/>
        <v>-4379.7468354430375</v>
      </c>
      <c r="W1170" s="12">
        <f t="shared" ca="1" si="266"/>
        <v>-3367.0886075949365</v>
      </c>
      <c r="X1170" s="7">
        <f ca="1">AVERAGE(E1170:OFFSET(F1170,-$X$5+1,0))</f>
        <v>10868.3</v>
      </c>
      <c r="Y1170" s="7">
        <f ca="1">AVERAGE(E1170:OFFSET(F1170,-$Y$5+1,0))</f>
        <v>10896.9</v>
      </c>
      <c r="Z1170" s="7">
        <f t="shared" ca="1" si="268"/>
        <v>-1</v>
      </c>
    </row>
    <row r="1171" spans="1:26">
      <c r="A1171" s="3" t="s">
        <v>80</v>
      </c>
      <c r="B1171" s="4">
        <v>43378</v>
      </c>
      <c r="C1171" s="3">
        <v>10658</v>
      </c>
      <c r="D1171" s="3">
        <v>10673</v>
      </c>
      <c r="E1171" s="3">
        <v>10431</v>
      </c>
      <c r="F1171" s="3">
        <v>10506</v>
      </c>
      <c r="G1171" s="3">
        <v>256183</v>
      </c>
      <c r="H1171" s="3">
        <v>1.0449999999999999</v>
      </c>
      <c r="I1171" s="2">
        <f t="shared" si="277"/>
        <v>0</v>
      </c>
      <c r="J1171" s="10">
        <f t="shared" si="279"/>
        <v>-36</v>
      </c>
      <c r="K1171" s="10">
        <f t="shared" si="278"/>
        <v>-152</v>
      </c>
      <c r="L1171" s="10">
        <f t="shared" ca="1" si="267"/>
        <v>0</v>
      </c>
      <c r="M1171" s="10">
        <f t="shared" ca="1" si="269"/>
        <v>0</v>
      </c>
      <c r="N1171" s="30">
        <f t="shared" ca="1" si="270"/>
        <v>0</v>
      </c>
      <c r="O1171" s="10">
        <f t="shared" ca="1" si="271"/>
        <v>0</v>
      </c>
      <c r="P1171" s="29">
        <f t="shared" ca="1" si="272"/>
        <v>-7700</v>
      </c>
      <c r="Q1171" s="12">
        <f t="shared" ca="1" si="273"/>
        <v>-345800</v>
      </c>
      <c r="R1171" s="10">
        <f t="shared" ca="1" si="274"/>
        <v>-0.35288725939505039</v>
      </c>
      <c r="S1171" s="10">
        <f t="shared" ca="1" si="264"/>
        <v>-5.1602249858093814E-2</v>
      </c>
      <c r="T1171" s="14">
        <f t="shared" ca="1" si="265"/>
        <v>-0.1352199483012847</v>
      </c>
      <c r="U1171" s="12">
        <f t="shared" ca="1" si="275"/>
        <v>7900</v>
      </c>
      <c r="V1171" s="14">
        <f t="shared" ca="1" si="276"/>
        <v>-4477.2151898734173</v>
      </c>
      <c r="W1171" s="12">
        <f t="shared" ca="1" si="266"/>
        <v>-3367.0886075949365</v>
      </c>
      <c r="X1171" s="7">
        <f ca="1">AVERAGE(E1171:OFFSET(F1171,-$X$5+1,0))</f>
        <v>10774.4</v>
      </c>
      <c r="Y1171" s="7">
        <f ca="1">AVERAGE(E1171:OFFSET(F1171,-$Y$5+1,0))</f>
        <v>10860.15</v>
      </c>
      <c r="Z1171" s="7">
        <f t="shared" ca="1" si="268"/>
        <v>0</v>
      </c>
    </row>
    <row r="1172" spans="1:26">
      <c r="A1172" s="3" t="s">
        <v>80</v>
      </c>
      <c r="B1172" s="4">
        <v>43381</v>
      </c>
      <c r="C1172" s="3">
        <v>10470</v>
      </c>
      <c r="D1172" s="3">
        <v>10530</v>
      </c>
      <c r="E1172" s="3">
        <v>10416</v>
      </c>
      <c r="F1172" s="3">
        <v>10461</v>
      </c>
      <c r="G1172" s="3">
        <v>174770</v>
      </c>
      <c r="H1172" s="3">
        <v>1.0449999999999999</v>
      </c>
      <c r="I1172" s="2">
        <f t="shared" si="277"/>
        <v>0</v>
      </c>
      <c r="J1172" s="10">
        <f t="shared" si="279"/>
        <v>-36</v>
      </c>
      <c r="K1172" s="10">
        <f t="shared" si="278"/>
        <v>-9</v>
      </c>
      <c r="L1172" s="10">
        <f t="shared" ca="1" si="267"/>
        <v>0</v>
      </c>
      <c r="M1172" s="10">
        <f t="shared" ca="1" si="269"/>
        <v>0</v>
      </c>
      <c r="N1172" s="30">
        <f t="shared" ca="1" si="270"/>
        <v>0</v>
      </c>
      <c r="O1172" s="10">
        <f t="shared" ca="1" si="271"/>
        <v>0</v>
      </c>
      <c r="P1172" s="29">
        <f t="shared" ca="1" si="272"/>
        <v>0</v>
      </c>
      <c r="Q1172" s="12">
        <f t="shared" ca="1" si="273"/>
        <v>-345800</v>
      </c>
      <c r="R1172" s="10">
        <f t="shared" ca="1" si="274"/>
        <v>0</v>
      </c>
      <c r="S1172" s="10">
        <f t="shared" ca="1" si="264"/>
        <v>-5.1602249858093814E-2</v>
      </c>
      <c r="T1172" s="14">
        <f t="shared" ca="1" si="265"/>
        <v>-0.13526736237417006</v>
      </c>
      <c r="U1172" s="12">
        <f t="shared" ca="1" si="275"/>
        <v>7900</v>
      </c>
      <c r="V1172" s="14">
        <f t="shared" ca="1" si="276"/>
        <v>-4477.2151898734173</v>
      </c>
      <c r="W1172" s="12">
        <f t="shared" ca="1" si="266"/>
        <v>-3367.0886075949365</v>
      </c>
      <c r="X1172" s="7">
        <f ca="1">AVERAGE(E1172:OFFSET(F1172,-$X$5+1,0))</f>
        <v>10664.9</v>
      </c>
      <c r="Y1172" s="7">
        <f ca="1">AVERAGE(E1172:OFFSET(F1172,-$Y$5+1,0))</f>
        <v>10812.6</v>
      </c>
      <c r="Z1172" s="7">
        <f t="shared" ca="1" si="268"/>
        <v>0</v>
      </c>
    </row>
    <row r="1173" spans="1:26">
      <c r="A1173" s="3" t="s">
        <v>80</v>
      </c>
      <c r="B1173" s="4">
        <v>43382</v>
      </c>
      <c r="C1173" s="3">
        <v>10491</v>
      </c>
      <c r="D1173" s="3">
        <v>10508</v>
      </c>
      <c r="E1173" s="3">
        <v>10447</v>
      </c>
      <c r="F1173" s="3">
        <v>10460</v>
      </c>
      <c r="G1173" s="3">
        <v>153437</v>
      </c>
      <c r="H1173" s="3">
        <v>1.0449999999999999</v>
      </c>
      <c r="I1173" s="2">
        <f t="shared" si="277"/>
        <v>0</v>
      </c>
      <c r="J1173" s="10">
        <f t="shared" si="279"/>
        <v>30</v>
      </c>
      <c r="K1173" s="10">
        <f t="shared" si="278"/>
        <v>-31</v>
      </c>
      <c r="L1173" s="10">
        <f t="shared" ca="1" si="267"/>
        <v>0</v>
      </c>
      <c r="M1173" s="10">
        <f t="shared" ca="1" si="269"/>
        <v>0</v>
      </c>
      <c r="N1173" s="30">
        <f t="shared" ca="1" si="270"/>
        <v>0</v>
      </c>
      <c r="O1173" s="10">
        <f t="shared" ca="1" si="271"/>
        <v>0</v>
      </c>
      <c r="P1173" s="29">
        <f t="shared" ca="1" si="272"/>
        <v>0</v>
      </c>
      <c r="Q1173" s="12">
        <f t="shared" ca="1" si="273"/>
        <v>-345800</v>
      </c>
      <c r="R1173" s="10">
        <f t="shared" ca="1" si="274"/>
        <v>0</v>
      </c>
      <c r="S1173" s="10">
        <f t="shared" ca="1" si="264"/>
        <v>-5.1602249858093814E-2</v>
      </c>
      <c r="T1173" s="14">
        <f t="shared" ca="1" si="265"/>
        <v>-0.13534645083508948</v>
      </c>
      <c r="U1173" s="12">
        <f t="shared" ca="1" si="275"/>
        <v>7900</v>
      </c>
      <c r="V1173" s="14">
        <f t="shared" ca="1" si="276"/>
        <v>-4477.2151898734173</v>
      </c>
      <c r="W1173" s="12">
        <f t="shared" ca="1" si="266"/>
        <v>-3367.0886075949365</v>
      </c>
      <c r="X1173" s="7">
        <f ca="1">AVERAGE(E1173:OFFSET(F1173,-$X$5+1,0))</f>
        <v>10580.4</v>
      </c>
      <c r="Y1173" s="7">
        <f ca="1">AVERAGE(E1173:OFFSET(F1173,-$Y$5+1,0))</f>
        <v>10762.15</v>
      </c>
      <c r="Z1173" s="7">
        <f t="shared" ca="1" si="268"/>
        <v>0</v>
      </c>
    </row>
    <row r="1174" spans="1:26">
      <c r="A1174" s="3" t="s">
        <v>80</v>
      </c>
      <c r="B1174" s="4">
        <v>43384</v>
      </c>
      <c r="C1174" s="3">
        <v>10026</v>
      </c>
      <c r="D1174" s="3">
        <v>10080</v>
      </c>
      <c r="E1174" s="3">
        <v>9630</v>
      </c>
      <c r="F1174" s="3">
        <v>9642</v>
      </c>
      <c r="G1174" s="3">
        <v>348653</v>
      </c>
      <c r="H1174" s="3">
        <v>1.0449999999999999</v>
      </c>
      <c r="I1174" s="2">
        <f t="shared" si="277"/>
        <v>0</v>
      </c>
      <c r="J1174" s="10">
        <f t="shared" si="279"/>
        <v>-434</v>
      </c>
      <c r="K1174" s="10">
        <f t="shared" si="278"/>
        <v>-384</v>
      </c>
      <c r="L1174" s="10">
        <f t="shared" ca="1" si="267"/>
        <v>0</v>
      </c>
      <c r="M1174" s="10">
        <f t="shared" ca="1" si="269"/>
        <v>0</v>
      </c>
      <c r="N1174" s="30">
        <f t="shared" ca="1" si="270"/>
        <v>0</v>
      </c>
      <c r="O1174" s="10">
        <f t="shared" ca="1" si="271"/>
        <v>0</v>
      </c>
      <c r="P1174" s="29">
        <f t="shared" ca="1" si="272"/>
        <v>0</v>
      </c>
      <c r="Q1174" s="12">
        <f t="shared" ca="1" si="273"/>
        <v>-345800</v>
      </c>
      <c r="R1174" s="10">
        <f t="shared" ca="1" si="274"/>
        <v>0</v>
      </c>
      <c r="S1174" s="10">
        <f t="shared" ca="1" si="264"/>
        <v>-5.1602249858093814E-2</v>
      </c>
      <c r="T1174" s="14">
        <f t="shared" ca="1" si="265"/>
        <v>-0.13568305085362026</v>
      </c>
      <c r="U1174" s="12">
        <f t="shared" ca="1" si="275"/>
        <v>7900</v>
      </c>
      <c r="V1174" s="14">
        <f t="shared" ca="1" si="276"/>
        <v>-4477.2151898734173</v>
      </c>
      <c r="W1174" s="12">
        <f t="shared" ca="1" si="266"/>
        <v>-3367.0886075949365</v>
      </c>
      <c r="X1174" s="7">
        <f ca="1">AVERAGE(E1174:OFFSET(F1174,-$X$5+1,0))</f>
        <v>10337.5</v>
      </c>
      <c r="Y1174" s="7">
        <f ca="1">AVERAGE(E1174:OFFSET(F1174,-$Y$5+1,0))</f>
        <v>10629.7</v>
      </c>
      <c r="Z1174" s="7">
        <f t="shared" ca="1" si="268"/>
        <v>0</v>
      </c>
    </row>
    <row r="1175" spans="1:26">
      <c r="A1175" s="3" t="s">
        <v>80</v>
      </c>
      <c r="B1175" s="4">
        <v>43385</v>
      </c>
      <c r="C1175" s="3">
        <v>9736</v>
      </c>
      <c r="D1175" s="3">
        <v>10021</v>
      </c>
      <c r="E1175" s="3">
        <v>9683</v>
      </c>
      <c r="F1175" s="3">
        <v>9948</v>
      </c>
      <c r="G1175" s="3">
        <v>251156</v>
      </c>
      <c r="H1175" s="3">
        <v>1.0449999999999999</v>
      </c>
      <c r="I1175" s="2">
        <f t="shared" si="277"/>
        <v>0</v>
      </c>
      <c r="J1175" s="10">
        <f t="shared" si="279"/>
        <v>94</v>
      </c>
      <c r="K1175" s="10">
        <f t="shared" si="278"/>
        <v>212</v>
      </c>
      <c r="L1175" s="10">
        <f t="shared" ca="1" si="267"/>
        <v>0</v>
      </c>
      <c r="M1175" s="10">
        <f t="shared" ca="1" si="269"/>
        <v>0</v>
      </c>
      <c r="N1175" s="30">
        <f t="shared" ca="1" si="270"/>
        <v>0</v>
      </c>
      <c r="O1175" s="10">
        <f t="shared" ca="1" si="271"/>
        <v>0</v>
      </c>
      <c r="P1175" s="29">
        <f t="shared" ca="1" si="272"/>
        <v>0</v>
      </c>
      <c r="Q1175" s="12">
        <f t="shared" ca="1" si="273"/>
        <v>-345800</v>
      </c>
      <c r="R1175" s="10">
        <f t="shared" ca="1" si="274"/>
        <v>0</v>
      </c>
      <c r="S1175" s="10">
        <f t="shared" ca="1" si="264"/>
        <v>-5.1602249858093814E-2</v>
      </c>
      <c r="T1175" s="14">
        <f t="shared" ca="1" si="265"/>
        <v>-0.13575455016157437</v>
      </c>
      <c r="U1175" s="12">
        <f t="shared" ca="1" si="275"/>
        <v>7900</v>
      </c>
      <c r="V1175" s="14">
        <f t="shared" ca="1" si="276"/>
        <v>-4477.2151898734173</v>
      </c>
      <c r="W1175" s="12">
        <f t="shared" ca="1" si="266"/>
        <v>-3367.0886075949365</v>
      </c>
      <c r="X1175" s="7">
        <f ca="1">AVERAGE(E1175:OFFSET(F1175,-$X$5+1,0))</f>
        <v>10162.4</v>
      </c>
      <c r="Y1175" s="7">
        <f ca="1">AVERAGE(E1175:OFFSET(F1175,-$Y$5+1,0))</f>
        <v>10515.35</v>
      </c>
      <c r="Z1175" s="7">
        <f t="shared" ca="1" si="268"/>
        <v>0</v>
      </c>
    </row>
    <row r="1176" spans="1:26">
      <c r="A1176" s="3" t="s">
        <v>80</v>
      </c>
      <c r="B1176" s="4">
        <v>43388</v>
      </c>
      <c r="C1176" s="3">
        <v>9899</v>
      </c>
      <c r="D1176" s="3">
        <v>9927</v>
      </c>
      <c r="E1176" s="3">
        <v>9854</v>
      </c>
      <c r="F1176" s="3">
        <v>9860</v>
      </c>
      <c r="G1176" s="3">
        <v>164909</v>
      </c>
      <c r="H1176" s="3">
        <v>1.0449999999999999</v>
      </c>
      <c r="I1176" s="2">
        <f t="shared" si="277"/>
        <v>0</v>
      </c>
      <c r="J1176" s="10">
        <f t="shared" si="279"/>
        <v>-49</v>
      </c>
      <c r="K1176" s="10">
        <f t="shared" si="278"/>
        <v>-39</v>
      </c>
      <c r="L1176" s="10">
        <f t="shared" ca="1" si="267"/>
        <v>0</v>
      </c>
      <c r="M1176" s="10">
        <f t="shared" ca="1" si="269"/>
        <v>0</v>
      </c>
      <c r="N1176" s="30">
        <f t="shared" ca="1" si="270"/>
        <v>0</v>
      </c>
      <c r="O1176" s="10">
        <f t="shared" ca="1" si="271"/>
        <v>0</v>
      </c>
      <c r="P1176" s="29">
        <f t="shared" ca="1" si="272"/>
        <v>0</v>
      </c>
      <c r="Q1176" s="12">
        <f t="shared" ca="1" si="273"/>
        <v>-345800</v>
      </c>
      <c r="R1176" s="10">
        <f t="shared" ca="1" si="274"/>
        <v>0</v>
      </c>
      <c r="S1176" s="10">
        <f t="shared" ca="1" si="264"/>
        <v>-5.1602249858093814E-2</v>
      </c>
      <c r="T1176" s="14">
        <f t="shared" ca="1" si="265"/>
        <v>-0.13613499675751994</v>
      </c>
      <c r="U1176" s="12">
        <f t="shared" ca="1" si="275"/>
        <v>7900</v>
      </c>
      <c r="V1176" s="14">
        <f t="shared" ca="1" si="276"/>
        <v>-4477.2151898734173</v>
      </c>
      <c r="W1176" s="12">
        <f t="shared" ca="1" si="266"/>
        <v>-3367.0886075949365</v>
      </c>
      <c r="X1176" s="7">
        <f ca="1">AVERAGE(E1176:OFFSET(F1176,-$X$5+1,0))</f>
        <v>10040.1</v>
      </c>
      <c r="Y1176" s="7">
        <f ca="1">AVERAGE(E1176:OFFSET(F1176,-$Y$5+1,0))</f>
        <v>10407.25</v>
      </c>
      <c r="Z1176" s="7">
        <f t="shared" ca="1" si="268"/>
        <v>0</v>
      </c>
    </row>
    <row r="1177" spans="1:26">
      <c r="A1177" s="3" t="s">
        <v>80</v>
      </c>
      <c r="B1177" s="4">
        <v>43389</v>
      </c>
      <c r="C1177" s="3">
        <v>9885</v>
      </c>
      <c r="D1177" s="3">
        <v>9992</v>
      </c>
      <c r="E1177" s="3">
        <v>9868</v>
      </c>
      <c r="F1177" s="3">
        <v>9951</v>
      </c>
      <c r="G1177" s="3">
        <v>197823</v>
      </c>
      <c r="H1177" s="3">
        <v>1.0449999999999999</v>
      </c>
      <c r="I1177" s="2">
        <f t="shared" si="277"/>
        <v>0</v>
      </c>
      <c r="J1177" s="10">
        <f t="shared" si="279"/>
        <v>25</v>
      </c>
      <c r="K1177" s="10">
        <f t="shared" si="278"/>
        <v>66</v>
      </c>
      <c r="L1177" s="10">
        <f t="shared" ca="1" si="267"/>
        <v>0</v>
      </c>
      <c r="M1177" s="10">
        <f t="shared" ca="1" si="269"/>
        <v>0</v>
      </c>
      <c r="N1177" s="30">
        <f t="shared" ca="1" si="270"/>
        <v>0</v>
      </c>
      <c r="O1177" s="10">
        <f t="shared" ca="1" si="271"/>
        <v>0</v>
      </c>
      <c r="P1177" s="29">
        <f t="shared" ca="1" si="272"/>
        <v>0</v>
      </c>
      <c r="Q1177" s="12">
        <f t="shared" ca="1" si="273"/>
        <v>-345800</v>
      </c>
      <c r="R1177" s="10">
        <f t="shared" ca="1" si="274"/>
        <v>0</v>
      </c>
      <c r="S1177" s="10">
        <f t="shared" ca="1" si="264"/>
        <v>-5.1602249858093814E-2</v>
      </c>
      <c r="T1177" s="14">
        <f t="shared" ca="1" si="265"/>
        <v>-0.1361426817074417</v>
      </c>
      <c r="U1177" s="12">
        <f t="shared" ca="1" si="275"/>
        <v>7900</v>
      </c>
      <c r="V1177" s="14">
        <f t="shared" ca="1" si="276"/>
        <v>-4477.2151898734173</v>
      </c>
      <c r="W1177" s="12">
        <f t="shared" ca="1" si="266"/>
        <v>-3367.0886075949365</v>
      </c>
      <c r="X1177" s="7">
        <f ca="1">AVERAGE(E1177:OFFSET(F1177,-$X$5+1,0))</f>
        <v>9934.2999999999993</v>
      </c>
      <c r="Y1177" s="7">
        <f ca="1">AVERAGE(E1177:OFFSET(F1177,-$Y$5+1,0))</f>
        <v>10299.6</v>
      </c>
      <c r="Z1177" s="7">
        <f t="shared" ca="1" si="268"/>
        <v>0</v>
      </c>
    </row>
    <row r="1178" spans="1:26">
      <c r="A1178" s="3" t="s">
        <v>80</v>
      </c>
      <c r="B1178" s="4">
        <v>43390</v>
      </c>
      <c r="C1178" s="3">
        <v>10082</v>
      </c>
      <c r="D1178" s="3">
        <v>10114</v>
      </c>
      <c r="E1178" s="3">
        <v>9987</v>
      </c>
      <c r="F1178" s="3">
        <v>9993</v>
      </c>
      <c r="G1178" s="3">
        <v>106223</v>
      </c>
      <c r="H1178" s="3">
        <v>1.0449999999999999</v>
      </c>
      <c r="I1178" s="2">
        <f t="shared" si="277"/>
        <v>1</v>
      </c>
      <c r="J1178" s="10">
        <f t="shared" si="279"/>
        <v>131</v>
      </c>
      <c r="K1178" s="10">
        <f t="shared" si="278"/>
        <v>-89</v>
      </c>
      <c r="L1178" s="10">
        <f t="shared" ca="1" si="267"/>
        <v>0</v>
      </c>
      <c r="M1178" s="10">
        <f t="shared" si="269"/>
        <v>0</v>
      </c>
      <c r="N1178" s="30">
        <f t="shared" si="270"/>
        <v>0</v>
      </c>
      <c r="O1178" s="10">
        <f t="shared" si="271"/>
        <v>0</v>
      </c>
      <c r="P1178" s="29">
        <f t="shared" ca="1" si="272"/>
        <v>0</v>
      </c>
      <c r="Q1178" s="12">
        <f t="shared" ca="1" si="273"/>
        <v>-345800</v>
      </c>
      <c r="R1178" s="10">
        <f t="shared" ca="1" si="274"/>
        <v>0</v>
      </c>
      <c r="S1178" s="10">
        <f t="shared" ca="1" si="264"/>
        <v>-5.1602249858093814E-2</v>
      </c>
      <c r="T1178" s="14">
        <f t="shared" ca="1" si="265"/>
        <v>-0.13619914519394324</v>
      </c>
      <c r="U1178" s="12">
        <f t="shared" ca="1" si="275"/>
        <v>7900</v>
      </c>
      <c r="V1178" s="14">
        <f t="shared" ca="1" si="276"/>
        <v>-4477.2151898734173</v>
      </c>
      <c r="W1178" s="12">
        <f t="shared" ca="1" si="266"/>
        <v>-3367.0886075949365</v>
      </c>
      <c r="X1178" s="7">
        <f ca="1">AVERAGE(E1178:OFFSET(F1178,-$X$5+1,0))</f>
        <v>9841.6</v>
      </c>
      <c r="Y1178" s="7">
        <f ca="1">AVERAGE(E1178:OFFSET(F1178,-$Y$5+1,0))</f>
        <v>10211</v>
      </c>
      <c r="Z1178" s="7">
        <f t="shared" ca="1" si="268"/>
        <v>0</v>
      </c>
    </row>
    <row r="1179" spans="1:26">
      <c r="A1179" s="3" t="s">
        <v>81</v>
      </c>
      <c r="B1179" s="4">
        <v>43391</v>
      </c>
      <c r="C1179" s="3">
        <v>9923</v>
      </c>
      <c r="D1179" s="3">
        <v>9986</v>
      </c>
      <c r="E1179" s="3">
        <v>9878</v>
      </c>
      <c r="F1179" s="3">
        <v>9884</v>
      </c>
      <c r="G1179" s="3">
        <v>151011</v>
      </c>
      <c r="H1179" s="3">
        <v>1.0449999999999999</v>
      </c>
      <c r="I1179" s="2">
        <f t="shared" si="277"/>
        <v>0</v>
      </c>
      <c r="J1179" s="10">
        <f t="shared" si="279"/>
        <v>-70</v>
      </c>
      <c r="K1179" s="10">
        <f t="shared" si="278"/>
        <v>-39</v>
      </c>
      <c r="L1179" s="10">
        <f t="shared" ca="1" si="267"/>
        <v>0</v>
      </c>
      <c r="M1179" s="10">
        <f t="shared" ca="1" si="269"/>
        <v>0</v>
      </c>
      <c r="N1179" s="30">
        <f t="shared" ca="1" si="270"/>
        <v>0</v>
      </c>
      <c r="O1179" s="10">
        <f t="shared" ca="1" si="271"/>
        <v>0</v>
      </c>
      <c r="P1179" s="29">
        <f t="shared" ca="1" si="272"/>
        <v>0</v>
      </c>
      <c r="Q1179" s="12">
        <f t="shared" ca="1" si="273"/>
        <v>-345800</v>
      </c>
      <c r="R1179" s="10">
        <f t="shared" ca="1" si="274"/>
        <v>0</v>
      </c>
      <c r="S1179" s="10">
        <f t="shared" ca="1" si="264"/>
        <v>-5.1602249858093814E-2</v>
      </c>
      <c r="T1179" s="14">
        <f t="shared" ca="1" si="265"/>
        <v>-0.13619991662244277</v>
      </c>
      <c r="U1179" s="12">
        <f t="shared" ca="1" si="275"/>
        <v>7900</v>
      </c>
      <c r="V1179" s="14">
        <f t="shared" ca="1" si="276"/>
        <v>-4477.2151898734173</v>
      </c>
      <c r="W1179" s="12">
        <f t="shared" ca="1" si="266"/>
        <v>-3367.0886075949365</v>
      </c>
      <c r="X1179" s="7">
        <f ca="1">AVERAGE(E1179:OFFSET(F1179,-$X$5+1,0))</f>
        <v>9890.6</v>
      </c>
      <c r="Y1179" s="7">
        <f ca="1">AVERAGE(E1179:OFFSET(F1179,-$Y$5+1,0))</f>
        <v>10114.049999999999</v>
      </c>
      <c r="Z1179" s="7">
        <f t="shared" ca="1" si="268"/>
        <v>0</v>
      </c>
    </row>
    <row r="1180" spans="1:26">
      <c r="A1180" s="3" t="s">
        <v>81</v>
      </c>
      <c r="B1180" s="4">
        <v>43392</v>
      </c>
      <c r="C1180" s="3">
        <v>9753</v>
      </c>
      <c r="D1180" s="3">
        <v>9914</v>
      </c>
      <c r="E1180" s="3">
        <v>9747</v>
      </c>
      <c r="F1180" s="3">
        <v>9905</v>
      </c>
      <c r="G1180" s="3">
        <v>179393</v>
      </c>
      <c r="H1180" s="3">
        <v>1.0449999999999999</v>
      </c>
      <c r="I1180" s="2">
        <f t="shared" si="277"/>
        <v>0</v>
      </c>
      <c r="J1180" s="10">
        <f t="shared" si="279"/>
        <v>-131</v>
      </c>
      <c r="K1180" s="10">
        <f t="shared" si="278"/>
        <v>152</v>
      </c>
      <c r="L1180" s="10">
        <f t="shared" ca="1" si="267"/>
        <v>0</v>
      </c>
      <c r="M1180" s="10">
        <f t="shared" ca="1" si="269"/>
        <v>0</v>
      </c>
      <c r="N1180" s="30">
        <f t="shared" ca="1" si="270"/>
        <v>0</v>
      </c>
      <c r="O1180" s="10">
        <f t="shared" ca="1" si="271"/>
        <v>0</v>
      </c>
      <c r="P1180" s="29">
        <f t="shared" ca="1" si="272"/>
        <v>0</v>
      </c>
      <c r="Q1180" s="12">
        <f t="shared" ca="1" si="273"/>
        <v>-345800</v>
      </c>
      <c r="R1180" s="10">
        <f t="shared" ca="1" si="274"/>
        <v>0</v>
      </c>
      <c r="S1180" s="10">
        <f t="shared" ca="1" si="264"/>
        <v>-6.4502812322617273E-2</v>
      </c>
      <c r="T1180" s="14">
        <f t="shared" ca="1" si="265"/>
        <v>-0.1378021890345941</v>
      </c>
      <c r="U1180" s="12">
        <f t="shared" ca="1" si="275"/>
        <v>7900</v>
      </c>
      <c r="V1180" s="14">
        <f t="shared" ca="1" si="276"/>
        <v>-4477.2151898734173</v>
      </c>
      <c r="W1180" s="12">
        <f t="shared" ca="1" si="266"/>
        <v>-3367.0886075949365</v>
      </c>
      <c r="X1180" s="7">
        <f ca="1">AVERAGE(E1180:OFFSET(F1180,-$X$5+1,0))</f>
        <v>9892.7000000000007</v>
      </c>
      <c r="Y1180" s="7">
        <f ca="1">AVERAGE(E1180:OFFSET(F1180,-$Y$5+1,0))</f>
        <v>10027.549999999999</v>
      </c>
      <c r="Z1180" s="7">
        <f t="shared" ca="1" si="268"/>
        <v>0</v>
      </c>
    </row>
    <row r="1181" spans="1:26">
      <c r="A1181" s="3" t="s">
        <v>81</v>
      </c>
      <c r="B1181" s="4">
        <v>43395</v>
      </c>
      <c r="C1181" s="3">
        <v>9813</v>
      </c>
      <c r="D1181" s="3">
        <v>9972</v>
      </c>
      <c r="E1181" s="3">
        <v>9761</v>
      </c>
      <c r="F1181" s="3">
        <v>9935</v>
      </c>
      <c r="G1181" s="3">
        <v>178167</v>
      </c>
      <c r="H1181" s="3">
        <v>1.0449999999999999</v>
      </c>
      <c r="I1181" s="2">
        <f t="shared" si="277"/>
        <v>0</v>
      </c>
      <c r="J1181" s="10">
        <f t="shared" si="279"/>
        <v>-92</v>
      </c>
      <c r="K1181" s="10">
        <f t="shared" si="278"/>
        <v>122</v>
      </c>
      <c r="L1181" s="10">
        <f t="shared" ca="1" si="267"/>
        <v>0</v>
      </c>
      <c r="M1181" s="10">
        <f t="shared" ca="1" si="269"/>
        <v>0</v>
      </c>
      <c r="N1181" s="30">
        <f t="shared" ca="1" si="270"/>
        <v>0</v>
      </c>
      <c r="O1181" s="10">
        <f t="shared" ca="1" si="271"/>
        <v>0</v>
      </c>
      <c r="P1181" s="29">
        <f t="shared" ca="1" si="272"/>
        <v>0</v>
      </c>
      <c r="Q1181" s="12">
        <f t="shared" ca="1" si="273"/>
        <v>-345800</v>
      </c>
      <c r="R1181" s="10">
        <f t="shared" ca="1" si="274"/>
        <v>0</v>
      </c>
      <c r="S1181" s="10">
        <f t="shared" ca="1" si="264"/>
        <v>-2.8381237421951599E-2</v>
      </c>
      <c r="T1181" s="14">
        <f t="shared" ca="1" si="265"/>
        <v>-0.13342378965369245</v>
      </c>
      <c r="U1181" s="12">
        <f t="shared" ca="1" si="275"/>
        <v>7900</v>
      </c>
      <c r="V1181" s="14">
        <f t="shared" ca="1" si="276"/>
        <v>-4477.2151898734173</v>
      </c>
      <c r="W1181" s="12">
        <f t="shared" ca="1" si="266"/>
        <v>-3367.0886075949365</v>
      </c>
      <c r="X1181" s="7">
        <f ca="1">AVERAGE(E1181:OFFSET(F1181,-$X$5+1,0))</f>
        <v>9890.9</v>
      </c>
      <c r="Y1181" s="7">
        <f ca="1">AVERAGE(E1181:OFFSET(F1181,-$Y$5+1,0))</f>
        <v>9965.5</v>
      </c>
      <c r="Z1181" s="7">
        <f t="shared" ca="1" si="268"/>
        <v>0</v>
      </c>
    </row>
    <row r="1182" spans="1:26">
      <c r="A1182" s="3" t="s">
        <v>81</v>
      </c>
      <c r="B1182" s="4">
        <v>43396</v>
      </c>
      <c r="C1182" s="3">
        <v>9825</v>
      </c>
      <c r="D1182" s="3">
        <v>9849</v>
      </c>
      <c r="E1182" s="3">
        <v>9723</v>
      </c>
      <c r="F1182" s="3">
        <v>9728</v>
      </c>
      <c r="G1182" s="3">
        <v>186988</v>
      </c>
      <c r="H1182" s="3">
        <v>1.0449999999999999</v>
      </c>
      <c r="I1182" s="2">
        <f t="shared" si="277"/>
        <v>0</v>
      </c>
      <c r="J1182" s="10">
        <f t="shared" si="279"/>
        <v>-110</v>
      </c>
      <c r="K1182" s="10">
        <f t="shared" si="278"/>
        <v>-97</v>
      </c>
      <c r="L1182" s="10">
        <f t="shared" ca="1" si="267"/>
        <v>0</v>
      </c>
      <c r="M1182" s="10">
        <f t="shared" ca="1" si="269"/>
        <v>0</v>
      </c>
      <c r="N1182" s="30">
        <f t="shared" ca="1" si="270"/>
        <v>0</v>
      </c>
      <c r="O1182" s="10">
        <f t="shared" ca="1" si="271"/>
        <v>0</v>
      </c>
      <c r="P1182" s="29">
        <f t="shared" ca="1" si="272"/>
        <v>0</v>
      </c>
      <c r="Q1182" s="12">
        <f t="shared" ca="1" si="273"/>
        <v>-345800</v>
      </c>
      <c r="R1182" s="10">
        <f t="shared" ca="1" si="274"/>
        <v>0</v>
      </c>
      <c r="S1182" s="10">
        <f t="shared" ca="1" si="264"/>
        <v>1.2384539965942515E-2</v>
      </c>
      <c r="T1182" s="14">
        <f t="shared" ca="1" si="265"/>
        <v>-0.12875838666866318</v>
      </c>
      <c r="U1182" s="12">
        <f t="shared" ca="1" si="275"/>
        <v>7900</v>
      </c>
      <c r="V1182" s="14">
        <f t="shared" ca="1" si="276"/>
        <v>-4477.2151898734173</v>
      </c>
      <c r="W1182" s="12">
        <f t="shared" ca="1" si="266"/>
        <v>-3367.0886075949365</v>
      </c>
      <c r="X1182" s="7">
        <f ca="1">AVERAGE(E1182:OFFSET(F1182,-$X$5+1,0))</f>
        <v>9854.1</v>
      </c>
      <c r="Y1182" s="7">
        <f ca="1">AVERAGE(E1182:OFFSET(F1182,-$Y$5+1,0))</f>
        <v>9894.2000000000007</v>
      </c>
      <c r="Z1182" s="7">
        <f t="shared" ca="1" si="268"/>
        <v>0</v>
      </c>
    </row>
    <row r="1183" spans="1:26">
      <c r="A1183" s="3" t="s">
        <v>81</v>
      </c>
      <c r="B1183" s="4">
        <v>43397</v>
      </c>
      <c r="C1183" s="3">
        <v>9753</v>
      </c>
      <c r="D1183" s="3">
        <v>9791</v>
      </c>
      <c r="E1183" s="3">
        <v>9623</v>
      </c>
      <c r="F1183" s="3">
        <v>9715</v>
      </c>
      <c r="G1183" s="3">
        <v>221429</v>
      </c>
      <c r="H1183" s="3">
        <v>1.0449999999999999</v>
      </c>
      <c r="I1183" s="2">
        <f t="shared" si="277"/>
        <v>0</v>
      </c>
      <c r="J1183" s="10">
        <f t="shared" si="279"/>
        <v>25</v>
      </c>
      <c r="K1183" s="10">
        <f t="shared" si="278"/>
        <v>-38</v>
      </c>
      <c r="L1183" s="10">
        <f t="shared" ca="1" si="267"/>
        <v>0</v>
      </c>
      <c r="M1183" s="10">
        <f t="shared" ca="1" si="269"/>
        <v>0</v>
      </c>
      <c r="N1183" s="30">
        <f t="shared" ca="1" si="270"/>
        <v>0</v>
      </c>
      <c r="O1183" s="10">
        <f t="shared" ca="1" si="271"/>
        <v>0</v>
      </c>
      <c r="P1183" s="29">
        <f t="shared" ca="1" si="272"/>
        <v>0</v>
      </c>
      <c r="Q1183" s="12">
        <f t="shared" ca="1" si="273"/>
        <v>-345800</v>
      </c>
      <c r="R1183" s="10">
        <f t="shared" ca="1" si="274"/>
        <v>0</v>
      </c>
      <c r="S1183" s="10">
        <f t="shared" ca="1" si="264"/>
        <v>1.2384539965942515E-2</v>
      </c>
      <c r="T1183" s="14">
        <f t="shared" ca="1" si="265"/>
        <v>-0.12900436092503281</v>
      </c>
      <c r="U1183" s="12">
        <f t="shared" ca="1" si="275"/>
        <v>7900</v>
      </c>
      <c r="V1183" s="14">
        <f t="shared" ca="1" si="276"/>
        <v>-4477.2151898734173</v>
      </c>
      <c r="W1183" s="12">
        <f t="shared" ca="1" si="266"/>
        <v>-3367.0886075949365</v>
      </c>
      <c r="X1183" s="7">
        <f ca="1">AVERAGE(E1183:OFFSET(F1183,-$X$5+1,0))</f>
        <v>9789.9</v>
      </c>
      <c r="Y1183" s="7">
        <f ca="1">AVERAGE(E1183:OFFSET(F1183,-$Y$5+1,0))</f>
        <v>9815.75</v>
      </c>
      <c r="Z1183" s="7">
        <f t="shared" ca="1" si="268"/>
        <v>0</v>
      </c>
    </row>
    <row r="1184" spans="1:26">
      <c r="A1184" s="3" t="s">
        <v>81</v>
      </c>
      <c r="B1184" s="4">
        <v>43398</v>
      </c>
      <c r="C1184" s="3">
        <v>9423</v>
      </c>
      <c r="D1184" s="3">
        <v>9557</v>
      </c>
      <c r="E1184" s="3">
        <v>9414</v>
      </c>
      <c r="F1184" s="3">
        <v>9486</v>
      </c>
      <c r="G1184" s="3">
        <v>205902</v>
      </c>
      <c r="H1184" s="3">
        <v>1.0449999999999999</v>
      </c>
      <c r="I1184" s="2">
        <f t="shared" si="277"/>
        <v>0</v>
      </c>
      <c r="J1184" s="10">
        <f t="shared" si="279"/>
        <v>-292</v>
      </c>
      <c r="K1184" s="10">
        <f t="shared" si="278"/>
        <v>63</v>
      </c>
      <c r="L1184" s="10">
        <f t="shared" ca="1" si="267"/>
        <v>0</v>
      </c>
      <c r="M1184" s="10">
        <f t="shared" ca="1" si="269"/>
        <v>0</v>
      </c>
      <c r="N1184" s="30">
        <f t="shared" ca="1" si="270"/>
        <v>0</v>
      </c>
      <c r="O1184" s="10">
        <f t="shared" ca="1" si="271"/>
        <v>0</v>
      </c>
      <c r="P1184" s="29">
        <f t="shared" ca="1" si="272"/>
        <v>0</v>
      </c>
      <c r="Q1184" s="12">
        <f t="shared" ca="1" si="273"/>
        <v>-345800</v>
      </c>
      <c r="R1184" s="10">
        <f t="shared" ca="1" si="274"/>
        <v>0</v>
      </c>
      <c r="S1184" s="10">
        <f t="shared" ca="1" si="264"/>
        <v>1.2384539965942515E-2</v>
      </c>
      <c r="T1184" s="14">
        <f t="shared" ca="1" si="265"/>
        <v>-0.12901210908850433</v>
      </c>
      <c r="U1184" s="12">
        <f t="shared" ca="1" si="275"/>
        <v>7900</v>
      </c>
      <c r="V1184" s="14">
        <f t="shared" ca="1" si="276"/>
        <v>-4477.2151898734173</v>
      </c>
      <c r="W1184" s="12">
        <f t="shared" ca="1" si="266"/>
        <v>-3367.0886075949365</v>
      </c>
      <c r="X1184" s="7">
        <f ca="1">AVERAGE(E1184:OFFSET(F1184,-$X$5+1,0))</f>
        <v>9703.7000000000007</v>
      </c>
      <c r="Y1184" s="7">
        <f ca="1">AVERAGE(E1184:OFFSET(F1184,-$Y$5+1,0))</f>
        <v>9797.15</v>
      </c>
      <c r="Z1184" s="7">
        <f t="shared" ca="1" si="268"/>
        <v>0</v>
      </c>
    </row>
    <row r="1185" spans="1:26">
      <c r="A1185" s="3" t="s">
        <v>81</v>
      </c>
      <c r="B1185" s="4">
        <v>43399</v>
      </c>
      <c r="C1185" s="3">
        <v>9547</v>
      </c>
      <c r="D1185" s="3">
        <v>9573</v>
      </c>
      <c r="E1185" s="3">
        <v>9339</v>
      </c>
      <c r="F1185" s="3">
        <v>9424</v>
      </c>
      <c r="G1185" s="3">
        <v>241595</v>
      </c>
      <c r="H1185" s="3">
        <v>1.0449999999999999</v>
      </c>
      <c r="I1185" s="2">
        <f t="shared" si="277"/>
        <v>0</v>
      </c>
      <c r="J1185" s="10">
        <f t="shared" si="279"/>
        <v>61</v>
      </c>
      <c r="K1185" s="10">
        <f t="shared" si="278"/>
        <v>-123</v>
      </c>
      <c r="L1185" s="10">
        <f t="shared" ca="1" si="267"/>
        <v>0</v>
      </c>
      <c r="M1185" s="10">
        <f t="shared" ca="1" si="269"/>
        <v>0</v>
      </c>
      <c r="N1185" s="30">
        <f t="shared" ca="1" si="270"/>
        <v>0</v>
      </c>
      <c r="O1185" s="10">
        <f t="shared" ca="1" si="271"/>
        <v>0</v>
      </c>
      <c r="P1185" s="29">
        <f t="shared" ca="1" si="272"/>
        <v>0</v>
      </c>
      <c r="Q1185" s="12">
        <f t="shared" ca="1" si="273"/>
        <v>-345800</v>
      </c>
      <c r="R1185" s="10">
        <f t="shared" ca="1" si="274"/>
        <v>0</v>
      </c>
      <c r="S1185" s="10">
        <f t="shared" ca="1" si="264"/>
        <v>1.2384539965942515E-2</v>
      </c>
      <c r="T1185" s="14">
        <f t="shared" ca="1" si="265"/>
        <v>-0.12901210908850433</v>
      </c>
      <c r="U1185" s="12">
        <f t="shared" ca="1" si="275"/>
        <v>7900</v>
      </c>
      <c r="V1185" s="14">
        <f t="shared" ca="1" si="276"/>
        <v>-4477.2151898734173</v>
      </c>
      <c r="W1185" s="12">
        <f t="shared" ca="1" si="266"/>
        <v>-3367.0886075949365</v>
      </c>
      <c r="X1185" s="7">
        <f ca="1">AVERAGE(E1185:OFFSET(F1185,-$X$5+1,0))</f>
        <v>9614.7999999999993</v>
      </c>
      <c r="Y1185" s="7">
        <f ca="1">AVERAGE(E1185:OFFSET(F1185,-$Y$5+1,0))</f>
        <v>9753.75</v>
      </c>
      <c r="Z1185" s="7">
        <f t="shared" ca="1" si="268"/>
        <v>0</v>
      </c>
    </row>
    <row r="1186" spans="1:26">
      <c r="A1186" s="3" t="s">
        <v>81</v>
      </c>
      <c r="B1186" s="4">
        <v>43402</v>
      </c>
      <c r="C1186" s="3">
        <v>9527</v>
      </c>
      <c r="D1186" s="3">
        <v>9539</v>
      </c>
      <c r="E1186" s="3">
        <v>9428</v>
      </c>
      <c r="F1186" s="3">
        <v>9473</v>
      </c>
      <c r="G1186" s="3">
        <v>162497</v>
      </c>
      <c r="H1186" s="3">
        <v>1.0449999999999999</v>
      </c>
      <c r="I1186" s="2">
        <f t="shared" si="277"/>
        <v>0</v>
      </c>
      <c r="J1186" s="10">
        <f t="shared" si="279"/>
        <v>103</v>
      </c>
      <c r="K1186" s="10">
        <f t="shared" si="278"/>
        <v>-54</v>
      </c>
      <c r="L1186" s="10">
        <f t="shared" ca="1" si="267"/>
        <v>0</v>
      </c>
      <c r="M1186" s="10">
        <f t="shared" ca="1" si="269"/>
        <v>0</v>
      </c>
      <c r="N1186" s="30">
        <f t="shared" ca="1" si="270"/>
        <v>0</v>
      </c>
      <c r="O1186" s="10">
        <f t="shared" ca="1" si="271"/>
        <v>0</v>
      </c>
      <c r="P1186" s="29">
        <f t="shared" ca="1" si="272"/>
        <v>0</v>
      </c>
      <c r="Q1186" s="12">
        <f t="shared" ca="1" si="273"/>
        <v>-345800</v>
      </c>
      <c r="R1186" s="10">
        <f t="shared" ca="1" si="274"/>
        <v>0</v>
      </c>
      <c r="S1186" s="10">
        <f t="shared" ca="1" si="264"/>
        <v>1.2384539965942515E-2</v>
      </c>
      <c r="T1186" s="14">
        <f t="shared" ca="1" si="265"/>
        <v>-0.12901210908850433</v>
      </c>
      <c r="U1186" s="12">
        <f t="shared" ca="1" si="275"/>
        <v>7900</v>
      </c>
      <c r="V1186" s="14">
        <f t="shared" ca="1" si="276"/>
        <v>-4477.2151898734173</v>
      </c>
      <c r="W1186" s="12">
        <f t="shared" ca="1" si="266"/>
        <v>-3367.0886075949365</v>
      </c>
      <c r="X1186" s="7">
        <f ca="1">AVERAGE(E1186:OFFSET(F1186,-$X$5+1,0))</f>
        <v>9535.2999999999993</v>
      </c>
      <c r="Y1186" s="7">
        <f ca="1">AVERAGE(E1186:OFFSET(F1186,-$Y$5+1,0))</f>
        <v>9713.1</v>
      </c>
      <c r="Z1186" s="7">
        <f t="shared" ca="1" si="268"/>
        <v>0</v>
      </c>
    </row>
    <row r="1187" spans="1:26">
      <c r="A1187" s="3" t="s">
        <v>81</v>
      </c>
      <c r="B1187" s="4">
        <v>43403</v>
      </c>
      <c r="C1187" s="3">
        <v>9465</v>
      </c>
      <c r="D1187" s="3">
        <v>9564</v>
      </c>
      <c r="E1187" s="3">
        <v>9463</v>
      </c>
      <c r="F1187" s="3">
        <v>9524</v>
      </c>
      <c r="G1187" s="3">
        <v>169621</v>
      </c>
      <c r="H1187" s="3">
        <v>1.0449999999999999</v>
      </c>
      <c r="I1187" s="2">
        <f t="shared" si="277"/>
        <v>0</v>
      </c>
      <c r="J1187" s="10">
        <f t="shared" si="279"/>
        <v>-8</v>
      </c>
      <c r="K1187" s="10">
        <f t="shared" si="278"/>
        <v>59</v>
      </c>
      <c r="L1187" s="10">
        <f t="shared" ca="1" si="267"/>
        <v>0</v>
      </c>
      <c r="M1187" s="10">
        <f t="shared" ca="1" si="269"/>
        <v>0</v>
      </c>
      <c r="N1187" s="30">
        <f t="shared" ca="1" si="270"/>
        <v>0</v>
      </c>
      <c r="O1187" s="10">
        <f t="shared" ca="1" si="271"/>
        <v>0</v>
      </c>
      <c r="P1187" s="29">
        <f t="shared" ca="1" si="272"/>
        <v>0</v>
      </c>
      <c r="Q1187" s="12">
        <f t="shared" ca="1" si="273"/>
        <v>-345800</v>
      </c>
      <c r="R1187" s="10">
        <f t="shared" ca="1" si="274"/>
        <v>0</v>
      </c>
      <c r="S1187" s="10">
        <f t="shared" ca="1" si="264"/>
        <v>1.2384539965942515E-2</v>
      </c>
      <c r="T1187" s="14">
        <f t="shared" ca="1" si="265"/>
        <v>-0.12970710296602425</v>
      </c>
      <c r="U1187" s="12">
        <f t="shared" ca="1" si="275"/>
        <v>7900</v>
      </c>
      <c r="V1187" s="14">
        <f t="shared" ca="1" si="276"/>
        <v>-4477.2151898734173</v>
      </c>
      <c r="W1187" s="12">
        <f t="shared" ca="1" si="266"/>
        <v>-3367.0886075949365</v>
      </c>
      <c r="X1187" s="7">
        <f ca="1">AVERAGE(E1187:OFFSET(F1187,-$X$5+1,0))</f>
        <v>9488.9</v>
      </c>
      <c r="Y1187" s="7">
        <f ca="1">AVERAGE(E1187:OFFSET(F1187,-$Y$5+1,0))</f>
        <v>9671.5</v>
      </c>
      <c r="Z1187" s="7">
        <f t="shared" ca="1" si="268"/>
        <v>0</v>
      </c>
    </row>
    <row r="1188" spans="1:26">
      <c r="A1188" s="3" t="s">
        <v>81</v>
      </c>
      <c r="B1188" s="4">
        <v>43404</v>
      </c>
      <c r="C1188" s="3">
        <v>9595</v>
      </c>
      <c r="D1188" s="3">
        <v>9748</v>
      </c>
      <c r="E1188" s="3">
        <v>9590</v>
      </c>
      <c r="F1188" s="3">
        <v>9724</v>
      </c>
      <c r="G1188" s="3">
        <v>166496</v>
      </c>
      <c r="H1188" s="3">
        <v>1.0449999999999999</v>
      </c>
      <c r="I1188" s="2">
        <f t="shared" si="277"/>
        <v>0</v>
      </c>
      <c r="J1188" s="10">
        <f t="shared" si="279"/>
        <v>71</v>
      </c>
      <c r="K1188" s="10">
        <f t="shared" si="278"/>
        <v>129</v>
      </c>
      <c r="L1188" s="10">
        <f t="shared" ca="1" si="267"/>
        <v>0</v>
      </c>
      <c r="M1188" s="10">
        <f t="shared" ca="1" si="269"/>
        <v>0</v>
      </c>
      <c r="N1188" s="30">
        <f t="shared" ca="1" si="270"/>
        <v>0</v>
      </c>
      <c r="O1188" s="10">
        <f t="shared" ca="1" si="271"/>
        <v>0</v>
      </c>
      <c r="P1188" s="29">
        <f t="shared" ca="1" si="272"/>
        <v>0</v>
      </c>
      <c r="Q1188" s="12">
        <f t="shared" ca="1" si="273"/>
        <v>-345800</v>
      </c>
      <c r="R1188" s="10">
        <f t="shared" ca="1" si="274"/>
        <v>0</v>
      </c>
      <c r="S1188" s="10">
        <f t="shared" ca="1" si="264"/>
        <v>1.2384539965942515E-2</v>
      </c>
      <c r="T1188" s="14">
        <f t="shared" ca="1" si="265"/>
        <v>-0.13012209032191754</v>
      </c>
      <c r="U1188" s="12">
        <f t="shared" ca="1" si="275"/>
        <v>7900</v>
      </c>
      <c r="V1188" s="14">
        <f t="shared" ca="1" si="276"/>
        <v>-4477.2151898734173</v>
      </c>
      <c r="W1188" s="12">
        <f t="shared" ca="1" si="266"/>
        <v>-3367.0886075949365</v>
      </c>
      <c r="X1188" s="7">
        <f ca="1">AVERAGE(E1188:OFFSET(F1188,-$X$5+1,0))</f>
        <v>9486.5</v>
      </c>
      <c r="Y1188" s="7">
        <f ca="1">AVERAGE(E1188:OFFSET(F1188,-$Y$5+1,0))</f>
        <v>9638.2000000000007</v>
      </c>
      <c r="Z1188" s="7">
        <f t="shared" ca="1" si="268"/>
        <v>0</v>
      </c>
    </row>
    <row r="1189" spans="1:26">
      <c r="A1189" s="3" t="s">
        <v>81</v>
      </c>
      <c r="B1189" s="4">
        <v>43405</v>
      </c>
      <c r="C1189" s="3">
        <v>9750</v>
      </c>
      <c r="D1189" s="3">
        <v>9827</v>
      </c>
      <c r="E1189" s="3">
        <v>9705</v>
      </c>
      <c r="F1189" s="3">
        <v>9787</v>
      </c>
      <c r="G1189" s="3">
        <v>140555</v>
      </c>
      <c r="H1189" s="3">
        <v>1.0449999999999999</v>
      </c>
      <c r="I1189" s="2">
        <f t="shared" si="277"/>
        <v>0</v>
      </c>
      <c r="J1189" s="10">
        <f t="shared" si="279"/>
        <v>26</v>
      </c>
      <c r="K1189" s="10">
        <f t="shared" si="278"/>
        <v>37</v>
      </c>
      <c r="L1189" s="10">
        <f t="shared" ca="1" si="267"/>
        <v>0</v>
      </c>
      <c r="M1189" s="10">
        <f t="shared" ca="1" si="269"/>
        <v>0</v>
      </c>
      <c r="N1189" s="30">
        <f t="shared" ca="1" si="270"/>
        <v>0</v>
      </c>
      <c r="O1189" s="10">
        <f t="shared" ca="1" si="271"/>
        <v>0</v>
      </c>
      <c r="P1189" s="29">
        <f t="shared" ca="1" si="272"/>
        <v>0</v>
      </c>
      <c r="Q1189" s="12">
        <f t="shared" ca="1" si="273"/>
        <v>-345800</v>
      </c>
      <c r="R1189" s="10">
        <f t="shared" ca="1" si="274"/>
        <v>0</v>
      </c>
      <c r="S1189" s="10">
        <f t="shared" ca="1" si="264"/>
        <v>1.2384539965942515E-2</v>
      </c>
      <c r="T1189" s="14">
        <f t="shared" ca="1" si="265"/>
        <v>-0.13036847103876414</v>
      </c>
      <c r="U1189" s="12">
        <f t="shared" ca="1" si="275"/>
        <v>7900</v>
      </c>
      <c r="V1189" s="14">
        <f t="shared" ca="1" si="276"/>
        <v>-4477.2151898734173</v>
      </c>
      <c r="W1189" s="12">
        <f t="shared" ca="1" si="266"/>
        <v>-3367.0886075949365</v>
      </c>
      <c r="X1189" s="7">
        <f ca="1">AVERAGE(E1189:OFFSET(F1189,-$X$5+1,0))</f>
        <v>9545.7000000000007</v>
      </c>
      <c r="Y1189" s="7">
        <f ca="1">AVERAGE(E1189:OFFSET(F1189,-$Y$5+1,0))</f>
        <v>9624.7000000000007</v>
      </c>
      <c r="Z1189" s="7">
        <f t="shared" ca="1" si="268"/>
        <v>0</v>
      </c>
    </row>
    <row r="1190" spans="1:26">
      <c r="A1190" s="3" t="s">
        <v>81</v>
      </c>
      <c r="B1190" s="4">
        <v>43406</v>
      </c>
      <c r="C1190" s="3">
        <v>9868</v>
      </c>
      <c r="D1190" s="3">
        <v>9884</v>
      </c>
      <c r="E1190" s="3">
        <v>9791</v>
      </c>
      <c r="F1190" s="3">
        <v>9874</v>
      </c>
      <c r="G1190" s="3">
        <v>153413</v>
      </c>
      <c r="H1190" s="3">
        <v>1.0449999999999999</v>
      </c>
      <c r="I1190" s="2">
        <f t="shared" si="277"/>
        <v>0</v>
      </c>
      <c r="J1190" s="10">
        <f t="shared" si="279"/>
        <v>81</v>
      </c>
      <c r="K1190" s="10">
        <f t="shared" si="278"/>
        <v>6</v>
      </c>
      <c r="L1190" s="10">
        <f t="shared" ca="1" si="267"/>
        <v>1</v>
      </c>
      <c r="M1190" s="10">
        <f t="shared" ca="1" si="269"/>
        <v>0</v>
      </c>
      <c r="N1190" s="30">
        <f t="shared" ca="1" si="270"/>
        <v>0</v>
      </c>
      <c r="O1190" s="10">
        <f t="shared" ca="1" si="271"/>
        <v>0</v>
      </c>
      <c r="P1190" s="29">
        <f t="shared" ca="1" si="272"/>
        <v>0</v>
      </c>
      <c r="Q1190" s="12">
        <f t="shared" ca="1" si="273"/>
        <v>-345800</v>
      </c>
      <c r="R1190" s="10">
        <f t="shared" ca="1" si="274"/>
        <v>0</v>
      </c>
      <c r="S1190" s="10">
        <f t="shared" ca="1" si="264"/>
        <v>-2.5801124929046904E-3</v>
      </c>
      <c r="T1190" s="14">
        <f t="shared" ca="1" si="265"/>
        <v>-0.1322961821858317</v>
      </c>
      <c r="U1190" s="12">
        <f t="shared" ca="1" si="275"/>
        <v>7900</v>
      </c>
      <c r="V1190" s="14">
        <f t="shared" ca="1" si="276"/>
        <v>-4477.2151898734173</v>
      </c>
      <c r="W1190" s="12">
        <f t="shared" ca="1" si="266"/>
        <v>-3367.0886075949365</v>
      </c>
      <c r="X1190" s="7">
        <f ca="1">AVERAGE(E1190:OFFSET(F1190,-$X$5+1,0))</f>
        <v>9635.9</v>
      </c>
      <c r="Y1190" s="7">
        <f ca="1">AVERAGE(E1190:OFFSET(F1190,-$Y$5+1,0))</f>
        <v>9625.35</v>
      </c>
      <c r="Z1190" s="7">
        <f t="shared" ca="1" si="268"/>
        <v>1</v>
      </c>
    </row>
    <row r="1191" spans="1:26">
      <c r="A1191" s="3" t="s">
        <v>81</v>
      </c>
      <c r="B1191" s="4">
        <v>43409</v>
      </c>
      <c r="C1191" s="3">
        <v>9803</v>
      </c>
      <c r="D1191" s="3">
        <v>9824</v>
      </c>
      <c r="E1191" s="3">
        <v>9741</v>
      </c>
      <c r="F1191" s="3">
        <v>9817</v>
      </c>
      <c r="G1191" s="3">
        <v>145973</v>
      </c>
      <c r="H1191" s="3">
        <v>1.0449999999999999</v>
      </c>
      <c r="I1191" s="2">
        <f t="shared" si="277"/>
        <v>0</v>
      </c>
      <c r="J1191" s="10">
        <f t="shared" si="279"/>
        <v>-71</v>
      </c>
      <c r="K1191" s="10">
        <f t="shared" si="278"/>
        <v>14</v>
      </c>
      <c r="L1191" s="10">
        <f t="shared" ca="1" si="267"/>
        <v>0</v>
      </c>
      <c r="M1191" s="10">
        <f t="shared" ca="1" si="269"/>
        <v>1</v>
      </c>
      <c r="N1191" s="30">
        <f t="shared" ca="1" si="270"/>
        <v>1960600</v>
      </c>
      <c r="O1191" s="10">
        <f t="shared" ca="1" si="271"/>
        <v>1960600</v>
      </c>
      <c r="P1191" s="29">
        <f t="shared" ca="1" si="272"/>
        <v>2300</v>
      </c>
      <c r="Q1191" s="12">
        <f t="shared" ca="1" si="273"/>
        <v>-343500</v>
      </c>
      <c r="R1191" s="10">
        <f t="shared" ca="1" si="274"/>
        <v>0.11731102723656024</v>
      </c>
      <c r="S1191" s="10">
        <f t="shared" ca="1" si="264"/>
        <v>0</v>
      </c>
      <c r="T1191" s="14">
        <f t="shared" ca="1" si="265"/>
        <v>-0.13199291512728983</v>
      </c>
      <c r="U1191" s="12">
        <f t="shared" ca="1" si="275"/>
        <v>7900</v>
      </c>
      <c r="V1191" s="14">
        <f t="shared" ca="1" si="276"/>
        <v>-4448.1012658227846</v>
      </c>
      <c r="W1191" s="12">
        <f t="shared" ca="1" si="266"/>
        <v>-3367.0886075949365</v>
      </c>
      <c r="X1191" s="7">
        <f ca="1">AVERAGE(E1191:OFFSET(F1191,-$X$5+1,0))</f>
        <v>9701.6</v>
      </c>
      <c r="Y1191" s="7">
        <f ca="1">AVERAGE(E1191:OFFSET(F1191,-$Y$5+1,0))</f>
        <v>9618.4500000000007</v>
      </c>
      <c r="Z1191" s="7">
        <f t="shared" ca="1" si="268"/>
        <v>0</v>
      </c>
    </row>
    <row r="1192" spans="1:26">
      <c r="A1192" s="3" t="s">
        <v>81</v>
      </c>
      <c r="B1192" s="4">
        <v>43410</v>
      </c>
      <c r="C1192" s="3">
        <v>9849</v>
      </c>
      <c r="D1192" s="3">
        <v>9867</v>
      </c>
      <c r="E1192" s="3">
        <v>9746</v>
      </c>
      <c r="F1192" s="3">
        <v>9774</v>
      </c>
      <c r="G1192" s="3">
        <v>122426</v>
      </c>
      <c r="H1192" s="3">
        <v>1.0449999999999999</v>
      </c>
      <c r="I1192" s="2">
        <f t="shared" si="277"/>
        <v>0</v>
      </c>
      <c r="J1192" s="10">
        <f t="shared" si="279"/>
        <v>32</v>
      </c>
      <c r="K1192" s="10">
        <f t="shared" si="278"/>
        <v>-75</v>
      </c>
      <c r="L1192" s="10">
        <f t="shared" ca="1" si="267"/>
        <v>0</v>
      </c>
      <c r="M1192" s="10">
        <f t="shared" ca="1" si="269"/>
        <v>1</v>
      </c>
      <c r="N1192" s="30">
        <f t="shared" ca="1" si="270"/>
        <v>0</v>
      </c>
      <c r="O1192" s="10">
        <f t="shared" ca="1" si="271"/>
        <v>1960600</v>
      </c>
      <c r="P1192" s="29">
        <f t="shared" ca="1" si="272"/>
        <v>-8600</v>
      </c>
      <c r="Q1192" s="12">
        <f t="shared" ca="1" si="273"/>
        <v>-352100</v>
      </c>
      <c r="R1192" s="10">
        <f t="shared" ca="1" si="274"/>
        <v>-0.4386412322758339</v>
      </c>
      <c r="S1192" s="10">
        <f t="shared" ca="1" si="264"/>
        <v>-7.4509362874655566E-2</v>
      </c>
      <c r="T1192" s="14">
        <f t="shared" ca="1" si="265"/>
        <v>-0.14153052172734817</v>
      </c>
      <c r="U1192" s="12">
        <f t="shared" ca="1" si="275"/>
        <v>7900</v>
      </c>
      <c r="V1192" s="14">
        <f t="shared" ca="1" si="276"/>
        <v>-4556.9620253164558</v>
      </c>
      <c r="W1192" s="12">
        <f t="shared" ca="1" si="266"/>
        <v>-3367.0886075949365</v>
      </c>
      <c r="X1192" s="7">
        <f ca="1">AVERAGE(E1192:OFFSET(F1192,-$X$5+1,0))</f>
        <v>9754.9</v>
      </c>
      <c r="Y1192" s="7">
        <f ca="1">AVERAGE(E1192:OFFSET(F1192,-$Y$5+1,0))</f>
        <v>9621.9</v>
      </c>
      <c r="Z1192" s="7">
        <f t="shared" ca="1" si="268"/>
        <v>0</v>
      </c>
    </row>
    <row r="1193" spans="1:26">
      <c r="A1193" s="3" t="s">
        <v>81</v>
      </c>
      <c r="B1193" s="4">
        <v>43411</v>
      </c>
      <c r="C1193" s="3">
        <v>9785</v>
      </c>
      <c r="D1193" s="3">
        <v>9890</v>
      </c>
      <c r="E1193" s="3">
        <v>9780</v>
      </c>
      <c r="F1193" s="3">
        <v>9848</v>
      </c>
      <c r="G1193" s="3">
        <v>154891</v>
      </c>
      <c r="H1193" s="3">
        <v>1.0449999999999999</v>
      </c>
      <c r="I1193" s="2">
        <f t="shared" si="277"/>
        <v>0</v>
      </c>
      <c r="J1193" s="10">
        <f t="shared" si="279"/>
        <v>11</v>
      </c>
      <c r="K1193" s="10">
        <f t="shared" si="278"/>
        <v>63</v>
      </c>
      <c r="L1193" s="10">
        <f t="shared" ca="1" si="267"/>
        <v>0</v>
      </c>
      <c r="M1193" s="10">
        <f t="shared" ca="1" si="269"/>
        <v>1</v>
      </c>
      <c r="N1193" s="30">
        <f t="shared" ca="1" si="270"/>
        <v>0</v>
      </c>
      <c r="O1193" s="10">
        <f t="shared" ca="1" si="271"/>
        <v>1960600</v>
      </c>
      <c r="P1193" s="29">
        <f t="shared" ca="1" si="272"/>
        <v>14800</v>
      </c>
      <c r="Q1193" s="12">
        <f t="shared" ca="1" si="273"/>
        <v>-337300</v>
      </c>
      <c r="R1193" s="10">
        <f t="shared" ca="1" si="274"/>
        <v>0.75487095787003977</v>
      </c>
      <c r="S1193" s="10">
        <f t="shared" ca="1" si="264"/>
        <v>-5.1547357963598189E-3</v>
      </c>
      <c r="T1193" s="14">
        <f t="shared" ca="1" si="265"/>
        <v>-0.13262044027908246</v>
      </c>
      <c r="U1193" s="12">
        <f t="shared" ca="1" si="275"/>
        <v>7900</v>
      </c>
      <c r="V1193" s="14">
        <f t="shared" ca="1" si="276"/>
        <v>-4369.6202531645567</v>
      </c>
      <c r="W1193" s="12">
        <f t="shared" ca="1" si="266"/>
        <v>-3367.0886075949365</v>
      </c>
      <c r="X1193" s="7">
        <f ca="1">AVERAGE(E1193:OFFSET(F1193,-$X$5+1,0))</f>
        <v>9786.2999999999993</v>
      </c>
      <c r="Y1193" s="7">
        <f ca="1">AVERAGE(E1193:OFFSET(F1193,-$Y$5+1,0))</f>
        <v>9636.4</v>
      </c>
      <c r="Z1193" s="7">
        <f t="shared" ca="1" si="268"/>
        <v>0</v>
      </c>
    </row>
    <row r="1194" spans="1:26">
      <c r="A1194" s="3" t="s">
        <v>81</v>
      </c>
      <c r="B1194" s="4">
        <v>43412</v>
      </c>
      <c r="C1194" s="3">
        <v>9980</v>
      </c>
      <c r="D1194" s="3">
        <v>10000</v>
      </c>
      <c r="E1194" s="3">
        <v>9906</v>
      </c>
      <c r="F1194" s="3">
        <v>9924</v>
      </c>
      <c r="G1194" s="3">
        <v>115590</v>
      </c>
      <c r="H1194" s="3">
        <v>1.0449999999999999</v>
      </c>
      <c r="I1194" s="2">
        <f t="shared" si="277"/>
        <v>0</v>
      </c>
      <c r="J1194" s="10">
        <f t="shared" si="279"/>
        <v>132</v>
      </c>
      <c r="K1194" s="10">
        <f t="shared" si="278"/>
        <v>-56</v>
      </c>
      <c r="L1194" s="10">
        <f t="shared" ca="1" si="267"/>
        <v>0</v>
      </c>
      <c r="M1194" s="10">
        <f t="shared" ca="1" si="269"/>
        <v>1</v>
      </c>
      <c r="N1194" s="30">
        <f t="shared" ca="1" si="270"/>
        <v>0</v>
      </c>
      <c r="O1194" s="10">
        <f t="shared" ca="1" si="271"/>
        <v>1960600</v>
      </c>
      <c r="P1194" s="29">
        <f t="shared" ca="1" si="272"/>
        <v>15200</v>
      </c>
      <c r="Q1194" s="12">
        <f t="shared" ca="1" si="273"/>
        <v>-322100</v>
      </c>
      <c r="R1194" s="10">
        <f t="shared" ca="1" si="274"/>
        <v>0.77527287565031111</v>
      </c>
      <c r="S1194" s="10">
        <f t="shared" ca="1" si="264"/>
        <v>6.6074340662430411E-2</v>
      </c>
      <c r="T1194" s="14">
        <f t="shared" ca="1" si="265"/>
        <v>-0.12310986059804427</v>
      </c>
      <c r="U1194" s="12">
        <f t="shared" ca="1" si="275"/>
        <v>7900</v>
      </c>
      <c r="V1194" s="14">
        <f t="shared" ca="1" si="276"/>
        <v>-4177.2151898734173</v>
      </c>
      <c r="W1194" s="12">
        <f t="shared" ca="1" si="266"/>
        <v>-3367.0886075949365</v>
      </c>
      <c r="X1194" s="7">
        <f ca="1">AVERAGE(E1194:OFFSET(F1194,-$X$5+1,0))</f>
        <v>9820.1</v>
      </c>
      <c r="Y1194" s="7">
        <f ca="1">AVERAGE(E1194:OFFSET(F1194,-$Y$5+1,0))</f>
        <v>9682.9</v>
      </c>
      <c r="Z1194" s="7">
        <f t="shared" ca="1" si="268"/>
        <v>0</v>
      </c>
    </row>
    <row r="1195" spans="1:26">
      <c r="A1195" s="3" t="s">
        <v>81</v>
      </c>
      <c r="B1195" s="4">
        <v>43413</v>
      </c>
      <c r="C1195" s="3">
        <v>9897</v>
      </c>
      <c r="D1195" s="3">
        <v>9899</v>
      </c>
      <c r="E1195" s="3">
        <v>9754</v>
      </c>
      <c r="F1195" s="3">
        <v>9789</v>
      </c>
      <c r="G1195" s="3">
        <v>138795</v>
      </c>
      <c r="H1195" s="3">
        <v>1.0449999999999999</v>
      </c>
      <c r="I1195" s="2">
        <f t="shared" si="277"/>
        <v>0</v>
      </c>
      <c r="J1195" s="10">
        <f t="shared" si="279"/>
        <v>-27</v>
      </c>
      <c r="K1195" s="10">
        <f t="shared" si="278"/>
        <v>-108</v>
      </c>
      <c r="L1195" s="10">
        <f t="shared" ca="1" si="267"/>
        <v>0</v>
      </c>
      <c r="M1195" s="10">
        <f t="shared" ca="1" si="269"/>
        <v>1</v>
      </c>
      <c r="N1195" s="30">
        <f t="shared" ca="1" si="270"/>
        <v>0</v>
      </c>
      <c r="O1195" s="10">
        <f t="shared" ca="1" si="271"/>
        <v>1960600</v>
      </c>
      <c r="P1195" s="29">
        <f t="shared" ca="1" si="272"/>
        <v>-27000</v>
      </c>
      <c r="Q1195" s="12">
        <f t="shared" ca="1" si="273"/>
        <v>-349100</v>
      </c>
      <c r="R1195" s="10">
        <f t="shared" ca="1" si="274"/>
        <v>-1.3771294501683158</v>
      </c>
      <c r="S1195" s="10">
        <f t="shared" ca="1" si="264"/>
        <v>-6.0450992520946975E-2</v>
      </c>
      <c r="T1195" s="14">
        <f t="shared" ca="1" si="265"/>
        <v>-0.13736306827280434</v>
      </c>
      <c r="U1195" s="12">
        <f t="shared" ca="1" si="275"/>
        <v>7900</v>
      </c>
      <c r="V1195" s="14">
        <f t="shared" ca="1" si="276"/>
        <v>-4518.9873417721519</v>
      </c>
      <c r="W1195" s="12">
        <f t="shared" ca="1" si="266"/>
        <v>-3367.0886075949365</v>
      </c>
      <c r="X1195" s="7">
        <f ca="1">AVERAGE(E1195:OFFSET(F1195,-$X$5+1,0))</f>
        <v>9807.9</v>
      </c>
      <c r="Y1195" s="7">
        <f ca="1">AVERAGE(E1195:OFFSET(F1195,-$Y$5+1,0))</f>
        <v>9721.9</v>
      </c>
      <c r="Z1195" s="7">
        <f t="shared" ca="1" si="268"/>
        <v>0</v>
      </c>
    </row>
    <row r="1196" spans="1:26">
      <c r="A1196" s="3" t="s">
        <v>81</v>
      </c>
      <c r="B1196" s="4">
        <v>43416</v>
      </c>
      <c r="C1196" s="3">
        <v>9750</v>
      </c>
      <c r="D1196" s="3">
        <v>9864</v>
      </c>
      <c r="E1196" s="3">
        <v>9741</v>
      </c>
      <c r="F1196" s="3">
        <v>9812</v>
      </c>
      <c r="G1196" s="3">
        <v>115102</v>
      </c>
      <c r="H1196" s="3">
        <v>1.0449999999999999</v>
      </c>
      <c r="I1196" s="2">
        <f t="shared" si="277"/>
        <v>0</v>
      </c>
      <c r="J1196" s="10">
        <f t="shared" si="279"/>
        <v>-39</v>
      </c>
      <c r="K1196" s="10">
        <f t="shared" si="278"/>
        <v>62</v>
      </c>
      <c r="L1196" s="10">
        <f t="shared" ca="1" si="267"/>
        <v>0</v>
      </c>
      <c r="M1196" s="10">
        <f t="shared" ca="1" si="269"/>
        <v>1</v>
      </c>
      <c r="N1196" s="30">
        <f t="shared" ca="1" si="270"/>
        <v>0</v>
      </c>
      <c r="O1196" s="10">
        <f t="shared" ca="1" si="271"/>
        <v>1960600</v>
      </c>
      <c r="P1196" s="29">
        <f t="shared" ca="1" si="272"/>
        <v>4600</v>
      </c>
      <c r="Q1196" s="12">
        <f t="shared" ca="1" si="273"/>
        <v>-344500</v>
      </c>
      <c r="R1196" s="10">
        <f t="shared" ca="1" si="274"/>
        <v>0.23462205447312048</v>
      </c>
      <c r="S1196" s="10">
        <f t="shared" ref="S1196:S1259" ca="1" si="280">100*SUM(P957:P1196)/SUM(N957:N1196)</f>
        <v>-3.8894824645260458E-2</v>
      </c>
      <c r="T1196" s="14">
        <f t="shared" ca="1" si="265"/>
        <v>-0.13473176849930893</v>
      </c>
      <c r="U1196" s="12">
        <f t="shared" ca="1" si="275"/>
        <v>7900</v>
      </c>
      <c r="V1196" s="14">
        <f t="shared" ca="1" si="276"/>
        <v>-4460.7594936708865</v>
      </c>
      <c r="W1196" s="12">
        <f t="shared" ca="1" si="266"/>
        <v>-3367.0886075949365</v>
      </c>
      <c r="X1196" s="7">
        <f ca="1">AVERAGE(E1196:OFFSET(F1196,-$X$5+1,0))</f>
        <v>9807.4</v>
      </c>
      <c r="Y1196" s="7">
        <f ca="1">AVERAGE(E1196:OFFSET(F1196,-$Y$5+1,0))</f>
        <v>9754.5</v>
      </c>
      <c r="Z1196" s="7">
        <f t="shared" ca="1" si="268"/>
        <v>0</v>
      </c>
    </row>
    <row r="1197" spans="1:26">
      <c r="A1197" s="3" t="s">
        <v>81</v>
      </c>
      <c r="B1197" s="4">
        <v>43417</v>
      </c>
      <c r="C1197" s="3">
        <v>9600</v>
      </c>
      <c r="D1197" s="3">
        <v>9758</v>
      </c>
      <c r="E1197" s="3">
        <v>9528</v>
      </c>
      <c r="F1197" s="3">
        <v>9728</v>
      </c>
      <c r="G1197" s="3">
        <v>170110</v>
      </c>
      <c r="H1197" s="3">
        <v>1.0449999999999999</v>
      </c>
      <c r="I1197" s="2">
        <f t="shared" si="277"/>
        <v>0</v>
      </c>
      <c r="J1197" s="10">
        <f t="shared" si="279"/>
        <v>-212</v>
      </c>
      <c r="K1197" s="10">
        <f t="shared" si="278"/>
        <v>128</v>
      </c>
      <c r="L1197" s="10">
        <f t="shared" ca="1" si="267"/>
        <v>0</v>
      </c>
      <c r="M1197" s="10">
        <f t="shared" ca="1" si="269"/>
        <v>1</v>
      </c>
      <c r="N1197" s="30">
        <f t="shared" ca="1" si="270"/>
        <v>0</v>
      </c>
      <c r="O1197" s="10">
        <f t="shared" ca="1" si="271"/>
        <v>1960600</v>
      </c>
      <c r="P1197" s="29">
        <f t="shared" ca="1" si="272"/>
        <v>-16800</v>
      </c>
      <c r="Q1197" s="12">
        <f t="shared" ca="1" si="273"/>
        <v>-361300</v>
      </c>
      <c r="R1197" s="10">
        <f t="shared" ca="1" si="274"/>
        <v>-0.85688054677139647</v>
      </c>
      <c r="S1197" s="10">
        <f t="shared" ca="1" si="280"/>
        <v>-0.1176216986260286</v>
      </c>
      <c r="T1197" s="14">
        <f t="shared" ref="T1197:T1260" ca="1" si="281">(S1197-AVERAGE(H928:H1197))/(_xlfn.STDEV.S(R928:R1197)*SQRT(240))</f>
        <v>-0.14379804032529891</v>
      </c>
      <c r="U1197" s="12">
        <f t="shared" ca="1" si="275"/>
        <v>7900</v>
      </c>
      <c r="V1197" s="14">
        <f t="shared" ca="1" si="276"/>
        <v>-4673.4177215189875</v>
      </c>
      <c r="W1197" s="12">
        <f t="shared" ref="W1197:W1260" ca="1" si="282">MAX(V958:V1197)</f>
        <v>-3367.0886075949365</v>
      </c>
      <c r="X1197" s="7">
        <f ca="1">AVERAGE(E1197:OFFSET(F1197,-$X$5+1,0))</f>
        <v>9781</v>
      </c>
      <c r="Y1197" s="7">
        <f ca="1">AVERAGE(E1197:OFFSET(F1197,-$Y$5+1,0))</f>
        <v>9767.9500000000007</v>
      </c>
      <c r="Z1197" s="7">
        <f t="shared" ca="1" si="268"/>
        <v>0</v>
      </c>
    </row>
    <row r="1198" spans="1:26">
      <c r="A1198" s="3" t="s">
        <v>81</v>
      </c>
      <c r="B1198" s="4">
        <v>43418</v>
      </c>
      <c r="C1198" s="3">
        <v>9768</v>
      </c>
      <c r="D1198" s="3">
        <v>9798</v>
      </c>
      <c r="E1198" s="3">
        <v>9731</v>
      </c>
      <c r="F1198" s="3">
        <v>9769</v>
      </c>
      <c r="G1198" s="3">
        <v>111585</v>
      </c>
      <c r="H1198" s="3">
        <v>1.0449999999999999</v>
      </c>
      <c r="I1198" s="2">
        <f t="shared" si="277"/>
        <v>0</v>
      </c>
      <c r="J1198" s="10">
        <f t="shared" si="279"/>
        <v>40</v>
      </c>
      <c r="K1198" s="10">
        <f t="shared" si="278"/>
        <v>1</v>
      </c>
      <c r="L1198" s="10">
        <f t="shared" ca="1" si="267"/>
        <v>-1</v>
      </c>
      <c r="M1198" s="10">
        <f t="shared" ca="1" si="269"/>
        <v>1</v>
      </c>
      <c r="N1198" s="30">
        <f t="shared" ca="1" si="270"/>
        <v>0</v>
      </c>
      <c r="O1198" s="10">
        <f t="shared" ca="1" si="271"/>
        <v>1960600</v>
      </c>
      <c r="P1198" s="29">
        <f t="shared" ca="1" si="272"/>
        <v>8200</v>
      </c>
      <c r="Q1198" s="12">
        <f t="shared" ca="1" si="273"/>
        <v>-353100</v>
      </c>
      <c r="R1198" s="10">
        <f t="shared" ca="1" si="274"/>
        <v>0.41823931449556256</v>
      </c>
      <c r="S1198" s="10">
        <f t="shared" ca="1" si="280"/>
        <v>-0.11682242990654206</v>
      </c>
      <c r="T1198" s="14">
        <f t="shared" ca="1" si="281"/>
        <v>-0.14352429646944656</v>
      </c>
      <c r="U1198" s="12">
        <f t="shared" ca="1" si="275"/>
        <v>7900</v>
      </c>
      <c r="V1198" s="14">
        <f t="shared" ca="1" si="276"/>
        <v>-4569.6202531645567</v>
      </c>
      <c r="W1198" s="12">
        <f t="shared" ca="1" si="282"/>
        <v>-3367.0886075949365</v>
      </c>
      <c r="X1198" s="7">
        <f ca="1">AVERAGE(E1198:OFFSET(F1198,-$X$5+1,0))</f>
        <v>9768.2000000000007</v>
      </c>
      <c r="Y1198" s="7">
        <f ca="1">AVERAGE(E1198:OFFSET(F1198,-$Y$5+1,0))</f>
        <v>9777.25</v>
      </c>
      <c r="Z1198" s="7">
        <f t="shared" ca="1" si="268"/>
        <v>-1</v>
      </c>
    </row>
    <row r="1199" spans="1:26">
      <c r="A1199" s="3" t="s">
        <v>81</v>
      </c>
      <c r="B1199" s="4">
        <v>43419</v>
      </c>
      <c r="C1199" s="3">
        <v>9790</v>
      </c>
      <c r="D1199" s="3">
        <v>9837</v>
      </c>
      <c r="E1199" s="3">
        <v>9708</v>
      </c>
      <c r="F1199" s="3">
        <v>9827</v>
      </c>
      <c r="G1199" s="3">
        <v>155283</v>
      </c>
      <c r="H1199" s="3">
        <v>1.0449999999999999</v>
      </c>
      <c r="I1199" s="2">
        <f t="shared" si="277"/>
        <v>0</v>
      </c>
      <c r="J1199" s="10">
        <f t="shared" si="279"/>
        <v>21</v>
      </c>
      <c r="K1199" s="10">
        <f t="shared" si="278"/>
        <v>37</v>
      </c>
      <c r="L1199" s="10">
        <f t="shared" ca="1" si="267"/>
        <v>0</v>
      </c>
      <c r="M1199" s="10">
        <f t="shared" ca="1" si="269"/>
        <v>0</v>
      </c>
      <c r="N1199" s="30">
        <f t="shared" ca="1" si="270"/>
        <v>0</v>
      </c>
      <c r="O1199" s="10">
        <f t="shared" ca="1" si="271"/>
        <v>0</v>
      </c>
      <c r="P1199" s="29">
        <f t="shared" ca="1" si="272"/>
        <v>3700</v>
      </c>
      <c r="Q1199" s="12">
        <f t="shared" ca="1" si="273"/>
        <v>-349400</v>
      </c>
      <c r="R1199" s="10">
        <f t="shared" ca="1" si="274"/>
        <v>0.18871773946750994</v>
      </c>
      <c r="S1199" s="10">
        <f t="shared" ca="1" si="280"/>
        <v>-9.7525867823765017E-2</v>
      </c>
      <c r="T1199" s="14">
        <f t="shared" ca="1" si="281"/>
        <v>-0.14110509906896362</v>
      </c>
      <c r="U1199" s="12">
        <f t="shared" ca="1" si="275"/>
        <v>7900</v>
      </c>
      <c r="V1199" s="14">
        <f t="shared" ca="1" si="276"/>
        <v>-4522.7848101265827</v>
      </c>
      <c r="W1199" s="12">
        <f t="shared" ca="1" si="282"/>
        <v>-3367.0886075949365</v>
      </c>
      <c r="X1199" s="7">
        <f ca="1">AVERAGE(E1199:OFFSET(F1199,-$X$5+1,0))</f>
        <v>9738.7000000000007</v>
      </c>
      <c r="Y1199" s="7">
        <f ca="1">AVERAGE(E1199:OFFSET(F1199,-$Y$5+1,0))</f>
        <v>9779.4</v>
      </c>
      <c r="Z1199" s="7">
        <f t="shared" ca="1" si="268"/>
        <v>0</v>
      </c>
    </row>
    <row r="1200" spans="1:26">
      <c r="A1200" s="3" t="s">
        <v>81</v>
      </c>
      <c r="B1200" s="4">
        <v>43420</v>
      </c>
      <c r="C1200" s="3">
        <v>9877</v>
      </c>
      <c r="D1200" s="3">
        <v>9903</v>
      </c>
      <c r="E1200" s="3">
        <v>9756</v>
      </c>
      <c r="F1200" s="3">
        <v>9783</v>
      </c>
      <c r="G1200" s="3">
        <v>147344</v>
      </c>
      <c r="H1200" s="3">
        <v>1.0449999999999999</v>
      </c>
      <c r="I1200" s="2">
        <f t="shared" si="277"/>
        <v>0</v>
      </c>
      <c r="J1200" s="10">
        <f t="shared" si="279"/>
        <v>50</v>
      </c>
      <c r="K1200" s="10">
        <f t="shared" si="278"/>
        <v>-94</v>
      </c>
      <c r="L1200" s="10">
        <f t="shared" ca="1" si="267"/>
        <v>0</v>
      </c>
      <c r="M1200" s="10">
        <f t="shared" ca="1" si="269"/>
        <v>0</v>
      </c>
      <c r="N1200" s="30">
        <f t="shared" ca="1" si="270"/>
        <v>0</v>
      </c>
      <c r="O1200" s="10">
        <f t="shared" ca="1" si="271"/>
        <v>0</v>
      </c>
      <c r="P1200" s="29">
        <f t="shared" ca="1" si="272"/>
        <v>0</v>
      </c>
      <c r="Q1200" s="12">
        <f t="shared" ca="1" si="273"/>
        <v>-349400</v>
      </c>
      <c r="R1200" s="10">
        <f t="shared" ca="1" si="274"/>
        <v>0</v>
      </c>
      <c r="S1200" s="10">
        <f t="shared" ca="1" si="280"/>
        <v>1.3038217623497998E-2</v>
      </c>
      <c r="T1200" s="14">
        <f t="shared" ca="1" si="281"/>
        <v>-0.12745012926051469</v>
      </c>
      <c r="U1200" s="12">
        <f t="shared" ca="1" si="275"/>
        <v>7900</v>
      </c>
      <c r="V1200" s="14">
        <f t="shared" ca="1" si="276"/>
        <v>-4522.7848101265827</v>
      </c>
      <c r="W1200" s="12">
        <f t="shared" ca="1" si="282"/>
        <v>-3367.0886075949365</v>
      </c>
      <c r="X1200" s="7">
        <f ca="1">AVERAGE(E1200:OFFSET(F1200,-$X$5+1,0))</f>
        <v>9738.2999999999993</v>
      </c>
      <c r="Y1200" s="7">
        <f ca="1">AVERAGE(E1200:OFFSET(F1200,-$Y$5+1,0))</f>
        <v>9773.1</v>
      </c>
      <c r="Z1200" s="7">
        <f t="shared" ca="1" si="268"/>
        <v>0</v>
      </c>
    </row>
    <row r="1201" spans="1:26">
      <c r="A1201" s="3" t="s">
        <v>81</v>
      </c>
      <c r="B1201" s="4">
        <v>43423</v>
      </c>
      <c r="C1201" s="3">
        <v>9802</v>
      </c>
      <c r="D1201" s="3">
        <v>9838</v>
      </c>
      <c r="E1201" s="3">
        <v>9778</v>
      </c>
      <c r="F1201" s="3">
        <v>9819</v>
      </c>
      <c r="G1201" s="3">
        <v>111237</v>
      </c>
      <c r="H1201" s="3">
        <v>1.0449999999999999</v>
      </c>
      <c r="I1201" s="2">
        <f t="shared" si="277"/>
        <v>0</v>
      </c>
      <c r="J1201" s="10">
        <f t="shared" si="279"/>
        <v>19</v>
      </c>
      <c r="K1201" s="10">
        <f t="shared" si="278"/>
        <v>17</v>
      </c>
      <c r="L1201" s="10">
        <f t="shared" ca="1" si="267"/>
        <v>0</v>
      </c>
      <c r="M1201" s="10">
        <f t="shared" ca="1" si="269"/>
        <v>0</v>
      </c>
      <c r="N1201" s="30">
        <f t="shared" ca="1" si="270"/>
        <v>0</v>
      </c>
      <c r="O1201" s="10">
        <f t="shared" ca="1" si="271"/>
        <v>0</v>
      </c>
      <c r="P1201" s="29">
        <f t="shared" ca="1" si="272"/>
        <v>0</v>
      </c>
      <c r="Q1201" s="12">
        <f t="shared" ca="1" si="273"/>
        <v>-349400</v>
      </c>
      <c r="R1201" s="10">
        <f t="shared" ca="1" si="274"/>
        <v>0</v>
      </c>
      <c r="S1201" s="10">
        <f t="shared" ca="1" si="280"/>
        <v>5.684662883845127E-2</v>
      </c>
      <c r="T1201" s="14">
        <f t="shared" ca="1" si="281"/>
        <v>-0.1220396695250915</v>
      </c>
      <c r="U1201" s="12">
        <f t="shared" ca="1" si="275"/>
        <v>7900</v>
      </c>
      <c r="V1201" s="14">
        <f t="shared" ca="1" si="276"/>
        <v>-4522.7848101265827</v>
      </c>
      <c r="W1201" s="12">
        <f t="shared" ca="1" si="282"/>
        <v>-3367.0886075949365</v>
      </c>
      <c r="X1201" s="7">
        <f ca="1">AVERAGE(E1201:OFFSET(F1201,-$X$5+1,0))</f>
        <v>9742.7000000000007</v>
      </c>
      <c r="Y1201" s="7">
        <f ca="1">AVERAGE(E1201:OFFSET(F1201,-$Y$5+1,0))</f>
        <v>9775.0499999999993</v>
      </c>
      <c r="Z1201" s="7">
        <f t="shared" ca="1" si="268"/>
        <v>0</v>
      </c>
    </row>
    <row r="1202" spans="1:26">
      <c r="A1202" s="3" t="s">
        <v>81</v>
      </c>
      <c r="B1202" s="4">
        <v>43424</v>
      </c>
      <c r="C1202" s="3">
        <v>9755</v>
      </c>
      <c r="D1202" s="3">
        <v>9808</v>
      </c>
      <c r="E1202" s="3">
        <v>9703</v>
      </c>
      <c r="F1202" s="3">
        <v>9732</v>
      </c>
      <c r="G1202" s="3">
        <v>150456</v>
      </c>
      <c r="H1202" s="3">
        <v>1.0449999999999999</v>
      </c>
      <c r="I1202" s="2">
        <f t="shared" si="277"/>
        <v>0</v>
      </c>
      <c r="J1202" s="10">
        <f t="shared" si="279"/>
        <v>-64</v>
      </c>
      <c r="K1202" s="10">
        <f t="shared" si="278"/>
        <v>-23</v>
      </c>
      <c r="L1202" s="10">
        <f t="shared" ca="1" si="267"/>
        <v>0</v>
      </c>
      <c r="M1202" s="10">
        <f t="shared" ca="1" si="269"/>
        <v>0</v>
      </c>
      <c r="N1202" s="30">
        <f t="shared" ca="1" si="270"/>
        <v>0</v>
      </c>
      <c r="O1202" s="10">
        <f t="shared" ca="1" si="271"/>
        <v>0</v>
      </c>
      <c r="P1202" s="29">
        <f t="shared" ca="1" si="272"/>
        <v>0</v>
      </c>
      <c r="Q1202" s="12">
        <f t="shared" ca="1" si="273"/>
        <v>-349400</v>
      </c>
      <c r="R1202" s="10">
        <f t="shared" ca="1" si="274"/>
        <v>0</v>
      </c>
      <c r="S1202" s="10">
        <f t="shared" ca="1" si="280"/>
        <v>3.4942423230974635E-2</v>
      </c>
      <c r="T1202" s="14">
        <f t="shared" ca="1" si="281"/>
        <v>-0.12474489939280307</v>
      </c>
      <c r="U1202" s="12">
        <f t="shared" ca="1" si="275"/>
        <v>7900</v>
      </c>
      <c r="V1202" s="14">
        <f t="shared" ca="1" si="276"/>
        <v>-4522.7848101265827</v>
      </c>
      <c r="W1202" s="12">
        <f t="shared" ca="1" si="282"/>
        <v>-3367.0886075949365</v>
      </c>
      <c r="X1202" s="7">
        <f ca="1">AVERAGE(E1202:OFFSET(F1202,-$X$5+1,0))</f>
        <v>9760.6</v>
      </c>
      <c r="Y1202" s="7">
        <f ca="1">AVERAGE(E1202:OFFSET(F1202,-$Y$5+1,0))</f>
        <v>9770.7999999999993</v>
      </c>
      <c r="Z1202" s="7">
        <f t="shared" ca="1" si="268"/>
        <v>0</v>
      </c>
    </row>
    <row r="1203" spans="1:26">
      <c r="A1203" s="3" t="s">
        <v>81</v>
      </c>
      <c r="B1203" s="4">
        <v>43425</v>
      </c>
      <c r="C1203" s="3">
        <v>9661</v>
      </c>
      <c r="D1203" s="3">
        <v>9760</v>
      </c>
      <c r="E1203" s="3">
        <v>9624</v>
      </c>
      <c r="F1203" s="3">
        <v>9743</v>
      </c>
      <c r="G1203" s="3">
        <v>75719</v>
      </c>
      <c r="H1203" s="3">
        <v>1.0449999999999999</v>
      </c>
      <c r="I1203" s="2">
        <f t="shared" si="277"/>
        <v>1</v>
      </c>
      <c r="J1203" s="10">
        <f t="shared" si="279"/>
        <v>-71</v>
      </c>
      <c r="K1203" s="10">
        <f t="shared" si="278"/>
        <v>82</v>
      </c>
      <c r="L1203" s="10">
        <f t="shared" ca="1" si="267"/>
        <v>0</v>
      </c>
      <c r="M1203" s="10">
        <f t="shared" si="269"/>
        <v>0</v>
      </c>
      <c r="N1203" s="30">
        <f t="shared" si="270"/>
        <v>0</v>
      </c>
      <c r="O1203" s="10">
        <f t="shared" si="271"/>
        <v>0</v>
      </c>
      <c r="P1203" s="29">
        <f t="shared" ca="1" si="272"/>
        <v>0</v>
      </c>
      <c r="Q1203" s="12">
        <f t="shared" ca="1" si="273"/>
        <v>-349400</v>
      </c>
      <c r="R1203" s="10">
        <f t="shared" ca="1" si="274"/>
        <v>0</v>
      </c>
      <c r="S1203" s="10">
        <f t="shared" ca="1" si="280"/>
        <v>0.1966163217623498</v>
      </c>
      <c r="T1203" s="14">
        <f t="shared" ca="1" si="281"/>
        <v>-0.10477772655969377</v>
      </c>
      <c r="U1203" s="12">
        <f t="shared" ca="1" si="275"/>
        <v>7900</v>
      </c>
      <c r="V1203" s="14">
        <f t="shared" ca="1" si="276"/>
        <v>-4522.7848101265827</v>
      </c>
      <c r="W1203" s="12">
        <f t="shared" ca="1" si="282"/>
        <v>-3367.0886075949365</v>
      </c>
      <c r="X1203" s="7">
        <f ca="1">AVERAGE(E1203:OFFSET(F1203,-$X$5+1,0))</f>
        <v>9747.2999999999993</v>
      </c>
      <c r="Y1203" s="7">
        <f ca="1">AVERAGE(E1203:OFFSET(F1203,-$Y$5+1,0))</f>
        <v>9757.75</v>
      </c>
      <c r="Z1203" s="7">
        <f t="shared" ca="1" si="268"/>
        <v>0</v>
      </c>
    </row>
    <row r="1204" spans="1:26">
      <c r="A1204" s="3" t="s">
        <v>82</v>
      </c>
      <c r="B1204" s="4">
        <v>43426</v>
      </c>
      <c r="C1204" s="3">
        <v>9766</v>
      </c>
      <c r="D1204" s="3">
        <v>9769</v>
      </c>
      <c r="E1204" s="3">
        <v>9700</v>
      </c>
      <c r="F1204" s="3">
        <v>9714</v>
      </c>
      <c r="G1204" s="3">
        <v>91042</v>
      </c>
      <c r="H1204" s="3">
        <v>1.0449999999999999</v>
      </c>
      <c r="I1204" s="2">
        <f t="shared" si="277"/>
        <v>0</v>
      </c>
      <c r="J1204" s="10">
        <f t="shared" si="279"/>
        <v>23</v>
      </c>
      <c r="K1204" s="10">
        <f t="shared" si="278"/>
        <v>-52</v>
      </c>
      <c r="L1204" s="10">
        <f t="shared" ca="1" si="267"/>
        <v>0</v>
      </c>
      <c r="M1204" s="10">
        <f t="shared" ca="1" si="269"/>
        <v>0</v>
      </c>
      <c r="N1204" s="30">
        <f t="shared" ca="1" si="270"/>
        <v>0</v>
      </c>
      <c r="O1204" s="10">
        <f t="shared" ca="1" si="271"/>
        <v>0</v>
      </c>
      <c r="P1204" s="29">
        <f t="shared" ca="1" si="272"/>
        <v>0</v>
      </c>
      <c r="Q1204" s="12">
        <f t="shared" ca="1" si="273"/>
        <v>-349400</v>
      </c>
      <c r="R1204" s="10">
        <f t="shared" ca="1" si="274"/>
        <v>0</v>
      </c>
      <c r="S1204" s="10">
        <f t="shared" ca="1" si="280"/>
        <v>0.16480307076101469</v>
      </c>
      <c r="T1204" s="14">
        <f t="shared" ca="1" si="281"/>
        <v>-0.10870675089137012</v>
      </c>
      <c r="U1204" s="12">
        <f t="shared" ca="1" si="275"/>
        <v>7900</v>
      </c>
      <c r="V1204" s="14">
        <f t="shared" ca="1" si="276"/>
        <v>-4522.7848101265827</v>
      </c>
      <c r="W1204" s="12">
        <f t="shared" ca="1" si="282"/>
        <v>-3367.0886075949365</v>
      </c>
      <c r="X1204" s="7">
        <f ca="1">AVERAGE(E1204:OFFSET(F1204,-$X$5+1,0))</f>
        <v>9735.2000000000007</v>
      </c>
      <c r="Y1204" s="7">
        <f ca="1">AVERAGE(E1204:OFFSET(F1204,-$Y$5+1,0))</f>
        <v>9736.9500000000007</v>
      </c>
      <c r="Z1204" s="7">
        <f t="shared" ca="1" si="268"/>
        <v>0</v>
      </c>
    </row>
    <row r="1205" spans="1:26">
      <c r="A1205" s="3" t="s">
        <v>82</v>
      </c>
      <c r="B1205" s="4">
        <v>43427</v>
      </c>
      <c r="C1205" s="3">
        <v>9715</v>
      </c>
      <c r="D1205" s="3">
        <v>9733</v>
      </c>
      <c r="E1205" s="3">
        <v>9613</v>
      </c>
      <c r="F1205" s="3">
        <v>9620</v>
      </c>
      <c r="G1205" s="3">
        <v>113555</v>
      </c>
      <c r="H1205" s="3">
        <v>1.0449999999999999</v>
      </c>
      <c r="I1205" s="2">
        <f t="shared" si="277"/>
        <v>0</v>
      </c>
      <c r="J1205" s="10">
        <f t="shared" si="279"/>
        <v>1</v>
      </c>
      <c r="K1205" s="10">
        <f t="shared" si="278"/>
        <v>-95</v>
      </c>
      <c r="L1205" s="10">
        <f t="shared" ca="1" si="267"/>
        <v>0</v>
      </c>
      <c r="M1205" s="10">
        <f t="shared" ca="1" si="269"/>
        <v>0</v>
      </c>
      <c r="N1205" s="30">
        <f t="shared" ca="1" si="270"/>
        <v>0</v>
      </c>
      <c r="O1205" s="10">
        <f t="shared" ca="1" si="271"/>
        <v>0</v>
      </c>
      <c r="P1205" s="29">
        <f t="shared" ca="1" si="272"/>
        <v>0</v>
      </c>
      <c r="Q1205" s="12">
        <f t="shared" ca="1" si="273"/>
        <v>-349400</v>
      </c>
      <c r="R1205" s="10">
        <f t="shared" ca="1" si="274"/>
        <v>0</v>
      </c>
      <c r="S1205" s="10">
        <f t="shared" ca="1" si="280"/>
        <v>0.16480307076101469</v>
      </c>
      <c r="T1205" s="14">
        <f t="shared" ca="1" si="281"/>
        <v>-0.10870675089137012</v>
      </c>
      <c r="U1205" s="12">
        <f t="shared" ca="1" si="275"/>
        <v>7900</v>
      </c>
      <c r="V1205" s="14">
        <f t="shared" ca="1" si="276"/>
        <v>-4522.7848101265827</v>
      </c>
      <c r="W1205" s="12">
        <f t="shared" ca="1" si="282"/>
        <v>-3367.0886075949365</v>
      </c>
      <c r="X1205" s="7">
        <f ca="1">AVERAGE(E1205:OFFSET(F1205,-$X$5+1,0))</f>
        <v>9704.6</v>
      </c>
      <c r="Y1205" s="7">
        <f ca="1">AVERAGE(E1205:OFFSET(F1205,-$Y$5+1,0))</f>
        <v>9721.4500000000007</v>
      </c>
      <c r="Z1205" s="7">
        <f t="shared" ca="1" si="268"/>
        <v>0</v>
      </c>
    </row>
    <row r="1206" spans="1:26">
      <c r="A1206" s="3" t="s">
        <v>82</v>
      </c>
      <c r="B1206" s="4">
        <v>43430</v>
      </c>
      <c r="C1206" s="3">
        <v>9668</v>
      </c>
      <c r="D1206" s="3">
        <v>9850</v>
      </c>
      <c r="E1206" s="3">
        <v>9656</v>
      </c>
      <c r="F1206" s="3">
        <v>9768</v>
      </c>
      <c r="G1206" s="3">
        <v>147457</v>
      </c>
      <c r="H1206" s="3">
        <v>1.0449999999999999</v>
      </c>
      <c r="I1206" s="2">
        <f t="shared" si="277"/>
        <v>0</v>
      </c>
      <c r="J1206" s="10">
        <f t="shared" si="279"/>
        <v>48</v>
      </c>
      <c r="K1206" s="10">
        <f t="shared" si="278"/>
        <v>100</v>
      </c>
      <c r="L1206" s="10">
        <f t="shared" ca="1" si="267"/>
        <v>0</v>
      </c>
      <c r="M1206" s="10">
        <f t="shared" ca="1" si="269"/>
        <v>0</v>
      </c>
      <c r="N1206" s="30">
        <f t="shared" ca="1" si="270"/>
        <v>0</v>
      </c>
      <c r="O1206" s="10">
        <f t="shared" ca="1" si="271"/>
        <v>0</v>
      </c>
      <c r="P1206" s="29">
        <f t="shared" ca="1" si="272"/>
        <v>0</v>
      </c>
      <c r="Q1206" s="12">
        <f t="shared" ca="1" si="273"/>
        <v>-349400</v>
      </c>
      <c r="R1206" s="10">
        <f t="shared" ca="1" si="274"/>
        <v>0</v>
      </c>
      <c r="S1206" s="10">
        <f t="shared" ca="1" si="280"/>
        <v>0.16480307076101469</v>
      </c>
      <c r="T1206" s="14">
        <f t="shared" ca="1" si="281"/>
        <v>-0.10870675089137012</v>
      </c>
      <c r="U1206" s="12">
        <f t="shared" ca="1" si="275"/>
        <v>7900</v>
      </c>
      <c r="V1206" s="14">
        <f t="shared" ca="1" si="276"/>
        <v>-4522.7848101265827</v>
      </c>
      <c r="W1206" s="12">
        <f t="shared" ca="1" si="282"/>
        <v>-3367.0886075949365</v>
      </c>
      <c r="X1206" s="7">
        <f ca="1">AVERAGE(E1206:OFFSET(F1206,-$X$5+1,0))</f>
        <v>9687.2999999999993</v>
      </c>
      <c r="Y1206" s="7">
        <f ca="1">AVERAGE(E1206:OFFSET(F1206,-$Y$5+1,0))</f>
        <v>9715</v>
      </c>
      <c r="Z1206" s="7">
        <f t="shared" ca="1" si="268"/>
        <v>0</v>
      </c>
    </row>
    <row r="1207" spans="1:26">
      <c r="A1207" s="3" t="s">
        <v>82</v>
      </c>
      <c r="B1207" s="4">
        <v>43431</v>
      </c>
      <c r="C1207" s="3">
        <v>9727</v>
      </c>
      <c r="D1207" s="3">
        <v>9755</v>
      </c>
      <c r="E1207" s="3">
        <v>9644</v>
      </c>
      <c r="F1207" s="3">
        <v>9741</v>
      </c>
      <c r="G1207" s="3">
        <v>133623</v>
      </c>
      <c r="H1207" s="3">
        <v>1.0449999999999999</v>
      </c>
      <c r="I1207" s="2">
        <f t="shared" si="277"/>
        <v>0</v>
      </c>
      <c r="J1207" s="10">
        <f t="shared" si="279"/>
        <v>-41</v>
      </c>
      <c r="K1207" s="10">
        <f t="shared" si="278"/>
        <v>14</v>
      </c>
      <c r="L1207" s="10">
        <f t="shared" ca="1" si="267"/>
        <v>0</v>
      </c>
      <c r="M1207" s="10">
        <f t="shared" ca="1" si="269"/>
        <v>0</v>
      </c>
      <c r="N1207" s="30">
        <f t="shared" ca="1" si="270"/>
        <v>0</v>
      </c>
      <c r="O1207" s="10">
        <f t="shared" ca="1" si="271"/>
        <v>0</v>
      </c>
      <c r="P1207" s="29">
        <f t="shared" ca="1" si="272"/>
        <v>0</v>
      </c>
      <c r="Q1207" s="12">
        <f t="shared" ca="1" si="273"/>
        <v>-349400</v>
      </c>
      <c r="R1207" s="10">
        <f t="shared" ca="1" si="274"/>
        <v>0</v>
      </c>
      <c r="S1207" s="10">
        <f t="shared" ca="1" si="280"/>
        <v>0.16480307076101469</v>
      </c>
      <c r="T1207" s="14">
        <f t="shared" ca="1" si="281"/>
        <v>-0.10870675089137012</v>
      </c>
      <c r="U1207" s="12">
        <f t="shared" ca="1" si="275"/>
        <v>7900</v>
      </c>
      <c r="V1207" s="14">
        <f t="shared" ca="1" si="276"/>
        <v>-4522.7848101265827</v>
      </c>
      <c r="W1207" s="12">
        <f t="shared" ca="1" si="282"/>
        <v>-3367.0886075949365</v>
      </c>
      <c r="X1207" s="7">
        <f ca="1">AVERAGE(E1207:OFFSET(F1207,-$X$5+1,0))</f>
        <v>9682.2999999999993</v>
      </c>
      <c r="Y1207" s="7">
        <f ca="1">AVERAGE(E1207:OFFSET(F1207,-$Y$5+1,0))</f>
        <v>9721.4500000000007</v>
      </c>
      <c r="Z1207" s="7">
        <f t="shared" ca="1" si="268"/>
        <v>0</v>
      </c>
    </row>
    <row r="1208" spans="1:26">
      <c r="A1208" s="3" t="s">
        <v>82</v>
      </c>
      <c r="B1208" s="4">
        <v>43432</v>
      </c>
      <c r="C1208" s="3">
        <v>9780</v>
      </c>
      <c r="D1208" s="3">
        <v>9880</v>
      </c>
      <c r="E1208" s="3">
        <v>9732</v>
      </c>
      <c r="F1208" s="3">
        <v>9870</v>
      </c>
      <c r="G1208" s="3">
        <v>147701</v>
      </c>
      <c r="H1208" s="3">
        <v>1.0449999999999999</v>
      </c>
      <c r="I1208" s="2">
        <f t="shared" si="277"/>
        <v>0</v>
      </c>
      <c r="J1208" s="10">
        <f t="shared" si="279"/>
        <v>39</v>
      </c>
      <c r="K1208" s="10">
        <f t="shared" si="278"/>
        <v>90</v>
      </c>
      <c r="L1208" s="10">
        <f t="shared" ca="1" si="267"/>
        <v>0</v>
      </c>
      <c r="M1208" s="10">
        <f t="shared" ca="1" si="269"/>
        <v>0</v>
      </c>
      <c r="N1208" s="30">
        <f t="shared" ca="1" si="270"/>
        <v>0</v>
      </c>
      <c r="O1208" s="10">
        <f t="shared" ca="1" si="271"/>
        <v>0</v>
      </c>
      <c r="P1208" s="29">
        <f t="shared" ca="1" si="272"/>
        <v>0</v>
      </c>
      <c r="Q1208" s="12">
        <f t="shared" ca="1" si="273"/>
        <v>-349400</v>
      </c>
      <c r="R1208" s="10">
        <f t="shared" ca="1" si="274"/>
        <v>0</v>
      </c>
      <c r="S1208" s="10">
        <f t="shared" ca="1" si="280"/>
        <v>0.16480307076101469</v>
      </c>
      <c r="T1208" s="14">
        <f t="shared" ca="1" si="281"/>
        <v>-0.10870675089137012</v>
      </c>
      <c r="U1208" s="12">
        <f t="shared" ca="1" si="275"/>
        <v>7900</v>
      </c>
      <c r="V1208" s="14">
        <f t="shared" ca="1" si="276"/>
        <v>-4522.7848101265827</v>
      </c>
      <c r="W1208" s="12">
        <f t="shared" ca="1" si="282"/>
        <v>-3367.0886075949365</v>
      </c>
      <c r="X1208" s="7">
        <f ca="1">AVERAGE(E1208:OFFSET(F1208,-$X$5+1,0))</f>
        <v>9705.7999999999993</v>
      </c>
      <c r="Y1208" s="7">
        <f ca="1">AVERAGE(E1208:OFFSET(F1208,-$Y$5+1,0))</f>
        <v>9726.5499999999993</v>
      </c>
      <c r="Z1208" s="7">
        <f t="shared" ca="1" si="268"/>
        <v>0</v>
      </c>
    </row>
    <row r="1209" spans="1:26">
      <c r="A1209" s="3" t="s">
        <v>82</v>
      </c>
      <c r="B1209" s="4">
        <v>43433</v>
      </c>
      <c r="C1209" s="3">
        <v>9984</v>
      </c>
      <c r="D1209" s="3">
        <v>9989</v>
      </c>
      <c r="E1209" s="3">
        <v>9861</v>
      </c>
      <c r="F1209" s="3">
        <v>9877</v>
      </c>
      <c r="G1209" s="3">
        <v>130827</v>
      </c>
      <c r="H1209" s="3">
        <v>1.0449999999999999</v>
      </c>
      <c r="I1209" s="2">
        <f t="shared" si="277"/>
        <v>0</v>
      </c>
      <c r="J1209" s="10">
        <f t="shared" si="279"/>
        <v>114</v>
      </c>
      <c r="K1209" s="10">
        <f t="shared" si="278"/>
        <v>-107</v>
      </c>
      <c r="L1209" s="10">
        <f t="shared" ca="1" si="267"/>
        <v>1</v>
      </c>
      <c r="M1209" s="10">
        <f t="shared" ca="1" si="269"/>
        <v>0</v>
      </c>
      <c r="N1209" s="30">
        <f t="shared" ca="1" si="270"/>
        <v>0</v>
      </c>
      <c r="O1209" s="10">
        <f t="shared" ca="1" si="271"/>
        <v>0</v>
      </c>
      <c r="P1209" s="29">
        <f t="shared" ca="1" si="272"/>
        <v>0</v>
      </c>
      <c r="Q1209" s="12">
        <f t="shared" ca="1" si="273"/>
        <v>-349400</v>
      </c>
      <c r="R1209" s="10">
        <f t="shared" ca="1" si="274"/>
        <v>0</v>
      </c>
      <c r="S1209" s="10">
        <f t="shared" ca="1" si="280"/>
        <v>0.16480307076101469</v>
      </c>
      <c r="T1209" s="14">
        <f t="shared" ca="1" si="281"/>
        <v>-0.10870675089137012</v>
      </c>
      <c r="U1209" s="12">
        <f t="shared" ca="1" si="275"/>
        <v>7900</v>
      </c>
      <c r="V1209" s="14">
        <f t="shared" ca="1" si="276"/>
        <v>-4522.7848101265827</v>
      </c>
      <c r="W1209" s="12">
        <f t="shared" ca="1" si="282"/>
        <v>-3367.0886075949365</v>
      </c>
      <c r="X1209" s="7">
        <f ca="1">AVERAGE(E1209:OFFSET(F1209,-$X$5+1,0))</f>
        <v>9738.2000000000007</v>
      </c>
      <c r="Y1209" s="7">
        <f ca="1">AVERAGE(E1209:OFFSET(F1209,-$Y$5+1,0))</f>
        <v>9736.7000000000007</v>
      </c>
      <c r="Z1209" s="7">
        <f t="shared" ca="1" si="268"/>
        <v>1</v>
      </c>
    </row>
    <row r="1210" spans="1:26">
      <c r="A1210" s="3" t="s">
        <v>82</v>
      </c>
      <c r="B1210" s="4">
        <v>43434</v>
      </c>
      <c r="C1210" s="3">
        <v>9900</v>
      </c>
      <c r="D1210" s="3">
        <v>9935</v>
      </c>
      <c r="E1210" s="3">
        <v>9847</v>
      </c>
      <c r="F1210" s="3">
        <v>9853</v>
      </c>
      <c r="G1210" s="3">
        <v>121317</v>
      </c>
      <c r="H1210" s="3">
        <v>1.0449999999999999</v>
      </c>
      <c r="I1210" s="2">
        <f t="shared" si="277"/>
        <v>0</v>
      </c>
      <c r="J1210" s="10">
        <f t="shared" si="279"/>
        <v>23</v>
      </c>
      <c r="K1210" s="10">
        <f t="shared" si="278"/>
        <v>-47</v>
      </c>
      <c r="L1210" s="10">
        <f t="shared" ca="1" si="267"/>
        <v>0</v>
      </c>
      <c r="M1210" s="10">
        <f t="shared" ca="1" si="269"/>
        <v>1</v>
      </c>
      <c r="N1210" s="30">
        <f t="shared" ca="1" si="270"/>
        <v>1980000</v>
      </c>
      <c r="O1210" s="10">
        <f t="shared" ca="1" si="271"/>
        <v>1980000</v>
      </c>
      <c r="P1210" s="29">
        <f t="shared" ca="1" si="272"/>
        <v>-9900</v>
      </c>
      <c r="Q1210" s="12">
        <f t="shared" ca="1" si="273"/>
        <v>-359300</v>
      </c>
      <c r="R1210" s="10">
        <f t="shared" ca="1" si="274"/>
        <v>-0.5</v>
      </c>
      <c r="S1210" s="10">
        <f t="shared" ca="1" si="280"/>
        <v>0.10257913247362251</v>
      </c>
      <c r="T1210" s="14">
        <f t="shared" ca="1" si="281"/>
        <v>-0.11620874202564055</v>
      </c>
      <c r="U1210" s="12">
        <f t="shared" ca="1" si="275"/>
        <v>7900</v>
      </c>
      <c r="V1210" s="14">
        <f t="shared" ca="1" si="276"/>
        <v>-4648.1012658227846</v>
      </c>
      <c r="W1210" s="12">
        <f t="shared" ca="1" si="282"/>
        <v>-3367.0886075949365</v>
      </c>
      <c r="X1210" s="7">
        <f ca="1">AVERAGE(E1210:OFFSET(F1210,-$X$5+1,0))</f>
        <v>9784.9</v>
      </c>
      <c r="Y1210" s="7">
        <f ca="1">AVERAGE(E1210:OFFSET(F1210,-$Y$5+1,0))</f>
        <v>9744.75</v>
      </c>
      <c r="Z1210" s="7">
        <f t="shared" ca="1" si="268"/>
        <v>0</v>
      </c>
    </row>
    <row r="1211" spans="1:26">
      <c r="A1211" s="3" t="s">
        <v>82</v>
      </c>
      <c r="B1211" s="4">
        <v>43437</v>
      </c>
      <c r="C1211" s="3">
        <v>10012</v>
      </c>
      <c r="D1211" s="3">
        <v>10156</v>
      </c>
      <c r="E1211" s="3">
        <v>9996</v>
      </c>
      <c r="F1211" s="3">
        <v>10122</v>
      </c>
      <c r="G1211" s="3">
        <v>135162</v>
      </c>
      <c r="H1211" s="3">
        <v>1.0449999999999999</v>
      </c>
      <c r="I1211" s="2">
        <f t="shared" si="277"/>
        <v>0</v>
      </c>
      <c r="J1211" s="10">
        <f t="shared" si="279"/>
        <v>159</v>
      </c>
      <c r="K1211" s="10">
        <f t="shared" si="278"/>
        <v>110</v>
      </c>
      <c r="L1211" s="10">
        <f t="shared" ca="1" si="267"/>
        <v>0</v>
      </c>
      <c r="M1211" s="10">
        <f t="shared" ca="1" si="269"/>
        <v>1</v>
      </c>
      <c r="N1211" s="30">
        <f t="shared" ca="1" si="270"/>
        <v>0</v>
      </c>
      <c r="O1211" s="10">
        <f t="shared" ca="1" si="271"/>
        <v>1980000</v>
      </c>
      <c r="P1211" s="29">
        <f t="shared" ca="1" si="272"/>
        <v>53800</v>
      </c>
      <c r="Q1211" s="12">
        <f t="shared" ca="1" si="273"/>
        <v>-305500</v>
      </c>
      <c r="R1211" s="10">
        <f t="shared" ca="1" si="274"/>
        <v>2.7171717171717171</v>
      </c>
      <c r="S1211" s="10">
        <f t="shared" ca="1" si="280"/>
        <v>0.35689974662481566</v>
      </c>
      <c r="T1211" s="14">
        <f t="shared" ca="1" si="281"/>
        <v>-8.0948240843548111E-2</v>
      </c>
      <c r="U1211" s="12">
        <f t="shared" ca="1" si="275"/>
        <v>7900</v>
      </c>
      <c r="V1211" s="14">
        <f t="shared" ca="1" si="276"/>
        <v>-3967.0886075949365</v>
      </c>
      <c r="W1211" s="12">
        <f t="shared" ca="1" si="282"/>
        <v>-3367.0886075949365</v>
      </c>
      <c r="X1211" s="7">
        <f ca="1">AVERAGE(E1211:OFFSET(F1211,-$X$5+1,0))</f>
        <v>9854.2999999999993</v>
      </c>
      <c r="Y1211" s="7">
        <f ca="1">AVERAGE(E1211:OFFSET(F1211,-$Y$5+1,0))</f>
        <v>9770.7999999999993</v>
      </c>
      <c r="Z1211" s="7">
        <f t="shared" ca="1" si="268"/>
        <v>0</v>
      </c>
    </row>
    <row r="1212" spans="1:26">
      <c r="A1212" s="3" t="s">
        <v>82</v>
      </c>
      <c r="B1212" s="4">
        <v>43438</v>
      </c>
      <c r="C1212" s="3">
        <v>10080</v>
      </c>
      <c r="D1212" s="3">
        <v>10094</v>
      </c>
      <c r="E1212" s="3">
        <v>10033</v>
      </c>
      <c r="F1212" s="3">
        <v>10042</v>
      </c>
      <c r="G1212" s="3">
        <v>105118</v>
      </c>
      <c r="H1212" s="3">
        <v>1.0449999999999999</v>
      </c>
      <c r="I1212" s="2">
        <f t="shared" si="277"/>
        <v>0</v>
      </c>
      <c r="J1212" s="10">
        <f t="shared" si="279"/>
        <v>-42</v>
      </c>
      <c r="K1212" s="10">
        <f t="shared" si="278"/>
        <v>-38</v>
      </c>
      <c r="L1212" s="10">
        <f t="shared" ca="1" si="267"/>
        <v>0</v>
      </c>
      <c r="M1212" s="10">
        <f t="shared" ca="1" si="269"/>
        <v>1</v>
      </c>
      <c r="N1212" s="30">
        <f t="shared" ca="1" si="270"/>
        <v>0</v>
      </c>
      <c r="O1212" s="10">
        <f t="shared" ca="1" si="271"/>
        <v>1980000</v>
      </c>
      <c r="P1212" s="29">
        <f t="shared" ca="1" si="272"/>
        <v>-16000</v>
      </c>
      <c r="Q1212" s="12">
        <f t="shared" ca="1" si="273"/>
        <v>-321500</v>
      </c>
      <c r="R1212" s="10">
        <f t="shared" ca="1" si="274"/>
        <v>-0.80808080808080807</v>
      </c>
      <c r="S1212" s="10">
        <f t="shared" ca="1" si="280"/>
        <v>0.28126536323412621</v>
      </c>
      <c r="T1212" s="14">
        <f t="shared" ca="1" si="281"/>
        <v>-8.9557258230314185E-2</v>
      </c>
      <c r="U1212" s="12">
        <f t="shared" ca="1" si="275"/>
        <v>7900</v>
      </c>
      <c r="V1212" s="14">
        <f t="shared" ca="1" si="276"/>
        <v>-4169.6202531645567</v>
      </c>
      <c r="W1212" s="12">
        <f t="shared" ca="1" si="282"/>
        <v>-3367.0886075949365</v>
      </c>
      <c r="X1212" s="7">
        <f ca="1">AVERAGE(E1212:OFFSET(F1212,-$X$5+1,0))</f>
        <v>9923.2999999999993</v>
      </c>
      <c r="Y1212" s="7">
        <f ca="1">AVERAGE(E1212:OFFSET(F1212,-$Y$5+1,0))</f>
        <v>9802.7999999999993</v>
      </c>
      <c r="Z1212" s="7">
        <f t="shared" ca="1" si="268"/>
        <v>0</v>
      </c>
    </row>
    <row r="1213" spans="1:26">
      <c r="A1213" s="3" t="s">
        <v>82</v>
      </c>
      <c r="B1213" s="4">
        <v>43439</v>
      </c>
      <c r="C1213" s="3">
        <v>9900</v>
      </c>
      <c r="D1213" s="3">
        <v>9946</v>
      </c>
      <c r="E1213" s="3">
        <v>9863</v>
      </c>
      <c r="F1213" s="3">
        <v>9878</v>
      </c>
      <c r="G1213" s="3">
        <v>129691</v>
      </c>
      <c r="H1213" s="3">
        <v>1.0449999999999999</v>
      </c>
      <c r="I1213" s="2">
        <f t="shared" si="277"/>
        <v>0</v>
      </c>
      <c r="J1213" s="10">
        <f t="shared" si="279"/>
        <v>-142</v>
      </c>
      <c r="K1213" s="10">
        <f t="shared" si="278"/>
        <v>-22</v>
      </c>
      <c r="L1213" s="10">
        <f t="shared" ref="L1213:L1276" ca="1" si="283">Z1213</f>
        <v>0</v>
      </c>
      <c r="M1213" s="10">
        <f t="shared" ca="1" si="269"/>
        <v>1</v>
      </c>
      <c r="N1213" s="30">
        <f t="shared" ca="1" si="270"/>
        <v>0</v>
      </c>
      <c r="O1213" s="10">
        <f t="shared" ca="1" si="271"/>
        <v>1980000</v>
      </c>
      <c r="P1213" s="29">
        <f t="shared" ca="1" si="272"/>
        <v>-32800</v>
      </c>
      <c r="Q1213" s="12">
        <f t="shared" ca="1" si="273"/>
        <v>-354300</v>
      </c>
      <c r="R1213" s="10">
        <f t="shared" ca="1" si="274"/>
        <v>-1.6565656565656566</v>
      </c>
      <c r="S1213" s="10">
        <f t="shared" ca="1" si="280"/>
        <v>0.12621487728321296</v>
      </c>
      <c r="T1213" s="14">
        <f t="shared" ca="1" si="281"/>
        <v>-0.10596712060231438</v>
      </c>
      <c r="U1213" s="12">
        <f t="shared" ca="1" si="275"/>
        <v>7900</v>
      </c>
      <c r="V1213" s="14">
        <f t="shared" ca="1" si="276"/>
        <v>-4584.8101265822788</v>
      </c>
      <c r="W1213" s="12">
        <f t="shared" ca="1" si="282"/>
        <v>-3367.0886075949365</v>
      </c>
      <c r="X1213" s="7">
        <f ca="1">AVERAGE(E1213:OFFSET(F1213,-$X$5+1,0))</f>
        <v>9937.2000000000007</v>
      </c>
      <c r="Y1213" s="7">
        <f ca="1">AVERAGE(E1213:OFFSET(F1213,-$Y$5+1,0))</f>
        <v>9821.5</v>
      </c>
      <c r="Z1213" s="7">
        <f t="shared" ref="Z1213:Z1276" ca="1" si="284">IF(AND(X1212&lt;=Y1212,X1213&gt;Y1213),1,IF(AND(X1212&gt;Y1212,X1213&lt;=Y1213),-1,0))</f>
        <v>0</v>
      </c>
    </row>
    <row r="1214" spans="1:26">
      <c r="A1214" s="3" t="s">
        <v>82</v>
      </c>
      <c r="B1214" s="4">
        <v>43440</v>
      </c>
      <c r="C1214" s="3">
        <v>9813</v>
      </c>
      <c r="D1214" s="3">
        <v>9814</v>
      </c>
      <c r="E1214" s="3">
        <v>9626</v>
      </c>
      <c r="F1214" s="3">
        <v>9674</v>
      </c>
      <c r="G1214" s="3">
        <v>164887</v>
      </c>
      <c r="H1214" s="3">
        <v>1.0449999999999999</v>
      </c>
      <c r="I1214" s="2">
        <f t="shared" si="277"/>
        <v>0</v>
      </c>
      <c r="J1214" s="10">
        <f t="shared" si="279"/>
        <v>-65</v>
      </c>
      <c r="K1214" s="10">
        <f t="shared" si="278"/>
        <v>-139</v>
      </c>
      <c r="L1214" s="10">
        <f t="shared" ca="1" si="283"/>
        <v>0</v>
      </c>
      <c r="M1214" s="10">
        <f t="shared" ref="M1214:M1277" ca="1" si="285">IF(I1214=1,0,IF(M1213+L1213&gt;=$M$5,$M$5,IF(M1213+L1213&lt;=$M$7,$M$7,M1213+L1213)))</f>
        <v>1</v>
      </c>
      <c r="N1214" s="30">
        <f t="shared" ref="N1214:N1277" ca="1" si="286">IF(M1214=0,0,IF(M1214&gt;M1213,(C1214+N1213*M1213)*$S$5,0))</f>
        <v>0</v>
      </c>
      <c r="O1214" s="10">
        <f t="shared" ref="O1214:O1277" ca="1" si="287">IF(M1214=0,0,IF(M1214=M1213,O1213,((M1214-M1213)*C1214+N1213*M1213)*$S$5/M1214))</f>
        <v>1980000</v>
      </c>
      <c r="P1214" s="29">
        <f t="shared" ref="P1214:P1277" ca="1" si="288">IF(M1213=M1214,(M1213*J1214+M1214*K1214)*$S$5,(M1213*J1214+M1214*K1214)*$S$5-$S$6)</f>
        <v>-40800</v>
      </c>
      <c r="Q1214" s="12">
        <f t="shared" ref="Q1214:Q1277" ca="1" si="289">P1214+Q1213</f>
        <v>-395100</v>
      </c>
      <c r="R1214" s="10">
        <f t="shared" ref="R1214:R1277" ca="1" si="290">IF(P1214=0,0,IF(O1214=0,100*P1214/O1213,100*P1214/O1214))</f>
        <v>-2.0606060606060606</v>
      </c>
      <c r="S1214" s="10">
        <f t="shared" ca="1" si="280"/>
        <v>-6.6652800363045037E-2</v>
      </c>
      <c r="T1214" s="14">
        <f t="shared" ca="1" si="281"/>
        <v>-0.1251143728546554</v>
      </c>
      <c r="U1214" s="12">
        <f t="shared" ref="U1214:U1277" ca="1" si="291">IF(Q1214&gt;U1213,Q1214,U1213)</f>
        <v>7900</v>
      </c>
      <c r="V1214" s="14">
        <f t="shared" ref="V1214:V1277" ca="1" si="292">IF(U1214=0,0,100*(Q1214-U1214)/U1214)</f>
        <v>-5101.2658227848106</v>
      </c>
      <c r="W1214" s="12">
        <f t="shared" ca="1" si="282"/>
        <v>-3367.0886075949365</v>
      </c>
      <c r="X1214" s="7">
        <f ca="1">AVERAGE(E1214:OFFSET(F1214,-$X$5+1,0))</f>
        <v>9893.4</v>
      </c>
      <c r="Y1214" s="7">
        <f ca="1">AVERAGE(E1214:OFFSET(F1214,-$Y$5+1,0))</f>
        <v>9815.7999999999993</v>
      </c>
      <c r="Z1214" s="7">
        <f t="shared" ca="1" si="284"/>
        <v>0</v>
      </c>
    </row>
    <row r="1215" spans="1:26">
      <c r="A1215" s="3" t="s">
        <v>82</v>
      </c>
      <c r="B1215" s="4">
        <v>43441</v>
      </c>
      <c r="C1215" s="3">
        <v>9735</v>
      </c>
      <c r="D1215" s="3">
        <v>9763</v>
      </c>
      <c r="E1215" s="3">
        <v>9689</v>
      </c>
      <c r="F1215" s="3">
        <v>9746</v>
      </c>
      <c r="G1215" s="3">
        <v>105451</v>
      </c>
      <c r="H1215" s="3">
        <v>1.0449999999999999</v>
      </c>
      <c r="I1215" s="2">
        <f t="shared" si="277"/>
        <v>0</v>
      </c>
      <c r="J1215" s="10">
        <f t="shared" si="279"/>
        <v>61</v>
      </c>
      <c r="K1215" s="10">
        <f t="shared" si="278"/>
        <v>11</v>
      </c>
      <c r="L1215" s="10">
        <f t="shared" ca="1" si="283"/>
        <v>0</v>
      </c>
      <c r="M1215" s="10">
        <f t="shared" ca="1" si="285"/>
        <v>1</v>
      </c>
      <c r="N1215" s="30">
        <f t="shared" ca="1" si="286"/>
        <v>0</v>
      </c>
      <c r="O1215" s="10">
        <f t="shared" ca="1" si="287"/>
        <v>1980000</v>
      </c>
      <c r="P1215" s="29">
        <f t="shared" ca="1" si="288"/>
        <v>14400</v>
      </c>
      <c r="Q1215" s="12">
        <f t="shared" ca="1" si="289"/>
        <v>-380700</v>
      </c>
      <c r="R1215" s="10">
        <f t="shared" ca="1" si="290"/>
        <v>0.72727272727272729</v>
      </c>
      <c r="S1215" s="10">
        <f t="shared" ca="1" si="280"/>
        <v>1.4181446885754264E-3</v>
      </c>
      <c r="T1215" s="14">
        <f t="shared" ca="1" si="281"/>
        <v>-0.11709592263120031</v>
      </c>
      <c r="U1215" s="12">
        <f t="shared" ca="1" si="291"/>
        <v>7900</v>
      </c>
      <c r="V1215" s="14">
        <f t="shared" ca="1" si="292"/>
        <v>-4918.9873417721519</v>
      </c>
      <c r="W1215" s="12">
        <f t="shared" ca="1" si="282"/>
        <v>-3367.0886075949365</v>
      </c>
      <c r="X1215" s="7">
        <f ca="1">AVERAGE(E1215:OFFSET(F1215,-$X$5+1,0))</f>
        <v>9866.9</v>
      </c>
      <c r="Y1215" s="7">
        <f ca="1">AVERAGE(E1215:OFFSET(F1215,-$Y$5+1,0))</f>
        <v>9825.9</v>
      </c>
      <c r="Z1215" s="7">
        <f t="shared" ca="1" si="284"/>
        <v>0</v>
      </c>
    </row>
    <row r="1216" spans="1:26">
      <c r="A1216" s="3" t="s">
        <v>82</v>
      </c>
      <c r="B1216" s="4">
        <v>43444</v>
      </c>
      <c r="C1216" s="3">
        <v>9565</v>
      </c>
      <c r="D1216" s="3">
        <v>9680</v>
      </c>
      <c r="E1216" s="3">
        <v>9560</v>
      </c>
      <c r="F1216" s="3">
        <v>9626</v>
      </c>
      <c r="G1216" s="3">
        <v>116350</v>
      </c>
      <c r="H1216" s="3">
        <v>1.0449999999999999</v>
      </c>
      <c r="I1216" s="2">
        <f t="shared" si="277"/>
        <v>0</v>
      </c>
      <c r="J1216" s="10">
        <f t="shared" si="279"/>
        <v>-181</v>
      </c>
      <c r="K1216" s="10">
        <f t="shared" si="278"/>
        <v>61</v>
      </c>
      <c r="L1216" s="10">
        <f t="shared" ca="1" si="283"/>
        <v>-1</v>
      </c>
      <c r="M1216" s="10">
        <f t="shared" ca="1" si="285"/>
        <v>1</v>
      </c>
      <c r="N1216" s="30">
        <f t="shared" ca="1" si="286"/>
        <v>0</v>
      </c>
      <c r="O1216" s="10">
        <f t="shared" ca="1" si="287"/>
        <v>1980000</v>
      </c>
      <c r="P1216" s="29">
        <f t="shared" ca="1" si="288"/>
        <v>-24000</v>
      </c>
      <c r="Q1216" s="12">
        <f t="shared" ca="1" si="289"/>
        <v>-404700</v>
      </c>
      <c r="R1216" s="10">
        <f t="shared" ca="1" si="290"/>
        <v>-1.2121212121212122</v>
      </c>
      <c r="S1216" s="10">
        <f t="shared" ca="1" si="280"/>
        <v>-5.5643044619422571E-2</v>
      </c>
      <c r="T1216" s="14">
        <f t="shared" ca="1" si="281"/>
        <v>-0.12250657968662662</v>
      </c>
      <c r="U1216" s="12">
        <f t="shared" ca="1" si="291"/>
        <v>7900</v>
      </c>
      <c r="V1216" s="14">
        <f t="shared" ca="1" si="292"/>
        <v>-5222.7848101265827</v>
      </c>
      <c r="W1216" s="12">
        <f t="shared" ca="1" si="282"/>
        <v>-3367.0886075949365</v>
      </c>
      <c r="X1216" s="7">
        <f ca="1">AVERAGE(E1216:OFFSET(F1216,-$X$5+1,0))</f>
        <v>9773.7000000000007</v>
      </c>
      <c r="Y1216" s="7">
        <f ca="1">AVERAGE(E1216:OFFSET(F1216,-$Y$5+1,0))</f>
        <v>9814</v>
      </c>
      <c r="Z1216" s="7">
        <f t="shared" ca="1" si="284"/>
        <v>-1</v>
      </c>
    </row>
    <row r="1217" spans="1:26">
      <c r="A1217" s="3" t="s">
        <v>82</v>
      </c>
      <c r="B1217" s="4">
        <v>43445</v>
      </c>
      <c r="C1217" s="3">
        <v>9654</v>
      </c>
      <c r="D1217" s="3">
        <v>9698</v>
      </c>
      <c r="E1217" s="3">
        <v>9625</v>
      </c>
      <c r="F1217" s="3">
        <v>9687</v>
      </c>
      <c r="G1217" s="3">
        <v>114010</v>
      </c>
      <c r="H1217" s="3">
        <v>1.0449999999999999</v>
      </c>
      <c r="I1217" s="2">
        <f t="shared" si="277"/>
        <v>0</v>
      </c>
      <c r="J1217" s="10">
        <f t="shared" si="279"/>
        <v>28</v>
      </c>
      <c r="K1217" s="10">
        <f t="shared" si="278"/>
        <v>33</v>
      </c>
      <c r="L1217" s="10">
        <f t="shared" ca="1" si="283"/>
        <v>0</v>
      </c>
      <c r="M1217" s="10">
        <f t="shared" ca="1" si="285"/>
        <v>0</v>
      </c>
      <c r="N1217" s="30">
        <f t="shared" ca="1" si="286"/>
        <v>0</v>
      </c>
      <c r="O1217" s="10">
        <f t="shared" ca="1" si="287"/>
        <v>0</v>
      </c>
      <c r="P1217" s="29">
        <f t="shared" ca="1" si="288"/>
        <v>5100</v>
      </c>
      <c r="Q1217" s="12">
        <f t="shared" ca="1" si="289"/>
        <v>-399600</v>
      </c>
      <c r="R1217" s="10">
        <f t="shared" ca="1" si="290"/>
        <v>0.25757575757575757</v>
      </c>
      <c r="S1217" s="10">
        <f t="shared" ca="1" si="280"/>
        <v>-2.4146981627296588E-2</v>
      </c>
      <c r="T1217" s="14">
        <f t="shared" ca="1" si="281"/>
        <v>-0.1189536837871695</v>
      </c>
      <c r="U1217" s="12">
        <f t="shared" ca="1" si="291"/>
        <v>7900</v>
      </c>
      <c r="V1217" s="14">
        <f t="shared" ca="1" si="292"/>
        <v>-5158.2278481012654</v>
      </c>
      <c r="W1217" s="12">
        <f t="shared" ca="1" si="282"/>
        <v>-3367.0886075949365</v>
      </c>
      <c r="X1217" s="7">
        <f ca="1">AVERAGE(E1217:OFFSET(F1217,-$X$5+1,0))</f>
        <v>9697.4</v>
      </c>
      <c r="Y1217" s="7">
        <f ca="1">AVERAGE(E1217:OFFSET(F1217,-$Y$5+1,0))</f>
        <v>9810.35</v>
      </c>
      <c r="Z1217" s="7">
        <f t="shared" ca="1" si="284"/>
        <v>0</v>
      </c>
    </row>
    <row r="1218" spans="1:26">
      <c r="A1218" s="3" t="s">
        <v>82</v>
      </c>
      <c r="B1218" s="4">
        <v>43446</v>
      </c>
      <c r="C1218" s="3">
        <v>9759</v>
      </c>
      <c r="D1218" s="3">
        <v>9827</v>
      </c>
      <c r="E1218" s="3">
        <v>9725</v>
      </c>
      <c r="F1218" s="3">
        <v>9818</v>
      </c>
      <c r="G1218" s="3">
        <v>132304</v>
      </c>
      <c r="H1218" s="3">
        <v>1.0449999999999999</v>
      </c>
      <c r="I1218" s="2">
        <f t="shared" si="277"/>
        <v>0</v>
      </c>
      <c r="J1218" s="10">
        <f t="shared" si="279"/>
        <v>72</v>
      </c>
      <c r="K1218" s="10">
        <f t="shared" si="278"/>
        <v>59</v>
      </c>
      <c r="L1218" s="10">
        <f t="shared" ca="1" si="283"/>
        <v>0</v>
      </c>
      <c r="M1218" s="10">
        <f t="shared" ca="1" si="285"/>
        <v>0</v>
      </c>
      <c r="N1218" s="30">
        <f t="shared" ca="1" si="286"/>
        <v>0</v>
      </c>
      <c r="O1218" s="10">
        <f t="shared" ca="1" si="287"/>
        <v>0</v>
      </c>
      <c r="P1218" s="29">
        <f t="shared" ca="1" si="288"/>
        <v>0</v>
      </c>
      <c r="Q1218" s="12">
        <f t="shared" ca="1" si="289"/>
        <v>-399600</v>
      </c>
      <c r="R1218" s="10">
        <f t="shared" ca="1" si="290"/>
        <v>0</v>
      </c>
      <c r="S1218" s="10">
        <f t="shared" ca="1" si="280"/>
        <v>-2.4146981627296588E-2</v>
      </c>
      <c r="T1218" s="14">
        <f t="shared" ca="1" si="281"/>
        <v>-0.1189536837871695</v>
      </c>
      <c r="U1218" s="12">
        <f t="shared" ca="1" si="291"/>
        <v>7900</v>
      </c>
      <c r="V1218" s="14">
        <f t="shared" ca="1" si="292"/>
        <v>-5158.2278481012654</v>
      </c>
      <c r="W1218" s="12">
        <f t="shared" ca="1" si="282"/>
        <v>-3367.0886075949365</v>
      </c>
      <c r="X1218" s="7">
        <f ca="1">AVERAGE(E1218:OFFSET(F1218,-$X$5+1,0))</f>
        <v>9677.6</v>
      </c>
      <c r="Y1218" s="7">
        <f ca="1">AVERAGE(E1218:OFFSET(F1218,-$Y$5+1,0))</f>
        <v>9807.4</v>
      </c>
      <c r="Z1218" s="7">
        <f t="shared" ca="1" si="284"/>
        <v>0</v>
      </c>
    </row>
    <row r="1219" spans="1:26">
      <c r="A1219" s="3" t="s">
        <v>82</v>
      </c>
      <c r="B1219" s="4">
        <v>43447</v>
      </c>
      <c r="C1219" s="3">
        <v>9831</v>
      </c>
      <c r="D1219" s="3">
        <v>9872</v>
      </c>
      <c r="E1219" s="3">
        <v>9790</v>
      </c>
      <c r="F1219" s="3">
        <v>9856</v>
      </c>
      <c r="G1219" s="3">
        <v>109467</v>
      </c>
      <c r="H1219" s="3">
        <v>1.0449999999999999</v>
      </c>
      <c r="I1219" s="2">
        <f t="shared" si="277"/>
        <v>0</v>
      </c>
      <c r="J1219" s="10">
        <f t="shared" si="279"/>
        <v>13</v>
      </c>
      <c r="K1219" s="10">
        <f t="shared" si="278"/>
        <v>25</v>
      </c>
      <c r="L1219" s="10">
        <f t="shared" ca="1" si="283"/>
        <v>0</v>
      </c>
      <c r="M1219" s="10">
        <f t="shared" ca="1" si="285"/>
        <v>0</v>
      </c>
      <c r="N1219" s="30">
        <f t="shared" ca="1" si="286"/>
        <v>0</v>
      </c>
      <c r="O1219" s="10">
        <f t="shared" ca="1" si="287"/>
        <v>0</v>
      </c>
      <c r="P1219" s="29">
        <f t="shared" ca="1" si="288"/>
        <v>0</v>
      </c>
      <c r="Q1219" s="12">
        <f t="shared" ca="1" si="289"/>
        <v>-399600</v>
      </c>
      <c r="R1219" s="10">
        <f t="shared" ca="1" si="290"/>
        <v>0</v>
      </c>
      <c r="S1219" s="10">
        <f t="shared" ca="1" si="280"/>
        <v>-2.4146981627296588E-2</v>
      </c>
      <c r="T1219" s="14">
        <f t="shared" ca="1" si="281"/>
        <v>-0.1189536837871695</v>
      </c>
      <c r="U1219" s="12">
        <f t="shared" ca="1" si="291"/>
        <v>7900</v>
      </c>
      <c r="V1219" s="14">
        <f t="shared" ca="1" si="292"/>
        <v>-5158.2278481012654</v>
      </c>
      <c r="W1219" s="12">
        <f t="shared" ca="1" si="282"/>
        <v>-3367.0886075949365</v>
      </c>
      <c r="X1219" s="7">
        <f ca="1">AVERAGE(E1219:OFFSET(F1219,-$X$5+1,0))</f>
        <v>9712.2000000000007</v>
      </c>
      <c r="Y1219" s="7">
        <f ca="1">AVERAGE(E1219:OFFSET(F1219,-$Y$5+1,0))</f>
        <v>9802.7999999999993</v>
      </c>
      <c r="Z1219" s="7">
        <f t="shared" ca="1" si="284"/>
        <v>0</v>
      </c>
    </row>
    <row r="1220" spans="1:26">
      <c r="A1220" s="3" t="s">
        <v>82</v>
      </c>
      <c r="B1220" s="4">
        <v>43448</v>
      </c>
      <c r="C1220" s="3">
        <v>9805</v>
      </c>
      <c r="D1220" s="3">
        <v>9809</v>
      </c>
      <c r="E1220" s="3">
        <v>9676</v>
      </c>
      <c r="F1220" s="3">
        <v>9730</v>
      </c>
      <c r="G1220" s="3">
        <v>145379</v>
      </c>
      <c r="H1220" s="3">
        <v>1.0449999999999999</v>
      </c>
      <c r="I1220" s="2">
        <f t="shared" ref="I1220:I1283" si="293">IF(A1220=A1221,0,1)</f>
        <v>0</v>
      </c>
      <c r="J1220" s="10">
        <f t="shared" si="279"/>
        <v>-51</v>
      </c>
      <c r="K1220" s="10">
        <f t="shared" ref="K1220:K1283" si="294">F1220-C1220</f>
        <v>-75</v>
      </c>
      <c r="L1220" s="10">
        <f t="shared" ca="1" si="283"/>
        <v>0</v>
      </c>
      <c r="M1220" s="10">
        <f t="shared" ca="1" si="285"/>
        <v>0</v>
      </c>
      <c r="N1220" s="30">
        <f t="shared" ca="1" si="286"/>
        <v>0</v>
      </c>
      <c r="O1220" s="10">
        <f t="shared" ca="1" si="287"/>
        <v>0</v>
      </c>
      <c r="P1220" s="29">
        <f t="shared" ca="1" si="288"/>
        <v>0</v>
      </c>
      <c r="Q1220" s="12">
        <f t="shared" ca="1" si="289"/>
        <v>-399600</v>
      </c>
      <c r="R1220" s="10">
        <f t="shared" ca="1" si="290"/>
        <v>0</v>
      </c>
      <c r="S1220" s="10">
        <f t="shared" ca="1" si="280"/>
        <v>-2.4146981627296588E-2</v>
      </c>
      <c r="T1220" s="14">
        <f t="shared" ca="1" si="281"/>
        <v>-0.11896759532275901</v>
      </c>
      <c r="U1220" s="12">
        <f t="shared" ca="1" si="291"/>
        <v>7900</v>
      </c>
      <c r="V1220" s="14">
        <f t="shared" ca="1" si="292"/>
        <v>-5158.2278481012654</v>
      </c>
      <c r="W1220" s="12">
        <f t="shared" ca="1" si="282"/>
        <v>-3367.0886075949365</v>
      </c>
      <c r="X1220" s="7">
        <f ca="1">AVERAGE(E1220:OFFSET(F1220,-$X$5+1,0))</f>
        <v>9709.2999999999993</v>
      </c>
      <c r="Y1220" s="7">
        <f ca="1">AVERAGE(E1220:OFFSET(F1220,-$Y$5+1,0))</f>
        <v>9788.1</v>
      </c>
      <c r="Z1220" s="7">
        <f t="shared" ca="1" si="284"/>
        <v>0</v>
      </c>
    </row>
    <row r="1221" spans="1:26">
      <c r="A1221" s="3" t="s">
        <v>82</v>
      </c>
      <c r="B1221" s="4">
        <v>43451</v>
      </c>
      <c r="C1221" s="3">
        <v>9753</v>
      </c>
      <c r="D1221" s="3">
        <v>9826</v>
      </c>
      <c r="E1221" s="3">
        <v>9722</v>
      </c>
      <c r="F1221" s="3">
        <v>9790</v>
      </c>
      <c r="G1221" s="3">
        <v>127930</v>
      </c>
      <c r="H1221" s="3">
        <v>1.0449999999999999</v>
      </c>
      <c r="I1221" s="2">
        <f t="shared" si="293"/>
        <v>0</v>
      </c>
      <c r="J1221" s="10">
        <f t="shared" ref="J1221:J1284" si="295">C1221-F1220</f>
        <v>23</v>
      </c>
      <c r="K1221" s="10">
        <f t="shared" si="294"/>
        <v>37</v>
      </c>
      <c r="L1221" s="10">
        <f t="shared" ca="1" si="283"/>
        <v>0</v>
      </c>
      <c r="M1221" s="10">
        <f t="shared" ca="1" si="285"/>
        <v>0</v>
      </c>
      <c r="N1221" s="30">
        <f t="shared" ca="1" si="286"/>
        <v>0</v>
      </c>
      <c r="O1221" s="10">
        <f t="shared" ca="1" si="287"/>
        <v>0</v>
      </c>
      <c r="P1221" s="29">
        <f t="shared" ca="1" si="288"/>
        <v>0</v>
      </c>
      <c r="Q1221" s="12">
        <f t="shared" ca="1" si="289"/>
        <v>-399600</v>
      </c>
      <c r="R1221" s="10">
        <f t="shared" ca="1" si="290"/>
        <v>0</v>
      </c>
      <c r="S1221" s="10">
        <f t="shared" ca="1" si="280"/>
        <v>-2.4146981627296588E-2</v>
      </c>
      <c r="T1221" s="14">
        <f t="shared" ca="1" si="281"/>
        <v>-0.11897344114975346</v>
      </c>
      <c r="U1221" s="12">
        <f t="shared" ca="1" si="291"/>
        <v>7900</v>
      </c>
      <c r="V1221" s="14">
        <f t="shared" ca="1" si="292"/>
        <v>-5158.2278481012654</v>
      </c>
      <c r="W1221" s="12">
        <f t="shared" ca="1" si="282"/>
        <v>-3367.0886075949365</v>
      </c>
      <c r="X1221" s="7">
        <f ca="1">AVERAGE(E1221:OFFSET(F1221,-$X$5+1,0))</f>
        <v>9741.9</v>
      </c>
      <c r="Y1221" s="7">
        <f ca="1">AVERAGE(E1221:OFFSET(F1221,-$Y$5+1,0))</f>
        <v>9757.7999999999993</v>
      </c>
      <c r="Z1221" s="7">
        <f t="shared" ca="1" si="284"/>
        <v>0</v>
      </c>
    </row>
    <row r="1222" spans="1:26">
      <c r="A1222" s="3" t="s">
        <v>82</v>
      </c>
      <c r="B1222" s="4">
        <v>43452</v>
      </c>
      <c r="C1222" s="3">
        <v>9718</v>
      </c>
      <c r="D1222" s="3">
        <v>9755</v>
      </c>
      <c r="E1222" s="3">
        <v>9688</v>
      </c>
      <c r="F1222" s="3">
        <v>9718</v>
      </c>
      <c r="G1222" s="3">
        <v>144686</v>
      </c>
      <c r="H1222" s="3">
        <v>1.0449999999999999</v>
      </c>
      <c r="I1222" s="2">
        <f t="shared" si="293"/>
        <v>0</v>
      </c>
      <c r="J1222" s="10">
        <f t="shared" si="295"/>
        <v>-72</v>
      </c>
      <c r="K1222" s="10">
        <f t="shared" si="294"/>
        <v>0</v>
      </c>
      <c r="L1222" s="10">
        <f t="shared" ca="1" si="283"/>
        <v>1</v>
      </c>
      <c r="M1222" s="10">
        <f t="shared" ca="1" si="285"/>
        <v>0</v>
      </c>
      <c r="N1222" s="30">
        <f t="shared" ca="1" si="286"/>
        <v>0</v>
      </c>
      <c r="O1222" s="10">
        <f t="shared" ca="1" si="287"/>
        <v>0</v>
      </c>
      <c r="P1222" s="29">
        <f t="shared" ca="1" si="288"/>
        <v>0</v>
      </c>
      <c r="Q1222" s="12">
        <f t="shared" ca="1" si="289"/>
        <v>-399600</v>
      </c>
      <c r="R1222" s="10">
        <f t="shared" ca="1" si="290"/>
        <v>0</v>
      </c>
      <c r="S1222" s="10">
        <f t="shared" ca="1" si="280"/>
        <v>-2.4146981627296588E-2</v>
      </c>
      <c r="T1222" s="14">
        <f t="shared" ca="1" si="281"/>
        <v>-0.11905509837605939</v>
      </c>
      <c r="U1222" s="12">
        <f t="shared" ca="1" si="291"/>
        <v>7900</v>
      </c>
      <c r="V1222" s="14">
        <f t="shared" ca="1" si="292"/>
        <v>-5158.2278481012654</v>
      </c>
      <c r="W1222" s="12">
        <f t="shared" ca="1" si="282"/>
        <v>-3367.0886075949365</v>
      </c>
      <c r="X1222" s="7">
        <f ca="1">AVERAGE(E1222:OFFSET(F1222,-$X$5+1,0))</f>
        <v>9751.2999999999993</v>
      </c>
      <c r="Y1222" s="7">
        <f ca="1">AVERAGE(E1222:OFFSET(F1222,-$Y$5+1,0))</f>
        <v>9724.35</v>
      </c>
      <c r="Z1222" s="7">
        <f t="shared" ca="1" si="284"/>
        <v>1</v>
      </c>
    </row>
    <row r="1223" spans="1:26">
      <c r="A1223" s="3" t="s">
        <v>82</v>
      </c>
      <c r="B1223" s="4">
        <v>43453</v>
      </c>
      <c r="C1223" s="3">
        <v>9758</v>
      </c>
      <c r="D1223" s="3">
        <v>9778</v>
      </c>
      <c r="E1223" s="3">
        <v>9728</v>
      </c>
      <c r="F1223" s="3">
        <v>9768</v>
      </c>
      <c r="G1223" s="3">
        <v>54588</v>
      </c>
      <c r="H1223" s="3">
        <v>1.0449999999999999</v>
      </c>
      <c r="I1223" s="2">
        <f t="shared" si="293"/>
        <v>1</v>
      </c>
      <c r="J1223" s="10">
        <f t="shared" si="295"/>
        <v>40</v>
      </c>
      <c r="K1223" s="10">
        <f t="shared" si="294"/>
        <v>10</v>
      </c>
      <c r="L1223" s="10">
        <f t="shared" ca="1" si="283"/>
        <v>0</v>
      </c>
      <c r="M1223" s="10">
        <f t="shared" si="285"/>
        <v>0</v>
      </c>
      <c r="N1223" s="30">
        <f t="shared" si="286"/>
        <v>0</v>
      </c>
      <c r="O1223" s="10">
        <f t="shared" si="287"/>
        <v>0</v>
      </c>
      <c r="P1223" s="29">
        <f t="shared" ca="1" si="288"/>
        <v>0</v>
      </c>
      <c r="Q1223" s="12">
        <f t="shared" ca="1" si="289"/>
        <v>-399600</v>
      </c>
      <c r="R1223" s="10">
        <f t="shared" ca="1" si="290"/>
        <v>0</v>
      </c>
      <c r="S1223" s="10">
        <f t="shared" ca="1" si="280"/>
        <v>4.8818897637795275E-2</v>
      </c>
      <c r="T1223" s="14">
        <f t="shared" ca="1" si="281"/>
        <v>-0.11092996676807486</v>
      </c>
      <c r="U1223" s="12">
        <f t="shared" ca="1" si="291"/>
        <v>7900</v>
      </c>
      <c r="V1223" s="14">
        <f t="shared" ca="1" si="292"/>
        <v>-5158.2278481012654</v>
      </c>
      <c r="W1223" s="12">
        <f t="shared" ca="1" si="282"/>
        <v>-3367.0886075949365</v>
      </c>
      <c r="X1223" s="7">
        <f ca="1">AVERAGE(E1223:OFFSET(F1223,-$X$5+1,0))</f>
        <v>9746.6</v>
      </c>
      <c r="Y1223" s="7">
        <f ca="1">AVERAGE(E1223:OFFSET(F1223,-$Y$5+1,0))</f>
        <v>9712.1</v>
      </c>
      <c r="Z1223" s="7">
        <f t="shared" ca="1" si="284"/>
        <v>0</v>
      </c>
    </row>
    <row r="1224" spans="1:26">
      <c r="A1224" s="3" t="s">
        <v>83</v>
      </c>
      <c r="B1224" s="4">
        <v>43454</v>
      </c>
      <c r="C1224" s="3">
        <v>9638</v>
      </c>
      <c r="D1224" s="3">
        <v>9709</v>
      </c>
      <c r="E1224" s="3">
        <v>9610</v>
      </c>
      <c r="F1224" s="3">
        <v>9641</v>
      </c>
      <c r="G1224" s="3">
        <v>141731</v>
      </c>
      <c r="H1224" s="3">
        <v>1.0449999999999999</v>
      </c>
      <c r="I1224" s="2">
        <f t="shared" si="293"/>
        <v>0</v>
      </c>
      <c r="J1224" s="10">
        <f t="shared" si="295"/>
        <v>-130</v>
      </c>
      <c r="K1224" s="10">
        <f t="shared" si="294"/>
        <v>3</v>
      </c>
      <c r="L1224" s="10">
        <f t="shared" ca="1" si="283"/>
        <v>-1</v>
      </c>
      <c r="M1224" s="10">
        <f t="shared" ca="1" si="285"/>
        <v>0</v>
      </c>
      <c r="N1224" s="30">
        <f t="shared" ca="1" si="286"/>
        <v>0</v>
      </c>
      <c r="O1224" s="10">
        <f t="shared" ca="1" si="287"/>
        <v>0</v>
      </c>
      <c r="P1224" s="29">
        <f t="shared" ca="1" si="288"/>
        <v>0</v>
      </c>
      <c r="Q1224" s="12">
        <f t="shared" ca="1" si="289"/>
        <v>-399600</v>
      </c>
      <c r="R1224" s="10">
        <f t="shared" ca="1" si="290"/>
        <v>0</v>
      </c>
      <c r="S1224" s="10">
        <f t="shared" ca="1" si="280"/>
        <v>8.3989501312335957E-2</v>
      </c>
      <c r="T1224" s="14">
        <f t="shared" ca="1" si="281"/>
        <v>-0.10701353642465784</v>
      </c>
      <c r="U1224" s="12">
        <f t="shared" ca="1" si="291"/>
        <v>7900</v>
      </c>
      <c r="V1224" s="14">
        <f t="shared" ca="1" si="292"/>
        <v>-5158.2278481012654</v>
      </c>
      <c r="W1224" s="12">
        <f t="shared" ca="1" si="282"/>
        <v>-3367.0886075949365</v>
      </c>
      <c r="X1224" s="7">
        <f ca="1">AVERAGE(E1224:OFFSET(F1224,-$X$5+1,0))</f>
        <v>9707.1</v>
      </c>
      <c r="Y1224" s="7">
        <f ca="1">AVERAGE(E1224:OFFSET(F1224,-$Y$5+1,0))</f>
        <v>9709.65</v>
      </c>
      <c r="Z1224" s="7">
        <f t="shared" ca="1" si="284"/>
        <v>-1</v>
      </c>
    </row>
    <row r="1225" spans="1:26">
      <c r="A1225" s="3" t="s">
        <v>83</v>
      </c>
      <c r="B1225" s="4">
        <v>43455</v>
      </c>
      <c r="C1225" s="3">
        <v>9624</v>
      </c>
      <c r="D1225" s="3">
        <v>9668</v>
      </c>
      <c r="E1225" s="3">
        <v>9556</v>
      </c>
      <c r="F1225" s="3">
        <v>9660</v>
      </c>
      <c r="G1225" s="3">
        <v>122129</v>
      </c>
      <c r="H1225" s="3">
        <v>1.0449999999999999</v>
      </c>
      <c r="I1225" s="2">
        <f t="shared" si="293"/>
        <v>0</v>
      </c>
      <c r="J1225" s="10">
        <f t="shared" si="295"/>
        <v>-17</v>
      </c>
      <c r="K1225" s="10">
        <f t="shared" si="294"/>
        <v>36</v>
      </c>
      <c r="L1225" s="10">
        <f t="shared" ca="1" si="283"/>
        <v>0</v>
      </c>
      <c r="M1225" s="10">
        <f t="shared" ca="1" si="285"/>
        <v>-1</v>
      </c>
      <c r="N1225" s="30">
        <f t="shared" ca="1" si="286"/>
        <v>0</v>
      </c>
      <c r="O1225" s="10">
        <f t="shared" ca="1" si="287"/>
        <v>1924800</v>
      </c>
      <c r="P1225" s="29">
        <f t="shared" ca="1" si="288"/>
        <v>-7700</v>
      </c>
      <c r="Q1225" s="12">
        <f t="shared" ca="1" si="289"/>
        <v>-407300</v>
      </c>
      <c r="R1225" s="10">
        <f t="shared" ca="1" si="290"/>
        <v>-0.40004156275976727</v>
      </c>
      <c r="S1225" s="10">
        <f t="shared" ca="1" si="280"/>
        <v>4.3569553805774278E-2</v>
      </c>
      <c r="T1225" s="14">
        <f t="shared" ca="1" si="281"/>
        <v>-0.11142235674068184</v>
      </c>
      <c r="U1225" s="12">
        <f t="shared" ca="1" si="291"/>
        <v>7900</v>
      </c>
      <c r="V1225" s="14">
        <f t="shared" ca="1" si="292"/>
        <v>-5255.6962025316452</v>
      </c>
      <c r="W1225" s="12">
        <f t="shared" ca="1" si="282"/>
        <v>-3367.0886075949365</v>
      </c>
      <c r="X1225" s="7">
        <f ca="1">AVERAGE(E1225:OFFSET(F1225,-$X$5+1,0))</f>
        <v>9688.1</v>
      </c>
      <c r="Y1225" s="7">
        <f ca="1">AVERAGE(E1225:OFFSET(F1225,-$Y$5+1,0))</f>
        <v>9698.7000000000007</v>
      </c>
      <c r="Z1225" s="7">
        <f t="shared" ca="1" si="284"/>
        <v>0</v>
      </c>
    </row>
    <row r="1226" spans="1:26">
      <c r="A1226" s="3" t="s">
        <v>83</v>
      </c>
      <c r="B1226" s="4">
        <v>43456</v>
      </c>
      <c r="C1226" s="3">
        <v>9580</v>
      </c>
      <c r="D1226" s="3">
        <v>9615</v>
      </c>
      <c r="E1226" s="3">
        <v>9575</v>
      </c>
      <c r="F1226" s="3">
        <v>9585</v>
      </c>
      <c r="G1226" s="3">
        <v>23776</v>
      </c>
      <c r="H1226" s="3">
        <v>1.0449999999999999</v>
      </c>
      <c r="I1226" s="2">
        <f t="shared" si="293"/>
        <v>0</v>
      </c>
      <c r="J1226" s="10">
        <f t="shared" si="295"/>
        <v>-80</v>
      </c>
      <c r="K1226" s="10">
        <f t="shared" si="294"/>
        <v>5</v>
      </c>
      <c r="L1226" s="10">
        <f t="shared" ca="1" si="283"/>
        <v>0</v>
      </c>
      <c r="M1226" s="10">
        <f t="shared" ca="1" si="285"/>
        <v>-1</v>
      </c>
      <c r="N1226" s="30">
        <f t="shared" ca="1" si="286"/>
        <v>0</v>
      </c>
      <c r="O1226" s="10">
        <f t="shared" ca="1" si="287"/>
        <v>1924800</v>
      </c>
      <c r="P1226" s="29">
        <f t="shared" ca="1" si="288"/>
        <v>15000</v>
      </c>
      <c r="Q1226" s="12">
        <f t="shared" ca="1" si="289"/>
        <v>-392300</v>
      </c>
      <c r="R1226" s="10">
        <f t="shared" ca="1" si="290"/>
        <v>0.77930174563591026</v>
      </c>
      <c r="S1226" s="10">
        <f t="shared" ca="1" si="280"/>
        <v>0.12230971128608924</v>
      </c>
      <c r="T1226" s="14">
        <f t="shared" ca="1" si="281"/>
        <v>-0.10230806810759628</v>
      </c>
      <c r="U1226" s="12">
        <f t="shared" ca="1" si="291"/>
        <v>7900</v>
      </c>
      <c r="V1226" s="14">
        <f t="shared" ca="1" si="292"/>
        <v>-5065.8227848101269</v>
      </c>
      <c r="W1226" s="12">
        <f t="shared" ca="1" si="282"/>
        <v>-3367.0886075949365</v>
      </c>
      <c r="X1226" s="7">
        <f ca="1">AVERAGE(E1226:OFFSET(F1226,-$X$5+1,0))</f>
        <v>9652.9</v>
      </c>
      <c r="Y1226" s="7">
        <f ca="1">AVERAGE(E1226:OFFSET(F1226,-$Y$5+1,0))</f>
        <v>9697.4</v>
      </c>
      <c r="Z1226" s="7">
        <f t="shared" ca="1" si="284"/>
        <v>0</v>
      </c>
    </row>
    <row r="1227" spans="1:26">
      <c r="A1227" s="3" t="s">
        <v>83</v>
      </c>
      <c r="B1227" s="4">
        <v>43458</v>
      </c>
      <c r="C1227" s="3">
        <v>9603</v>
      </c>
      <c r="D1227" s="3">
        <v>9627</v>
      </c>
      <c r="E1227" s="3">
        <v>9587</v>
      </c>
      <c r="F1227" s="3">
        <v>9620</v>
      </c>
      <c r="G1227" s="3">
        <v>89050</v>
      </c>
      <c r="H1227" s="3">
        <v>1.0449999999999999</v>
      </c>
      <c r="I1227" s="2">
        <f t="shared" si="293"/>
        <v>0</v>
      </c>
      <c r="J1227" s="10">
        <f t="shared" si="295"/>
        <v>18</v>
      </c>
      <c r="K1227" s="10">
        <f t="shared" si="294"/>
        <v>17</v>
      </c>
      <c r="L1227" s="10">
        <f t="shared" ca="1" si="283"/>
        <v>0</v>
      </c>
      <c r="M1227" s="10">
        <f t="shared" ca="1" si="285"/>
        <v>-1</v>
      </c>
      <c r="N1227" s="30">
        <f t="shared" ca="1" si="286"/>
        <v>0</v>
      </c>
      <c r="O1227" s="10">
        <f t="shared" ca="1" si="287"/>
        <v>1924800</v>
      </c>
      <c r="P1227" s="29">
        <f t="shared" ca="1" si="288"/>
        <v>-7000</v>
      </c>
      <c r="Q1227" s="12">
        <f t="shared" ca="1" si="289"/>
        <v>-399300</v>
      </c>
      <c r="R1227" s="10">
        <f t="shared" ca="1" si="290"/>
        <v>-0.36367414796342479</v>
      </c>
      <c r="S1227" s="10">
        <f t="shared" ca="1" si="280"/>
        <v>8.5564304461942256E-2</v>
      </c>
      <c r="T1227" s="14">
        <f t="shared" ca="1" si="281"/>
        <v>-0.10631023417213525</v>
      </c>
      <c r="U1227" s="12">
        <f t="shared" ca="1" si="291"/>
        <v>7900</v>
      </c>
      <c r="V1227" s="14">
        <f t="shared" ca="1" si="292"/>
        <v>-5154.4303797468356</v>
      </c>
      <c r="W1227" s="12">
        <f t="shared" ca="1" si="282"/>
        <v>-3367.0886075949365</v>
      </c>
      <c r="X1227" s="7">
        <f ca="1">AVERAGE(E1227:OFFSET(F1227,-$X$5+1,0))</f>
        <v>9633</v>
      </c>
      <c r="Y1227" s="7">
        <f ca="1">AVERAGE(E1227:OFFSET(F1227,-$Y$5+1,0))</f>
        <v>9692.15</v>
      </c>
      <c r="Z1227" s="7">
        <f t="shared" ca="1" si="284"/>
        <v>0</v>
      </c>
    </row>
    <row r="1228" spans="1:26">
      <c r="A1228" s="3" t="s">
        <v>83</v>
      </c>
      <c r="B1228" s="4">
        <v>43459</v>
      </c>
      <c r="C1228" s="3">
        <v>9480</v>
      </c>
      <c r="D1228" s="3">
        <v>9487</v>
      </c>
      <c r="E1228" s="3">
        <v>9410</v>
      </c>
      <c r="F1228" s="3">
        <v>9477</v>
      </c>
      <c r="G1228" s="3">
        <v>99787</v>
      </c>
      <c r="H1228" s="3">
        <v>1.0449999999999999</v>
      </c>
      <c r="I1228" s="2">
        <f t="shared" si="293"/>
        <v>0</v>
      </c>
      <c r="J1228" s="10">
        <f t="shared" si="295"/>
        <v>-140</v>
      </c>
      <c r="K1228" s="10">
        <f t="shared" si="294"/>
        <v>-3</v>
      </c>
      <c r="L1228" s="10">
        <f t="shared" ca="1" si="283"/>
        <v>0</v>
      </c>
      <c r="M1228" s="10">
        <f t="shared" ca="1" si="285"/>
        <v>-1</v>
      </c>
      <c r="N1228" s="30">
        <f t="shared" ca="1" si="286"/>
        <v>0</v>
      </c>
      <c r="O1228" s="10">
        <f t="shared" ca="1" si="287"/>
        <v>1924800</v>
      </c>
      <c r="P1228" s="29">
        <f t="shared" ca="1" si="288"/>
        <v>28600</v>
      </c>
      <c r="Q1228" s="12">
        <f t="shared" ca="1" si="289"/>
        <v>-370700</v>
      </c>
      <c r="R1228" s="10">
        <f t="shared" ca="1" si="290"/>
        <v>1.4858686616791354</v>
      </c>
      <c r="S1228" s="10">
        <f t="shared" ca="1" si="280"/>
        <v>0.23569553805774279</v>
      </c>
      <c r="T1228" s="14">
        <f t="shared" ca="1" si="281"/>
        <v>-8.8628773114082723E-2</v>
      </c>
      <c r="U1228" s="12">
        <f t="shared" ca="1" si="291"/>
        <v>7900</v>
      </c>
      <c r="V1228" s="14">
        <f t="shared" ca="1" si="292"/>
        <v>-4792.4050632911394</v>
      </c>
      <c r="W1228" s="12">
        <f t="shared" ca="1" si="282"/>
        <v>-3367.0886075949365</v>
      </c>
      <c r="X1228" s="7">
        <f ca="1">AVERAGE(E1228:OFFSET(F1228,-$X$5+1,0))</f>
        <v>9572.1</v>
      </c>
      <c r="Y1228" s="7">
        <f ca="1">AVERAGE(E1228:OFFSET(F1228,-$Y$5+1,0))</f>
        <v>9659.35</v>
      </c>
      <c r="Z1228" s="7">
        <f t="shared" ca="1" si="284"/>
        <v>0</v>
      </c>
    </row>
    <row r="1229" spans="1:26">
      <c r="A1229" s="3" t="s">
        <v>83</v>
      </c>
      <c r="B1229" s="4">
        <v>43460</v>
      </c>
      <c r="C1229" s="3">
        <v>9523</v>
      </c>
      <c r="D1229" s="3">
        <v>9555</v>
      </c>
      <c r="E1229" s="3">
        <v>9438</v>
      </c>
      <c r="F1229" s="3">
        <v>9459</v>
      </c>
      <c r="G1229" s="3">
        <v>116623</v>
      </c>
      <c r="H1229" s="3">
        <v>1.0449999999999999</v>
      </c>
      <c r="I1229" s="2">
        <f t="shared" si="293"/>
        <v>0</v>
      </c>
      <c r="J1229" s="10">
        <f t="shared" si="295"/>
        <v>46</v>
      </c>
      <c r="K1229" s="10">
        <f t="shared" si="294"/>
        <v>-64</v>
      </c>
      <c r="L1229" s="10">
        <f t="shared" ca="1" si="283"/>
        <v>0</v>
      </c>
      <c r="M1229" s="10">
        <f t="shared" ca="1" si="285"/>
        <v>-1</v>
      </c>
      <c r="N1229" s="30">
        <f t="shared" ca="1" si="286"/>
        <v>0</v>
      </c>
      <c r="O1229" s="10">
        <f t="shared" ca="1" si="287"/>
        <v>1924800</v>
      </c>
      <c r="P1229" s="29">
        <f t="shared" ca="1" si="288"/>
        <v>3600</v>
      </c>
      <c r="Q1229" s="12">
        <f t="shared" ca="1" si="289"/>
        <v>-367100</v>
      </c>
      <c r="R1229" s="10">
        <f t="shared" ca="1" si="290"/>
        <v>0.18703241895261846</v>
      </c>
      <c r="S1229" s="10">
        <f t="shared" ca="1" si="280"/>
        <v>0.25459317585301838</v>
      </c>
      <c r="T1229" s="14">
        <f t="shared" ca="1" si="281"/>
        <v>-8.6541780079539082E-2</v>
      </c>
      <c r="U1229" s="12">
        <f t="shared" ca="1" si="291"/>
        <v>7900</v>
      </c>
      <c r="V1229" s="14">
        <f t="shared" ca="1" si="292"/>
        <v>-4746.835443037975</v>
      </c>
      <c r="W1229" s="12">
        <f t="shared" ca="1" si="282"/>
        <v>-3367.0886075949365</v>
      </c>
      <c r="X1229" s="7">
        <f ca="1">AVERAGE(E1229:OFFSET(F1229,-$X$5+1,0))</f>
        <v>9536.7000000000007</v>
      </c>
      <c r="Y1229" s="7">
        <f ca="1">AVERAGE(E1229:OFFSET(F1229,-$Y$5+1,0))</f>
        <v>9621.9</v>
      </c>
      <c r="Z1229" s="7">
        <f t="shared" ca="1" si="284"/>
        <v>0</v>
      </c>
    </row>
    <row r="1230" spans="1:26">
      <c r="A1230" s="3" t="s">
        <v>83</v>
      </c>
      <c r="B1230" s="4">
        <v>43461</v>
      </c>
      <c r="C1230" s="3">
        <v>9589</v>
      </c>
      <c r="D1230" s="3">
        <v>9655</v>
      </c>
      <c r="E1230" s="3">
        <v>9566</v>
      </c>
      <c r="F1230" s="3">
        <v>9633</v>
      </c>
      <c r="G1230" s="3">
        <v>124097</v>
      </c>
      <c r="H1230" s="3">
        <v>1.0449999999999999</v>
      </c>
      <c r="I1230" s="2">
        <f t="shared" si="293"/>
        <v>0</v>
      </c>
      <c r="J1230" s="10">
        <f t="shared" si="295"/>
        <v>130</v>
      </c>
      <c r="K1230" s="10">
        <f t="shared" si="294"/>
        <v>44</v>
      </c>
      <c r="L1230" s="10">
        <f t="shared" ca="1" si="283"/>
        <v>0</v>
      </c>
      <c r="M1230" s="10">
        <f t="shared" ca="1" si="285"/>
        <v>-1</v>
      </c>
      <c r="N1230" s="30">
        <f t="shared" ca="1" si="286"/>
        <v>0</v>
      </c>
      <c r="O1230" s="10">
        <f t="shared" ca="1" si="287"/>
        <v>1924800</v>
      </c>
      <c r="P1230" s="29">
        <f t="shared" ca="1" si="288"/>
        <v>-34800</v>
      </c>
      <c r="Q1230" s="12">
        <f t="shared" ca="1" si="289"/>
        <v>-401900</v>
      </c>
      <c r="R1230" s="10">
        <f t="shared" ca="1" si="290"/>
        <v>-1.8079800498753118</v>
      </c>
      <c r="S1230" s="10">
        <f t="shared" ca="1" si="280"/>
        <v>7.1916010498687663E-2</v>
      </c>
      <c r="T1230" s="14">
        <f t="shared" ca="1" si="281"/>
        <v>-0.10525857686084018</v>
      </c>
      <c r="U1230" s="12">
        <f t="shared" ca="1" si="291"/>
        <v>7900</v>
      </c>
      <c r="V1230" s="14">
        <f t="shared" ca="1" si="292"/>
        <v>-5187.341772151899</v>
      </c>
      <c r="W1230" s="12">
        <f t="shared" ca="1" si="282"/>
        <v>-3367.0886075949365</v>
      </c>
      <c r="X1230" s="7">
        <f ca="1">AVERAGE(E1230:OFFSET(F1230,-$X$5+1,0))</f>
        <v>9535</v>
      </c>
      <c r="Y1230" s="7">
        <f ca="1">AVERAGE(E1230:OFFSET(F1230,-$Y$5+1,0))</f>
        <v>9611.5499999999993</v>
      </c>
      <c r="Z1230" s="7">
        <f t="shared" ca="1" si="284"/>
        <v>0</v>
      </c>
    </row>
    <row r="1231" spans="1:26">
      <c r="A1231" s="3" t="s">
        <v>83</v>
      </c>
      <c r="B1231" s="4">
        <v>43462</v>
      </c>
      <c r="C1231" s="3">
        <v>9630</v>
      </c>
      <c r="D1231" s="3">
        <v>9680</v>
      </c>
      <c r="E1231" s="3">
        <v>9622</v>
      </c>
      <c r="F1231" s="3">
        <v>9671</v>
      </c>
      <c r="G1231" s="3">
        <v>92809</v>
      </c>
      <c r="H1231" s="3">
        <v>1.0449999999999999</v>
      </c>
      <c r="I1231" s="2">
        <f t="shared" si="293"/>
        <v>0</v>
      </c>
      <c r="J1231" s="10">
        <f t="shared" si="295"/>
        <v>-3</v>
      </c>
      <c r="K1231" s="10">
        <f t="shared" si="294"/>
        <v>41</v>
      </c>
      <c r="L1231" s="10">
        <f t="shared" ca="1" si="283"/>
        <v>0</v>
      </c>
      <c r="M1231" s="10">
        <f t="shared" ca="1" si="285"/>
        <v>-1</v>
      </c>
      <c r="N1231" s="30">
        <f t="shared" ca="1" si="286"/>
        <v>0</v>
      </c>
      <c r="O1231" s="10">
        <f t="shared" ca="1" si="287"/>
        <v>1924800</v>
      </c>
      <c r="P1231" s="29">
        <f t="shared" ca="1" si="288"/>
        <v>-7600</v>
      </c>
      <c r="Q1231" s="12">
        <f t="shared" ca="1" si="289"/>
        <v>-409500</v>
      </c>
      <c r="R1231" s="10">
        <f t="shared" ca="1" si="290"/>
        <v>-0.3948462177888612</v>
      </c>
      <c r="S1231" s="10">
        <f t="shared" ca="1" si="280"/>
        <v>3.2020997375328084E-2</v>
      </c>
      <c r="T1231" s="14">
        <f t="shared" ca="1" si="281"/>
        <v>-0.10957101817537276</v>
      </c>
      <c r="U1231" s="12">
        <f t="shared" ca="1" si="291"/>
        <v>7900</v>
      </c>
      <c r="V1231" s="14">
        <f t="shared" ca="1" si="292"/>
        <v>-5283.5443037974683</v>
      </c>
      <c r="W1231" s="12">
        <f t="shared" ca="1" si="282"/>
        <v>-3367.0886075949365</v>
      </c>
      <c r="X1231" s="7">
        <f ca="1">AVERAGE(E1231:OFFSET(F1231,-$X$5+1,0))</f>
        <v>9548.2999999999993</v>
      </c>
      <c r="Y1231" s="7">
        <f ca="1">AVERAGE(E1231:OFFSET(F1231,-$Y$5+1,0))</f>
        <v>9600.6</v>
      </c>
      <c r="Z1231" s="7">
        <f t="shared" ca="1" si="284"/>
        <v>0</v>
      </c>
    </row>
    <row r="1232" spans="1:26">
      <c r="A1232" s="3" t="s">
        <v>83</v>
      </c>
      <c r="B1232" s="4">
        <v>43467</v>
      </c>
      <c r="C1232" s="3">
        <v>9760</v>
      </c>
      <c r="D1232" s="3">
        <v>9762</v>
      </c>
      <c r="E1232" s="3">
        <v>9506</v>
      </c>
      <c r="F1232" s="3">
        <v>9536</v>
      </c>
      <c r="G1232" s="3">
        <v>165922</v>
      </c>
      <c r="H1232" s="3">
        <v>1.0449999999999999</v>
      </c>
      <c r="I1232" s="2">
        <f t="shared" si="293"/>
        <v>0</v>
      </c>
      <c r="J1232" s="10">
        <f t="shared" si="295"/>
        <v>89</v>
      </c>
      <c r="K1232" s="10">
        <f t="shared" si="294"/>
        <v>-224</v>
      </c>
      <c r="L1232" s="10">
        <f t="shared" ca="1" si="283"/>
        <v>0</v>
      </c>
      <c r="M1232" s="10">
        <f t="shared" ca="1" si="285"/>
        <v>-1</v>
      </c>
      <c r="N1232" s="30">
        <f t="shared" ca="1" si="286"/>
        <v>0</v>
      </c>
      <c r="O1232" s="10">
        <f t="shared" ca="1" si="287"/>
        <v>1924800</v>
      </c>
      <c r="P1232" s="29">
        <f t="shared" ca="1" si="288"/>
        <v>27000</v>
      </c>
      <c r="Q1232" s="12">
        <f t="shared" ca="1" si="289"/>
        <v>-382500</v>
      </c>
      <c r="R1232" s="10">
        <f t="shared" ca="1" si="290"/>
        <v>1.4027431421446384</v>
      </c>
      <c r="S1232" s="10">
        <f t="shared" ca="1" si="280"/>
        <v>0.17375328083989502</v>
      </c>
      <c r="T1232" s="14">
        <f t="shared" ca="1" si="281"/>
        <v>-9.3295917477675488E-2</v>
      </c>
      <c r="U1232" s="12">
        <f t="shared" ca="1" si="291"/>
        <v>7900</v>
      </c>
      <c r="V1232" s="14">
        <f t="shared" ca="1" si="292"/>
        <v>-4941.7721518987346</v>
      </c>
      <c r="W1232" s="12">
        <f t="shared" ca="1" si="282"/>
        <v>-3367.0886075949365</v>
      </c>
      <c r="X1232" s="7">
        <f ca="1">AVERAGE(E1232:OFFSET(F1232,-$X$5+1,0))</f>
        <v>9531.7999999999993</v>
      </c>
      <c r="Y1232" s="7">
        <f ca="1">AVERAGE(E1232:OFFSET(F1232,-$Y$5+1,0))</f>
        <v>9582.4</v>
      </c>
      <c r="Z1232" s="7">
        <f t="shared" ca="1" si="284"/>
        <v>0</v>
      </c>
    </row>
    <row r="1233" spans="1:26">
      <c r="A1233" s="3" t="s">
        <v>83</v>
      </c>
      <c r="B1233" s="4">
        <v>43468</v>
      </c>
      <c r="C1233" s="3">
        <v>9488</v>
      </c>
      <c r="D1233" s="3">
        <v>9547</v>
      </c>
      <c r="E1233" s="3">
        <v>9433</v>
      </c>
      <c r="F1233" s="3">
        <v>9440</v>
      </c>
      <c r="G1233" s="3">
        <v>130686</v>
      </c>
      <c r="H1233" s="3">
        <v>1.0449999999999999</v>
      </c>
      <c r="I1233" s="2">
        <f t="shared" si="293"/>
        <v>0</v>
      </c>
      <c r="J1233" s="10">
        <f t="shared" si="295"/>
        <v>-48</v>
      </c>
      <c r="K1233" s="10">
        <f t="shared" si="294"/>
        <v>-48</v>
      </c>
      <c r="L1233" s="10">
        <f t="shared" ca="1" si="283"/>
        <v>0</v>
      </c>
      <c r="M1233" s="10">
        <f t="shared" ca="1" si="285"/>
        <v>-1</v>
      </c>
      <c r="N1233" s="30">
        <f t="shared" ca="1" si="286"/>
        <v>0</v>
      </c>
      <c r="O1233" s="10">
        <f t="shared" ca="1" si="287"/>
        <v>1924800</v>
      </c>
      <c r="P1233" s="29">
        <f t="shared" ca="1" si="288"/>
        <v>19200</v>
      </c>
      <c r="Q1233" s="12">
        <f t="shared" ca="1" si="289"/>
        <v>-363300</v>
      </c>
      <c r="R1233" s="10">
        <f t="shared" ca="1" si="290"/>
        <v>0.99750623441396513</v>
      </c>
      <c r="S1233" s="10">
        <f t="shared" ca="1" si="280"/>
        <v>0.27454068241469815</v>
      </c>
      <c r="T1233" s="14">
        <f t="shared" ca="1" si="281"/>
        <v>-8.2949724311024001E-2</v>
      </c>
      <c r="U1233" s="12">
        <f t="shared" ca="1" si="291"/>
        <v>7900</v>
      </c>
      <c r="V1233" s="14">
        <f t="shared" ca="1" si="292"/>
        <v>-4698.7341772151894</v>
      </c>
      <c r="W1233" s="12">
        <f t="shared" ca="1" si="282"/>
        <v>-3367.0886075949365</v>
      </c>
      <c r="X1233" s="7">
        <f ca="1">AVERAGE(E1233:OFFSET(F1233,-$X$5+1,0))</f>
        <v>9530.4</v>
      </c>
      <c r="Y1233" s="7">
        <f ca="1">AVERAGE(E1233:OFFSET(F1233,-$Y$5+1,0))</f>
        <v>9551.25</v>
      </c>
      <c r="Z1233" s="7">
        <f t="shared" ca="1" si="284"/>
        <v>0</v>
      </c>
    </row>
    <row r="1234" spans="1:26">
      <c r="A1234" s="3" t="s">
        <v>83</v>
      </c>
      <c r="B1234" s="4">
        <v>43469</v>
      </c>
      <c r="C1234" s="3">
        <v>9367</v>
      </c>
      <c r="D1234" s="3">
        <v>9410</v>
      </c>
      <c r="E1234" s="3">
        <v>9305</v>
      </c>
      <c r="F1234" s="3">
        <v>9367</v>
      </c>
      <c r="G1234" s="3">
        <v>168796</v>
      </c>
      <c r="H1234" s="3">
        <v>1.0449999999999999</v>
      </c>
      <c r="I1234" s="2">
        <f t="shared" si="293"/>
        <v>0</v>
      </c>
      <c r="J1234" s="10">
        <f t="shared" si="295"/>
        <v>-73</v>
      </c>
      <c r="K1234" s="10">
        <f t="shared" si="294"/>
        <v>0</v>
      </c>
      <c r="L1234" s="10">
        <f t="shared" ca="1" si="283"/>
        <v>0</v>
      </c>
      <c r="M1234" s="10">
        <f t="shared" ca="1" si="285"/>
        <v>-1</v>
      </c>
      <c r="N1234" s="30">
        <f t="shared" ca="1" si="286"/>
        <v>0</v>
      </c>
      <c r="O1234" s="10">
        <f t="shared" ca="1" si="287"/>
        <v>1924800</v>
      </c>
      <c r="P1234" s="29">
        <f t="shared" ca="1" si="288"/>
        <v>14600</v>
      </c>
      <c r="Q1234" s="12">
        <f t="shared" ca="1" si="289"/>
        <v>-348700</v>
      </c>
      <c r="R1234" s="10">
        <f t="shared" ca="1" si="290"/>
        <v>0.75852036575228599</v>
      </c>
      <c r="S1234" s="10">
        <f t="shared" ca="1" si="280"/>
        <v>0.35118110236220473</v>
      </c>
      <c r="T1234" s="14">
        <f t="shared" ca="1" si="281"/>
        <v>-7.4509121796083391E-2</v>
      </c>
      <c r="U1234" s="12">
        <f t="shared" ca="1" si="291"/>
        <v>7900</v>
      </c>
      <c r="V1234" s="14">
        <f t="shared" ca="1" si="292"/>
        <v>-4513.9240506329115</v>
      </c>
      <c r="W1234" s="12">
        <f t="shared" ca="1" si="282"/>
        <v>-3367.0886075949365</v>
      </c>
      <c r="X1234" s="7">
        <f ca="1">AVERAGE(E1234:OFFSET(F1234,-$X$5+1,0))</f>
        <v>9507.9</v>
      </c>
      <c r="Y1234" s="7">
        <f ca="1">AVERAGE(E1234:OFFSET(F1234,-$Y$5+1,0))</f>
        <v>9522.2999999999993</v>
      </c>
      <c r="Z1234" s="7">
        <f t="shared" ca="1" si="284"/>
        <v>0</v>
      </c>
    </row>
    <row r="1235" spans="1:26">
      <c r="A1235" s="3" t="s">
        <v>83</v>
      </c>
      <c r="B1235" s="4">
        <v>43472</v>
      </c>
      <c r="C1235" s="3">
        <v>9541</v>
      </c>
      <c r="D1235" s="3">
        <v>9588</v>
      </c>
      <c r="E1235" s="3">
        <v>9490</v>
      </c>
      <c r="F1235" s="3">
        <v>9563</v>
      </c>
      <c r="G1235" s="3">
        <v>145208</v>
      </c>
      <c r="H1235" s="3">
        <v>1.0449999999999999</v>
      </c>
      <c r="I1235" s="2">
        <f t="shared" si="293"/>
        <v>0</v>
      </c>
      <c r="J1235" s="10">
        <f t="shared" si="295"/>
        <v>174</v>
      </c>
      <c r="K1235" s="10">
        <f t="shared" si="294"/>
        <v>22</v>
      </c>
      <c r="L1235" s="10">
        <f t="shared" ca="1" si="283"/>
        <v>0</v>
      </c>
      <c r="M1235" s="10">
        <f t="shared" ca="1" si="285"/>
        <v>-1</v>
      </c>
      <c r="N1235" s="30">
        <f t="shared" ca="1" si="286"/>
        <v>0</v>
      </c>
      <c r="O1235" s="10">
        <f t="shared" ca="1" si="287"/>
        <v>1924800</v>
      </c>
      <c r="P1235" s="29">
        <f t="shared" ca="1" si="288"/>
        <v>-39200</v>
      </c>
      <c r="Q1235" s="12">
        <f t="shared" ca="1" si="289"/>
        <v>-387900</v>
      </c>
      <c r="R1235" s="10">
        <f t="shared" ca="1" si="290"/>
        <v>-2.0365752285951788</v>
      </c>
      <c r="S1235" s="10">
        <f t="shared" ca="1" si="280"/>
        <v>0.14540682414698164</v>
      </c>
      <c r="T1235" s="14">
        <f t="shared" ca="1" si="281"/>
        <v>-9.4606916512536665E-2</v>
      </c>
      <c r="U1235" s="12">
        <f t="shared" ca="1" si="291"/>
        <v>7900</v>
      </c>
      <c r="V1235" s="14">
        <f t="shared" ca="1" si="292"/>
        <v>-5010.1265822784808</v>
      </c>
      <c r="W1235" s="12">
        <f t="shared" ca="1" si="282"/>
        <v>-3367.0886075949365</v>
      </c>
      <c r="X1235" s="7">
        <f ca="1">AVERAGE(E1235:OFFSET(F1235,-$X$5+1,0))</f>
        <v>9493.2999999999993</v>
      </c>
      <c r="Y1235" s="7">
        <f ca="1">AVERAGE(E1235:OFFSET(F1235,-$Y$5+1,0))</f>
        <v>9514.15</v>
      </c>
      <c r="Z1235" s="7">
        <f t="shared" ca="1" si="284"/>
        <v>0</v>
      </c>
    </row>
    <row r="1236" spans="1:26">
      <c r="A1236" s="3" t="s">
        <v>83</v>
      </c>
      <c r="B1236" s="4">
        <v>43473</v>
      </c>
      <c r="C1236" s="3">
        <v>9600</v>
      </c>
      <c r="D1236" s="3">
        <v>9611</v>
      </c>
      <c r="E1236" s="3">
        <v>9532</v>
      </c>
      <c r="F1236" s="3">
        <v>9561</v>
      </c>
      <c r="G1236" s="3">
        <v>121996</v>
      </c>
      <c r="H1236" s="3">
        <v>1.0449999999999999</v>
      </c>
      <c r="I1236" s="2">
        <f t="shared" si="293"/>
        <v>0</v>
      </c>
      <c r="J1236" s="10">
        <f t="shared" si="295"/>
        <v>37</v>
      </c>
      <c r="K1236" s="10">
        <f t="shared" si="294"/>
        <v>-39</v>
      </c>
      <c r="L1236" s="10">
        <f t="shared" ca="1" si="283"/>
        <v>0</v>
      </c>
      <c r="M1236" s="10">
        <f t="shared" ca="1" si="285"/>
        <v>-1</v>
      </c>
      <c r="N1236" s="30">
        <f t="shared" ca="1" si="286"/>
        <v>0</v>
      </c>
      <c r="O1236" s="10">
        <f t="shared" ca="1" si="287"/>
        <v>1924800</v>
      </c>
      <c r="P1236" s="29">
        <f t="shared" ca="1" si="288"/>
        <v>400</v>
      </c>
      <c r="Q1236" s="12">
        <f t="shared" ca="1" si="289"/>
        <v>-387500</v>
      </c>
      <c r="R1236" s="10">
        <f t="shared" ca="1" si="290"/>
        <v>2.0781379883624274E-2</v>
      </c>
      <c r="S1236" s="10">
        <f t="shared" ca="1" si="280"/>
        <v>0.14750656167979004</v>
      </c>
      <c r="T1236" s="14">
        <f t="shared" ca="1" si="281"/>
        <v>-9.4385847703171113E-2</v>
      </c>
      <c r="U1236" s="12">
        <f t="shared" ca="1" si="291"/>
        <v>7900</v>
      </c>
      <c r="V1236" s="14">
        <f t="shared" ca="1" si="292"/>
        <v>-5005.0632911392404</v>
      </c>
      <c r="W1236" s="12">
        <f t="shared" ca="1" si="282"/>
        <v>-3367.0886075949365</v>
      </c>
      <c r="X1236" s="7">
        <f ca="1">AVERAGE(E1236:OFFSET(F1236,-$X$5+1,0))</f>
        <v>9473.2999999999993</v>
      </c>
      <c r="Y1236" s="7">
        <f ca="1">AVERAGE(E1236:OFFSET(F1236,-$Y$5+1,0))</f>
        <v>9510.7999999999993</v>
      </c>
      <c r="Z1236" s="7">
        <f t="shared" ca="1" si="284"/>
        <v>0</v>
      </c>
    </row>
    <row r="1237" spans="1:26">
      <c r="A1237" s="3" t="s">
        <v>83</v>
      </c>
      <c r="B1237" s="4">
        <v>43474</v>
      </c>
      <c r="C1237" s="3">
        <v>9608</v>
      </c>
      <c r="D1237" s="3">
        <v>9755</v>
      </c>
      <c r="E1237" s="3">
        <v>9602</v>
      </c>
      <c r="F1237" s="3">
        <v>9708</v>
      </c>
      <c r="G1237" s="3">
        <v>161013</v>
      </c>
      <c r="H1237" s="3">
        <v>1.0449999999999999</v>
      </c>
      <c r="I1237" s="2">
        <f t="shared" si="293"/>
        <v>0</v>
      </c>
      <c r="J1237" s="10">
        <f t="shared" si="295"/>
        <v>47</v>
      </c>
      <c r="K1237" s="10">
        <f t="shared" si="294"/>
        <v>100</v>
      </c>
      <c r="L1237" s="10">
        <f t="shared" ca="1" si="283"/>
        <v>0</v>
      </c>
      <c r="M1237" s="10">
        <f t="shared" ca="1" si="285"/>
        <v>-1</v>
      </c>
      <c r="N1237" s="30">
        <f t="shared" ca="1" si="286"/>
        <v>0</v>
      </c>
      <c r="O1237" s="10">
        <f t="shared" ca="1" si="287"/>
        <v>1924800</v>
      </c>
      <c r="P1237" s="29">
        <f t="shared" ca="1" si="288"/>
        <v>-29400</v>
      </c>
      <c r="Q1237" s="12">
        <f t="shared" ca="1" si="289"/>
        <v>-416900</v>
      </c>
      <c r="R1237" s="10">
        <f t="shared" ca="1" si="290"/>
        <v>-1.527431421446384</v>
      </c>
      <c r="S1237" s="10">
        <f t="shared" ca="1" si="280"/>
        <v>-6.8241469816272965E-3</v>
      </c>
      <c r="T1237" s="14">
        <f t="shared" ca="1" si="281"/>
        <v>-0.10937282155708224</v>
      </c>
      <c r="U1237" s="12">
        <f t="shared" ca="1" si="291"/>
        <v>7900</v>
      </c>
      <c r="V1237" s="14">
        <f t="shared" ca="1" si="292"/>
        <v>-5377.2151898734173</v>
      </c>
      <c r="W1237" s="12">
        <f t="shared" ca="1" si="282"/>
        <v>-3367.0886075949365</v>
      </c>
      <c r="X1237" s="7">
        <f ca="1">AVERAGE(E1237:OFFSET(F1237,-$X$5+1,0))</f>
        <v>9500.1</v>
      </c>
      <c r="Y1237" s="7">
        <f ca="1">AVERAGE(E1237:OFFSET(F1237,-$Y$5+1,0))</f>
        <v>9515.9500000000007</v>
      </c>
      <c r="Z1237" s="7">
        <f t="shared" ca="1" si="284"/>
        <v>0</v>
      </c>
    </row>
    <row r="1238" spans="1:26">
      <c r="A1238" s="3" t="s">
        <v>83</v>
      </c>
      <c r="B1238" s="4">
        <v>43475</v>
      </c>
      <c r="C1238" s="3">
        <v>9710</v>
      </c>
      <c r="D1238" s="3">
        <v>9713</v>
      </c>
      <c r="E1238" s="3">
        <v>9673</v>
      </c>
      <c r="F1238" s="3">
        <v>9694</v>
      </c>
      <c r="G1238" s="3">
        <v>96870</v>
      </c>
      <c r="H1238" s="3">
        <v>1.0449999999999999</v>
      </c>
      <c r="I1238" s="2">
        <f t="shared" si="293"/>
        <v>0</v>
      </c>
      <c r="J1238" s="10">
        <f t="shared" si="295"/>
        <v>2</v>
      </c>
      <c r="K1238" s="10">
        <f t="shared" si="294"/>
        <v>-16</v>
      </c>
      <c r="L1238" s="10">
        <f t="shared" ca="1" si="283"/>
        <v>1</v>
      </c>
      <c r="M1238" s="10">
        <f t="shared" ca="1" si="285"/>
        <v>-1</v>
      </c>
      <c r="N1238" s="30">
        <f t="shared" ca="1" si="286"/>
        <v>0</v>
      </c>
      <c r="O1238" s="10">
        <f t="shared" ca="1" si="287"/>
        <v>1924800</v>
      </c>
      <c r="P1238" s="29">
        <f t="shared" ca="1" si="288"/>
        <v>2800</v>
      </c>
      <c r="Q1238" s="12">
        <f t="shared" ca="1" si="289"/>
        <v>-414100</v>
      </c>
      <c r="R1238" s="10">
        <f t="shared" ca="1" si="290"/>
        <v>0.14546965918536992</v>
      </c>
      <c r="S1238" s="10">
        <f t="shared" ca="1" si="280"/>
        <v>7.874015748031496E-3</v>
      </c>
      <c r="T1238" s="14">
        <f t="shared" ca="1" si="281"/>
        <v>-0.10783227356706544</v>
      </c>
      <c r="U1238" s="12">
        <f t="shared" ca="1" si="291"/>
        <v>7900</v>
      </c>
      <c r="V1238" s="14">
        <f t="shared" ca="1" si="292"/>
        <v>-5341.7721518987346</v>
      </c>
      <c r="W1238" s="12">
        <f t="shared" ca="1" si="282"/>
        <v>-3367.0886075949365</v>
      </c>
      <c r="X1238" s="7">
        <f ca="1">AVERAGE(E1238:OFFSET(F1238,-$X$5+1,0))</f>
        <v>9549.5</v>
      </c>
      <c r="Y1238" s="7">
        <f ca="1">AVERAGE(E1238:OFFSET(F1238,-$Y$5+1,0))</f>
        <v>9539.9500000000007</v>
      </c>
      <c r="Z1238" s="7">
        <f t="shared" ca="1" si="284"/>
        <v>1</v>
      </c>
    </row>
    <row r="1239" spans="1:26">
      <c r="A1239" s="3" t="s">
        <v>83</v>
      </c>
      <c r="B1239" s="4">
        <v>43476</v>
      </c>
      <c r="C1239" s="3">
        <v>9760</v>
      </c>
      <c r="D1239" s="3">
        <v>9803</v>
      </c>
      <c r="E1239" s="3">
        <v>9724</v>
      </c>
      <c r="F1239" s="3">
        <v>9750</v>
      </c>
      <c r="G1239" s="3">
        <v>137362</v>
      </c>
      <c r="H1239" s="3">
        <v>1.0449999999999999</v>
      </c>
      <c r="I1239" s="2">
        <f t="shared" si="293"/>
        <v>0</v>
      </c>
      <c r="J1239" s="10">
        <f t="shared" si="295"/>
        <v>66</v>
      </c>
      <c r="K1239" s="10">
        <f t="shared" si="294"/>
        <v>-10</v>
      </c>
      <c r="L1239" s="10">
        <f t="shared" ca="1" si="283"/>
        <v>0</v>
      </c>
      <c r="M1239" s="10">
        <f t="shared" ca="1" si="285"/>
        <v>0</v>
      </c>
      <c r="N1239" s="30">
        <f t="shared" ca="1" si="286"/>
        <v>0</v>
      </c>
      <c r="O1239" s="10">
        <f t="shared" ca="1" si="287"/>
        <v>0</v>
      </c>
      <c r="P1239" s="29">
        <f t="shared" ca="1" si="288"/>
        <v>-13700</v>
      </c>
      <c r="Q1239" s="12">
        <f t="shared" ca="1" si="289"/>
        <v>-427800</v>
      </c>
      <c r="R1239" s="10">
        <f t="shared" ca="1" si="290"/>
        <v>-0.71176226101413131</v>
      </c>
      <c r="S1239" s="10">
        <f t="shared" ca="1" si="280"/>
        <v>-6.4041994750656167E-2</v>
      </c>
      <c r="T1239" s="14">
        <f t="shared" ca="1" si="281"/>
        <v>-0.11503575590746071</v>
      </c>
      <c r="U1239" s="12">
        <f t="shared" ca="1" si="291"/>
        <v>7900</v>
      </c>
      <c r="V1239" s="14">
        <f t="shared" ca="1" si="292"/>
        <v>-5515.1898734177212</v>
      </c>
      <c r="W1239" s="12">
        <f t="shared" ca="1" si="282"/>
        <v>-3367.0886075949365</v>
      </c>
      <c r="X1239" s="7">
        <f ca="1">AVERAGE(E1239:OFFSET(F1239,-$X$5+1,0))</f>
        <v>9629.7000000000007</v>
      </c>
      <c r="Y1239" s="7">
        <f ca="1">AVERAGE(E1239:OFFSET(F1239,-$Y$5+1,0))</f>
        <v>9568.7999999999993</v>
      </c>
      <c r="Z1239" s="7">
        <f t="shared" ca="1" si="284"/>
        <v>0</v>
      </c>
    </row>
    <row r="1240" spans="1:26">
      <c r="A1240" s="3" t="s">
        <v>83</v>
      </c>
      <c r="B1240" s="4">
        <v>43479</v>
      </c>
      <c r="C1240" s="3">
        <v>9738</v>
      </c>
      <c r="D1240" s="3">
        <v>9756</v>
      </c>
      <c r="E1240" s="3">
        <v>9660</v>
      </c>
      <c r="F1240" s="3">
        <v>9691</v>
      </c>
      <c r="G1240" s="3">
        <v>133304</v>
      </c>
      <c r="H1240" s="3">
        <v>1.0449999999999999</v>
      </c>
      <c r="I1240" s="2">
        <f t="shared" si="293"/>
        <v>0</v>
      </c>
      <c r="J1240" s="10">
        <f t="shared" si="295"/>
        <v>-12</v>
      </c>
      <c r="K1240" s="10">
        <f t="shared" si="294"/>
        <v>-47</v>
      </c>
      <c r="L1240" s="10">
        <f t="shared" ca="1" si="283"/>
        <v>0</v>
      </c>
      <c r="M1240" s="10">
        <f t="shared" ca="1" si="285"/>
        <v>0</v>
      </c>
      <c r="N1240" s="30">
        <f t="shared" ca="1" si="286"/>
        <v>0</v>
      </c>
      <c r="O1240" s="10">
        <f t="shared" ca="1" si="287"/>
        <v>0</v>
      </c>
      <c r="P1240" s="29">
        <f t="shared" ca="1" si="288"/>
        <v>0</v>
      </c>
      <c r="Q1240" s="12">
        <f t="shared" ca="1" si="289"/>
        <v>-427800</v>
      </c>
      <c r="R1240" s="10">
        <f t="shared" ca="1" si="290"/>
        <v>0</v>
      </c>
      <c r="S1240" s="10">
        <f t="shared" ca="1" si="280"/>
        <v>-6.4041994750656167E-2</v>
      </c>
      <c r="T1240" s="14">
        <f t="shared" ca="1" si="281"/>
        <v>-0.11503575590746071</v>
      </c>
      <c r="U1240" s="12">
        <f t="shared" ca="1" si="291"/>
        <v>7900</v>
      </c>
      <c r="V1240" s="14">
        <f t="shared" ca="1" si="292"/>
        <v>-5515.1898734177212</v>
      </c>
      <c r="W1240" s="12">
        <f t="shared" ca="1" si="282"/>
        <v>-3367.0886075949365</v>
      </c>
      <c r="X1240" s="7">
        <f ca="1">AVERAGE(E1240:OFFSET(F1240,-$X$5+1,0))</f>
        <v>9659.5</v>
      </c>
      <c r="Y1240" s="7">
        <f ca="1">AVERAGE(E1240:OFFSET(F1240,-$Y$5+1,0))</f>
        <v>9576.4</v>
      </c>
      <c r="Z1240" s="7">
        <f t="shared" ca="1" si="284"/>
        <v>0</v>
      </c>
    </row>
    <row r="1241" spans="1:26">
      <c r="A1241" s="3" t="s">
        <v>83</v>
      </c>
      <c r="B1241" s="4">
        <v>43480</v>
      </c>
      <c r="C1241" s="3">
        <v>9743</v>
      </c>
      <c r="D1241" s="3">
        <v>9817</v>
      </c>
      <c r="E1241" s="3">
        <v>9715</v>
      </c>
      <c r="F1241" s="3">
        <v>9793</v>
      </c>
      <c r="G1241" s="3">
        <v>158065</v>
      </c>
      <c r="H1241" s="3">
        <v>1.0449999999999999</v>
      </c>
      <c r="I1241" s="2">
        <f t="shared" si="293"/>
        <v>0</v>
      </c>
      <c r="J1241" s="10">
        <f t="shared" si="295"/>
        <v>52</v>
      </c>
      <c r="K1241" s="10">
        <f t="shared" si="294"/>
        <v>50</v>
      </c>
      <c r="L1241" s="10">
        <f t="shared" ca="1" si="283"/>
        <v>0</v>
      </c>
      <c r="M1241" s="10">
        <f t="shared" ca="1" si="285"/>
        <v>0</v>
      </c>
      <c r="N1241" s="30">
        <f t="shared" ca="1" si="286"/>
        <v>0</v>
      </c>
      <c r="O1241" s="10">
        <f t="shared" ca="1" si="287"/>
        <v>0</v>
      </c>
      <c r="P1241" s="29">
        <f t="shared" ca="1" si="288"/>
        <v>0</v>
      </c>
      <c r="Q1241" s="12">
        <f t="shared" ca="1" si="289"/>
        <v>-427800</v>
      </c>
      <c r="R1241" s="10">
        <f t="shared" ca="1" si="290"/>
        <v>0</v>
      </c>
      <c r="S1241" s="10">
        <f t="shared" ca="1" si="280"/>
        <v>-6.4041994750656167E-2</v>
      </c>
      <c r="T1241" s="14">
        <f t="shared" ca="1" si="281"/>
        <v>-0.11503575590746071</v>
      </c>
      <c r="U1241" s="12">
        <f t="shared" ca="1" si="291"/>
        <v>7900</v>
      </c>
      <c r="V1241" s="14">
        <f t="shared" ca="1" si="292"/>
        <v>-5515.1898734177212</v>
      </c>
      <c r="W1241" s="12">
        <f t="shared" ca="1" si="282"/>
        <v>-3367.0886075949365</v>
      </c>
      <c r="X1241" s="7">
        <f ca="1">AVERAGE(E1241:OFFSET(F1241,-$X$5+1,0))</f>
        <v>9701</v>
      </c>
      <c r="Y1241" s="7">
        <f ca="1">AVERAGE(E1241:OFFSET(F1241,-$Y$5+1,0))</f>
        <v>9587.15</v>
      </c>
      <c r="Z1241" s="7">
        <f t="shared" ca="1" si="284"/>
        <v>0</v>
      </c>
    </row>
    <row r="1242" spans="1:26">
      <c r="A1242" s="3" t="s">
        <v>83</v>
      </c>
      <c r="B1242" s="4">
        <v>43481</v>
      </c>
      <c r="C1242" s="3">
        <v>9781</v>
      </c>
      <c r="D1242" s="3">
        <v>9804</v>
      </c>
      <c r="E1242" s="3">
        <v>9755</v>
      </c>
      <c r="F1242" s="3">
        <v>9784</v>
      </c>
      <c r="G1242" s="3">
        <v>62359</v>
      </c>
      <c r="H1242" s="3">
        <v>1.0449999999999999</v>
      </c>
      <c r="I1242" s="2">
        <f t="shared" si="293"/>
        <v>1</v>
      </c>
      <c r="J1242" s="10">
        <f t="shared" si="295"/>
        <v>-12</v>
      </c>
      <c r="K1242" s="10">
        <f t="shared" si="294"/>
        <v>3</v>
      </c>
      <c r="L1242" s="10">
        <f t="shared" ca="1" si="283"/>
        <v>0</v>
      </c>
      <c r="M1242" s="10">
        <f t="shared" si="285"/>
        <v>0</v>
      </c>
      <c r="N1242" s="30">
        <f t="shared" si="286"/>
        <v>0</v>
      </c>
      <c r="O1242" s="10">
        <f t="shared" si="287"/>
        <v>0</v>
      </c>
      <c r="P1242" s="29">
        <f t="shared" ca="1" si="288"/>
        <v>0</v>
      </c>
      <c r="Q1242" s="12">
        <f t="shared" ca="1" si="289"/>
        <v>-427800</v>
      </c>
      <c r="R1242" s="10">
        <f t="shared" ca="1" si="290"/>
        <v>0</v>
      </c>
      <c r="S1242" s="10">
        <f t="shared" ca="1" si="280"/>
        <v>-6.4041994750656167E-2</v>
      </c>
      <c r="T1242" s="14">
        <f t="shared" ca="1" si="281"/>
        <v>-0.11503575590746071</v>
      </c>
      <c r="U1242" s="12">
        <f t="shared" ca="1" si="291"/>
        <v>7900</v>
      </c>
      <c r="V1242" s="14">
        <f t="shared" ca="1" si="292"/>
        <v>-5515.1898734177212</v>
      </c>
      <c r="W1242" s="12">
        <f t="shared" ca="1" si="282"/>
        <v>-3367.0886075949365</v>
      </c>
      <c r="X1242" s="7">
        <f ca="1">AVERAGE(E1242:OFFSET(F1242,-$X$5+1,0))</f>
        <v>9723.9</v>
      </c>
      <c r="Y1242" s="7">
        <f ca="1">AVERAGE(E1242:OFFSET(F1242,-$Y$5+1,0))</f>
        <v>9612</v>
      </c>
      <c r="Z1242" s="7">
        <f t="shared" ca="1" si="284"/>
        <v>0</v>
      </c>
    </row>
    <row r="1243" spans="1:26">
      <c r="A1243" s="3" t="s">
        <v>84</v>
      </c>
      <c r="B1243" s="4">
        <v>43482</v>
      </c>
      <c r="C1243" s="3">
        <v>9777</v>
      </c>
      <c r="D1243" s="3">
        <v>9834</v>
      </c>
      <c r="E1243" s="3">
        <v>9721</v>
      </c>
      <c r="F1243" s="3">
        <v>9779</v>
      </c>
      <c r="G1243" s="3">
        <v>142688</v>
      </c>
      <c r="H1243" s="3">
        <v>1.0449999999999999</v>
      </c>
      <c r="I1243" s="2">
        <f t="shared" si="293"/>
        <v>0</v>
      </c>
      <c r="J1243" s="10">
        <f t="shared" si="295"/>
        <v>-7</v>
      </c>
      <c r="K1243" s="10">
        <f t="shared" si="294"/>
        <v>2</v>
      </c>
      <c r="L1243" s="10">
        <f t="shared" ca="1" si="283"/>
        <v>0</v>
      </c>
      <c r="M1243" s="10">
        <f t="shared" ca="1" si="285"/>
        <v>0</v>
      </c>
      <c r="N1243" s="30">
        <f t="shared" ca="1" si="286"/>
        <v>0</v>
      </c>
      <c r="O1243" s="10">
        <f t="shared" ca="1" si="287"/>
        <v>0</v>
      </c>
      <c r="P1243" s="29">
        <f t="shared" ca="1" si="288"/>
        <v>0</v>
      </c>
      <c r="Q1243" s="12">
        <f t="shared" ca="1" si="289"/>
        <v>-427800</v>
      </c>
      <c r="R1243" s="10">
        <f t="shared" ca="1" si="290"/>
        <v>0</v>
      </c>
      <c r="S1243" s="10">
        <f t="shared" ca="1" si="280"/>
        <v>-6.4041994750656167E-2</v>
      </c>
      <c r="T1243" s="14">
        <f t="shared" ca="1" si="281"/>
        <v>-0.11503575590746071</v>
      </c>
      <c r="U1243" s="12">
        <f t="shared" ca="1" si="291"/>
        <v>7900</v>
      </c>
      <c r="V1243" s="14">
        <f t="shared" ca="1" si="292"/>
        <v>-5515.1898734177212</v>
      </c>
      <c r="W1243" s="12">
        <f t="shared" ca="1" si="282"/>
        <v>-3367.0886075949365</v>
      </c>
      <c r="X1243" s="7">
        <f ca="1">AVERAGE(E1243:OFFSET(F1243,-$X$5+1,0))</f>
        <v>9737.2000000000007</v>
      </c>
      <c r="Y1243" s="7">
        <f ca="1">AVERAGE(E1243:OFFSET(F1243,-$Y$5+1,0))</f>
        <v>9643.35</v>
      </c>
      <c r="Z1243" s="7">
        <f t="shared" ca="1" si="284"/>
        <v>0</v>
      </c>
    </row>
    <row r="1244" spans="1:26">
      <c r="A1244" s="3" t="s">
        <v>84</v>
      </c>
      <c r="B1244" s="4">
        <v>43483</v>
      </c>
      <c r="C1244" s="3">
        <v>9825</v>
      </c>
      <c r="D1244" s="3">
        <v>9846</v>
      </c>
      <c r="E1244" s="3">
        <v>9770</v>
      </c>
      <c r="F1244" s="3">
        <v>9820</v>
      </c>
      <c r="G1244" s="3">
        <v>115290</v>
      </c>
      <c r="H1244" s="3">
        <v>1.0449999999999999</v>
      </c>
      <c r="I1244" s="2">
        <f t="shared" si="293"/>
        <v>0</v>
      </c>
      <c r="J1244" s="10">
        <f t="shared" si="295"/>
        <v>46</v>
      </c>
      <c r="K1244" s="10">
        <f t="shared" si="294"/>
        <v>-5</v>
      </c>
      <c r="L1244" s="10">
        <f t="shared" ca="1" si="283"/>
        <v>0</v>
      </c>
      <c r="M1244" s="10">
        <f t="shared" ca="1" si="285"/>
        <v>0</v>
      </c>
      <c r="N1244" s="30">
        <f t="shared" ca="1" si="286"/>
        <v>0</v>
      </c>
      <c r="O1244" s="10">
        <f t="shared" ca="1" si="287"/>
        <v>0</v>
      </c>
      <c r="P1244" s="29">
        <f t="shared" ca="1" si="288"/>
        <v>0</v>
      </c>
      <c r="Q1244" s="12">
        <f t="shared" ca="1" si="289"/>
        <v>-427800</v>
      </c>
      <c r="R1244" s="10">
        <f t="shared" ca="1" si="290"/>
        <v>0</v>
      </c>
      <c r="S1244" s="10">
        <f t="shared" ca="1" si="280"/>
        <v>-6.4041994750656167E-2</v>
      </c>
      <c r="T1244" s="14">
        <f t="shared" ca="1" si="281"/>
        <v>-0.11503575590746071</v>
      </c>
      <c r="U1244" s="12">
        <f t="shared" ca="1" si="291"/>
        <v>7900</v>
      </c>
      <c r="V1244" s="14">
        <f t="shared" ca="1" si="292"/>
        <v>-5515.1898734177212</v>
      </c>
      <c r="W1244" s="12">
        <f t="shared" ca="1" si="282"/>
        <v>-3367.0886075949365</v>
      </c>
      <c r="X1244" s="7">
        <f ca="1">AVERAGE(E1244:OFFSET(F1244,-$X$5+1,0))</f>
        <v>9748.7999999999993</v>
      </c>
      <c r="Y1244" s="7">
        <f ca="1">AVERAGE(E1244:OFFSET(F1244,-$Y$5+1,0))</f>
        <v>9689.25</v>
      </c>
      <c r="Z1244" s="7">
        <f t="shared" ca="1" si="284"/>
        <v>0</v>
      </c>
    </row>
    <row r="1245" spans="1:26">
      <c r="A1245" s="3" t="s">
        <v>84</v>
      </c>
      <c r="B1245" s="4">
        <v>43486</v>
      </c>
      <c r="C1245" s="3">
        <v>9885</v>
      </c>
      <c r="D1245" s="3">
        <v>9919</v>
      </c>
      <c r="E1245" s="3">
        <v>9856</v>
      </c>
      <c r="F1245" s="3">
        <v>9866</v>
      </c>
      <c r="G1245" s="3">
        <v>119821</v>
      </c>
      <c r="H1245" s="3">
        <v>1.0449999999999999</v>
      </c>
      <c r="I1245" s="2">
        <f t="shared" si="293"/>
        <v>0</v>
      </c>
      <c r="J1245" s="10">
        <f t="shared" si="295"/>
        <v>65</v>
      </c>
      <c r="K1245" s="10">
        <f t="shared" si="294"/>
        <v>-19</v>
      </c>
      <c r="L1245" s="10">
        <f t="shared" ca="1" si="283"/>
        <v>0</v>
      </c>
      <c r="M1245" s="10">
        <f t="shared" ca="1" si="285"/>
        <v>0</v>
      </c>
      <c r="N1245" s="30">
        <f t="shared" ca="1" si="286"/>
        <v>0</v>
      </c>
      <c r="O1245" s="10">
        <f t="shared" ca="1" si="287"/>
        <v>0</v>
      </c>
      <c r="P1245" s="29">
        <f t="shared" ca="1" si="288"/>
        <v>0</v>
      </c>
      <c r="Q1245" s="12">
        <f t="shared" ca="1" si="289"/>
        <v>-427800</v>
      </c>
      <c r="R1245" s="10">
        <f t="shared" ca="1" si="290"/>
        <v>0</v>
      </c>
      <c r="S1245" s="10">
        <f t="shared" ca="1" si="280"/>
        <v>-6.4041994750656167E-2</v>
      </c>
      <c r="T1245" s="14">
        <f t="shared" ca="1" si="281"/>
        <v>-0.11503575590746071</v>
      </c>
      <c r="U1245" s="12">
        <f t="shared" ca="1" si="291"/>
        <v>7900</v>
      </c>
      <c r="V1245" s="14">
        <f t="shared" ca="1" si="292"/>
        <v>-5515.1898734177212</v>
      </c>
      <c r="W1245" s="12">
        <f t="shared" ca="1" si="282"/>
        <v>-3367.0886075949365</v>
      </c>
      <c r="X1245" s="7">
        <f ca="1">AVERAGE(E1245:OFFSET(F1245,-$X$5+1,0))</f>
        <v>9785.9</v>
      </c>
      <c r="Y1245" s="7">
        <f ca="1">AVERAGE(E1245:OFFSET(F1245,-$Y$5+1,0))</f>
        <v>9722.7000000000007</v>
      </c>
      <c r="Z1245" s="7">
        <f t="shared" ca="1" si="284"/>
        <v>0</v>
      </c>
    </row>
    <row r="1246" spans="1:26">
      <c r="A1246" s="3" t="s">
        <v>84</v>
      </c>
      <c r="B1246" s="4">
        <v>43487</v>
      </c>
      <c r="C1246" s="3">
        <v>9841</v>
      </c>
      <c r="D1246" s="3">
        <v>9868</v>
      </c>
      <c r="E1246" s="3">
        <v>9822</v>
      </c>
      <c r="F1246" s="3">
        <v>9847</v>
      </c>
      <c r="G1246" s="3">
        <v>93410</v>
      </c>
      <c r="H1246" s="3">
        <v>1.0449999999999999</v>
      </c>
      <c r="I1246" s="2">
        <f t="shared" si="293"/>
        <v>0</v>
      </c>
      <c r="J1246" s="10">
        <f t="shared" si="295"/>
        <v>-25</v>
      </c>
      <c r="K1246" s="10">
        <f t="shared" si="294"/>
        <v>6</v>
      </c>
      <c r="L1246" s="10">
        <f t="shared" ca="1" si="283"/>
        <v>0</v>
      </c>
      <c r="M1246" s="10">
        <f t="shared" ca="1" si="285"/>
        <v>0</v>
      </c>
      <c r="N1246" s="30">
        <f t="shared" ca="1" si="286"/>
        <v>0</v>
      </c>
      <c r="O1246" s="10">
        <f t="shared" ca="1" si="287"/>
        <v>0</v>
      </c>
      <c r="P1246" s="29">
        <f t="shared" ca="1" si="288"/>
        <v>0</v>
      </c>
      <c r="Q1246" s="12">
        <f t="shared" ca="1" si="289"/>
        <v>-427800</v>
      </c>
      <c r="R1246" s="10">
        <f t="shared" ca="1" si="290"/>
        <v>0</v>
      </c>
      <c r="S1246" s="10">
        <f t="shared" ca="1" si="280"/>
        <v>-6.4041994750656167E-2</v>
      </c>
      <c r="T1246" s="14">
        <f t="shared" ca="1" si="281"/>
        <v>-0.11524412811373388</v>
      </c>
      <c r="U1246" s="12">
        <f t="shared" ca="1" si="291"/>
        <v>7900</v>
      </c>
      <c r="V1246" s="14">
        <f t="shared" ca="1" si="292"/>
        <v>-5515.1898734177212</v>
      </c>
      <c r="W1246" s="12">
        <f t="shared" ca="1" si="282"/>
        <v>-3367.0886075949365</v>
      </c>
      <c r="X1246" s="7">
        <f ca="1">AVERAGE(E1246:OFFSET(F1246,-$X$5+1,0))</f>
        <v>9802</v>
      </c>
      <c r="Y1246" s="7">
        <f ca="1">AVERAGE(E1246:OFFSET(F1246,-$Y$5+1,0))</f>
        <v>9751.5</v>
      </c>
      <c r="Z1246" s="7">
        <f t="shared" ca="1" si="284"/>
        <v>0</v>
      </c>
    </row>
    <row r="1247" spans="1:26">
      <c r="A1247" s="3" t="s">
        <v>84</v>
      </c>
      <c r="B1247" s="4">
        <v>43488</v>
      </c>
      <c r="C1247" s="3">
        <v>9830</v>
      </c>
      <c r="D1247" s="3">
        <v>9860</v>
      </c>
      <c r="E1247" s="3">
        <v>9807</v>
      </c>
      <c r="F1247" s="3">
        <v>9818</v>
      </c>
      <c r="G1247" s="3">
        <v>106263</v>
      </c>
      <c r="H1247" s="3">
        <v>1.0449999999999999</v>
      </c>
      <c r="I1247" s="2">
        <f t="shared" si="293"/>
        <v>0</v>
      </c>
      <c r="J1247" s="10">
        <f t="shared" si="295"/>
        <v>-17</v>
      </c>
      <c r="K1247" s="10">
        <f t="shared" si="294"/>
        <v>-12</v>
      </c>
      <c r="L1247" s="10">
        <f t="shared" ca="1" si="283"/>
        <v>0</v>
      </c>
      <c r="M1247" s="10">
        <f t="shared" ca="1" si="285"/>
        <v>0</v>
      </c>
      <c r="N1247" s="30">
        <f t="shared" ca="1" si="286"/>
        <v>0</v>
      </c>
      <c r="O1247" s="10">
        <f t="shared" ca="1" si="287"/>
        <v>0</v>
      </c>
      <c r="P1247" s="29">
        <f t="shared" ca="1" si="288"/>
        <v>0</v>
      </c>
      <c r="Q1247" s="12">
        <f t="shared" ca="1" si="289"/>
        <v>-427800</v>
      </c>
      <c r="R1247" s="10">
        <f t="shared" ca="1" si="290"/>
        <v>0</v>
      </c>
      <c r="S1247" s="10">
        <f t="shared" ca="1" si="280"/>
        <v>-2.6771653543307086E-2</v>
      </c>
      <c r="T1247" s="14">
        <f t="shared" ca="1" si="281"/>
        <v>-0.11137187438616881</v>
      </c>
      <c r="U1247" s="12">
        <f t="shared" ca="1" si="291"/>
        <v>7900</v>
      </c>
      <c r="V1247" s="14">
        <f t="shared" ca="1" si="292"/>
        <v>-5515.1898734177212</v>
      </c>
      <c r="W1247" s="12">
        <f t="shared" ca="1" si="282"/>
        <v>-3367.0886075949365</v>
      </c>
      <c r="X1247" s="7">
        <f ca="1">AVERAGE(E1247:OFFSET(F1247,-$X$5+1,0))</f>
        <v>9810.6</v>
      </c>
      <c r="Y1247" s="7">
        <f ca="1">AVERAGE(E1247:OFFSET(F1247,-$Y$5+1,0))</f>
        <v>9767.25</v>
      </c>
      <c r="Z1247" s="7">
        <f t="shared" ca="1" si="284"/>
        <v>0</v>
      </c>
    </row>
    <row r="1248" spans="1:26">
      <c r="A1248" s="3" t="s">
        <v>84</v>
      </c>
      <c r="B1248" s="4">
        <v>43489</v>
      </c>
      <c r="C1248" s="3">
        <v>9833</v>
      </c>
      <c r="D1248" s="3">
        <v>9884</v>
      </c>
      <c r="E1248" s="3">
        <v>9820</v>
      </c>
      <c r="F1248" s="3">
        <v>9863</v>
      </c>
      <c r="G1248" s="3">
        <v>104491</v>
      </c>
      <c r="H1248" s="3">
        <v>1.0449999999999999</v>
      </c>
      <c r="I1248" s="2">
        <f t="shared" si="293"/>
        <v>0</v>
      </c>
      <c r="J1248" s="10">
        <f t="shared" si="295"/>
        <v>15</v>
      </c>
      <c r="K1248" s="10">
        <f t="shared" si="294"/>
        <v>30</v>
      </c>
      <c r="L1248" s="10">
        <f t="shared" ca="1" si="283"/>
        <v>0</v>
      </c>
      <c r="M1248" s="10">
        <f t="shared" ca="1" si="285"/>
        <v>0</v>
      </c>
      <c r="N1248" s="30">
        <f t="shared" ca="1" si="286"/>
        <v>0</v>
      </c>
      <c r="O1248" s="10">
        <f t="shared" ca="1" si="287"/>
        <v>0</v>
      </c>
      <c r="P1248" s="29">
        <f t="shared" ca="1" si="288"/>
        <v>0</v>
      </c>
      <c r="Q1248" s="12">
        <f t="shared" ca="1" si="289"/>
        <v>-427800</v>
      </c>
      <c r="R1248" s="10">
        <f t="shared" ca="1" si="290"/>
        <v>0</v>
      </c>
      <c r="S1248" s="10">
        <f t="shared" ca="1" si="280"/>
        <v>-7.2965879265091863E-2</v>
      </c>
      <c r="T1248" s="14">
        <f t="shared" ca="1" si="281"/>
        <v>-0.11617209231266865</v>
      </c>
      <c r="U1248" s="12">
        <f t="shared" ca="1" si="291"/>
        <v>7900</v>
      </c>
      <c r="V1248" s="14">
        <f t="shared" ca="1" si="292"/>
        <v>-5515.1898734177212</v>
      </c>
      <c r="W1248" s="12">
        <f t="shared" ca="1" si="282"/>
        <v>-3367.0886075949365</v>
      </c>
      <c r="X1248" s="7">
        <f ca="1">AVERAGE(E1248:OFFSET(F1248,-$X$5+1,0))</f>
        <v>9828.9</v>
      </c>
      <c r="Y1248" s="7">
        <f ca="1">AVERAGE(E1248:OFFSET(F1248,-$Y$5+1,0))</f>
        <v>9783.0499999999993</v>
      </c>
      <c r="Z1248" s="7">
        <f t="shared" ca="1" si="284"/>
        <v>0</v>
      </c>
    </row>
    <row r="1249" spans="1:26">
      <c r="A1249" s="3" t="s">
        <v>84</v>
      </c>
      <c r="B1249" s="4">
        <v>43490</v>
      </c>
      <c r="C1249" s="3">
        <v>9928</v>
      </c>
      <c r="D1249" s="3">
        <v>9989</v>
      </c>
      <c r="E1249" s="3">
        <v>9911</v>
      </c>
      <c r="F1249" s="3">
        <v>9968</v>
      </c>
      <c r="G1249" s="3">
        <v>116395</v>
      </c>
      <c r="H1249" s="3">
        <v>1.0449999999999999</v>
      </c>
      <c r="I1249" s="2">
        <f t="shared" si="293"/>
        <v>0</v>
      </c>
      <c r="J1249" s="10">
        <f t="shared" si="295"/>
        <v>65</v>
      </c>
      <c r="K1249" s="10">
        <f t="shared" si="294"/>
        <v>40</v>
      </c>
      <c r="L1249" s="10">
        <f t="shared" ca="1" si="283"/>
        <v>0</v>
      </c>
      <c r="M1249" s="10">
        <f t="shared" ca="1" si="285"/>
        <v>0</v>
      </c>
      <c r="N1249" s="30">
        <f t="shared" ca="1" si="286"/>
        <v>0</v>
      </c>
      <c r="O1249" s="10">
        <f t="shared" ca="1" si="287"/>
        <v>0</v>
      </c>
      <c r="P1249" s="29">
        <f t="shared" ca="1" si="288"/>
        <v>0</v>
      </c>
      <c r="Q1249" s="12">
        <f t="shared" ca="1" si="289"/>
        <v>-427800</v>
      </c>
      <c r="R1249" s="10">
        <f t="shared" ca="1" si="290"/>
        <v>0</v>
      </c>
      <c r="S1249" s="10">
        <f t="shared" ca="1" si="280"/>
        <v>-0.27034120734908135</v>
      </c>
      <c r="T1249" s="14">
        <f t="shared" ca="1" si="281"/>
        <v>-0.13668211436225888</v>
      </c>
      <c r="U1249" s="12">
        <f t="shared" ca="1" si="291"/>
        <v>7900</v>
      </c>
      <c r="V1249" s="14">
        <f t="shared" ca="1" si="292"/>
        <v>-5515.1898734177212</v>
      </c>
      <c r="W1249" s="12">
        <f t="shared" ca="1" si="282"/>
        <v>-3367.0886075949365</v>
      </c>
      <c r="X1249" s="7">
        <f ca="1">AVERAGE(E1249:OFFSET(F1249,-$X$5+1,0))</f>
        <v>9857.7999999999993</v>
      </c>
      <c r="Y1249" s="7">
        <f ca="1">AVERAGE(E1249:OFFSET(F1249,-$Y$5+1,0))</f>
        <v>9803.2999999999993</v>
      </c>
      <c r="Z1249" s="7">
        <f t="shared" ca="1" si="284"/>
        <v>0</v>
      </c>
    </row>
    <row r="1250" spans="1:26">
      <c r="A1250" s="3" t="s">
        <v>84</v>
      </c>
      <c r="B1250" s="4">
        <v>43493</v>
      </c>
      <c r="C1250" s="3">
        <v>10000</v>
      </c>
      <c r="D1250" s="3">
        <v>10018</v>
      </c>
      <c r="E1250" s="3">
        <v>9975</v>
      </c>
      <c r="F1250" s="3">
        <v>9985</v>
      </c>
      <c r="G1250" s="3">
        <v>81405</v>
      </c>
      <c r="H1250" s="3">
        <v>1.0449999999999999</v>
      </c>
      <c r="I1250" s="2">
        <f t="shared" si="293"/>
        <v>0</v>
      </c>
      <c r="J1250" s="10">
        <f t="shared" si="295"/>
        <v>32</v>
      </c>
      <c r="K1250" s="10">
        <f t="shared" si="294"/>
        <v>-15</v>
      </c>
      <c r="L1250" s="10">
        <f t="shared" ca="1" si="283"/>
        <v>0</v>
      </c>
      <c r="M1250" s="10">
        <f t="shared" ca="1" si="285"/>
        <v>0</v>
      </c>
      <c r="N1250" s="30">
        <f t="shared" ca="1" si="286"/>
        <v>0</v>
      </c>
      <c r="O1250" s="10">
        <f t="shared" ca="1" si="287"/>
        <v>0</v>
      </c>
      <c r="P1250" s="29">
        <f t="shared" ca="1" si="288"/>
        <v>0</v>
      </c>
      <c r="Q1250" s="12">
        <f t="shared" ca="1" si="289"/>
        <v>-427800</v>
      </c>
      <c r="R1250" s="10">
        <f t="shared" ca="1" si="290"/>
        <v>0</v>
      </c>
      <c r="S1250" s="10">
        <f t="shared" ca="1" si="280"/>
        <v>-0.82572178477690283</v>
      </c>
      <c r="T1250" s="14">
        <f t="shared" ca="1" si="281"/>
        <v>-0.19439382534222288</v>
      </c>
      <c r="U1250" s="12">
        <f t="shared" ca="1" si="291"/>
        <v>7900</v>
      </c>
      <c r="V1250" s="14">
        <f t="shared" ca="1" si="292"/>
        <v>-5515.1898734177212</v>
      </c>
      <c r="W1250" s="12">
        <f t="shared" ca="1" si="282"/>
        <v>-3367.0886075949365</v>
      </c>
      <c r="X1250" s="7">
        <f ca="1">AVERAGE(E1250:OFFSET(F1250,-$X$5+1,0))</f>
        <v>9881.6</v>
      </c>
      <c r="Y1250" s="7">
        <f ca="1">AVERAGE(E1250:OFFSET(F1250,-$Y$5+1,0))</f>
        <v>9833.75</v>
      </c>
      <c r="Z1250" s="7">
        <f t="shared" ca="1" si="284"/>
        <v>0</v>
      </c>
    </row>
    <row r="1251" spans="1:26">
      <c r="A1251" s="3" t="s">
        <v>84</v>
      </c>
      <c r="B1251" s="4">
        <v>43494</v>
      </c>
      <c r="C1251" s="3">
        <v>9932</v>
      </c>
      <c r="D1251" s="3">
        <v>9936</v>
      </c>
      <c r="E1251" s="3">
        <v>9880</v>
      </c>
      <c r="F1251" s="3">
        <v>9923</v>
      </c>
      <c r="G1251" s="3">
        <v>113746</v>
      </c>
      <c r="H1251" s="3">
        <v>1.0449999999999999</v>
      </c>
      <c r="I1251" s="2">
        <f t="shared" si="293"/>
        <v>0</v>
      </c>
      <c r="J1251" s="10">
        <f t="shared" si="295"/>
        <v>-53</v>
      </c>
      <c r="K1251" s="10">
        <f t="shared" si="294"/>
        <v>-9</v>
      </c>
      <c r="L1251" s="10">
        <f t="shared" ca="1" si="283"/>
        <v>0</v>
      </c>
      <c r="M1251" s="10">
        <f t="shared" ca="1" si="285"/>
        <v>0</v>
      </c>
      <c r="N1251" s="30">
        <f t="shared" ca="1" si="286"/>
        <v>0</v>
      </c>
      <c r="O1251" s="10">
        <f t="shared" ca="1" si="287"/>
        <v>0</v>
      </c>
      <c r="P1251" s="29">
        <f t="shared" ca="1" si="288"/>
        <v>0</v>
      </c>
      <c r="Q1251" s="12">
        <f t="shared" ca="1" si="289"/>
        <v>-427800</v>
      </c>
      <c r="R1251" s="10">
        <f t="shared" ca="1" si="290"/>
        <v>0</v>
      </c>
      <c r="S1251" s="10">
        <f t="shared" ca="1" si="280"/>
        <v>-0.70183727034120735</v>
      </c>
      <c r="T1251" s="14">
        <f t="shared" ca="1" si="281"/>
        <v>-0.18152051363024602</v>
      </c>
      <c r="U1251" s="12">
        <f t="shared" ca="1" si="291"/>
        <v>7900</v>
      </c>
      <c r="V1251" s="14">
        <f t="shared" ca="1" si="292"/>
        <v>-5515.1898734177212</v>
      </c>
      <c r="W1251" s="12">
        <f t="shared" ca="1" si="282"/>
        <v>-3367.0886075949365</v>
      </c>
      <c r="X1251" s="7">
        <f ca="1">AVERAGE(E1251:OFFSET(F1251,-$X$5+1,0))</f>
        <v>9895</v>
      </c>
      <c r="Y1251" s="7">
        <f ca="1">AVERAGE(E1251:OFFSET(F1251,-$Y$5+1,0))</f>
        <v>9848.5</v>
      </c>
      <c r="Z1251" s="7">
        <f t="shared" ca="1" si="284"/>
        <v>0</v>
      </c>
    </row>
    <row r="1252" spans="1:26">
      <c r="A1252" s="3" t="s">
        <v>84</v>
      </c>
      <c r="B1252" s="4">
        <v>43495</v>
      </c>
      <c r="C1252" s="3">
        <v>9925</v>
      </c>
      <c r="D1252" s="3">
        <v>9956</v>
      </c>
      <c r="E1252" s="3">
        <v>9896</v>
      </c>
      <c r="F1252" s="3">
        <v>9926</v>
      </c>
      <c r="G1252" s="3">
        <v>83963</v>
      </c>
      <c r="H1252" s="3">
        <v>1.0449999999999999</v>
      </c>
      <c r="I1252" s="2">
        <f t="shared" si="293"/>
        <v>0</v>
      </c>
      <c r="J1252" s="10">
        <f t="shared" si="295"/>
        <v>2</v>
      </c>
      <c r="K1252" s="10">
        <f t="shared" si="294"/>
        <v>1</v>
      </c>
      <c r="L1252" s="10">
        <f t="shared" ca="1" si="283"/>
        <v>0</v>
      </c>
      <c r="M1252" s="10">
        <f t="shared" ca="1" si="285"/>
        <v>0</v>
      </c>
      <c r="N1252" s="30">
        <f t="shared" ca="1" si="286"/>
        <v>0</v>
      </c>
      <c r="O1252" s="10">
        <f t="shared" ca="1" si="287"/>
        <v>0</v>
      </c>
      <c r="P1252" s="29">
        <f t="shared" ca="1" si="288"/>
        <v>0</v>
      </c>
      <c r="Q1252" s="12">
        <f t="shared" ca="1" si="289"/>
        <v>-427800</v>
      </c>
      <c r="R1252" s="10">
        <f t="shared" ca="1" si="290"/>
        <v>0</v>
      </c>
      <c r="S1252" s="10">
        <f t="shared" ca="1" si="280"/>
        <v>-0.70078740157480313</v>
      </c>
      <c r="T1252" s="14">
        <f t="shared" ca="1" si="281"/>
        <v>-0.1814114177682801</v>
      </c>
      <c r="U1252" s="12">
        <f t="shared" ca="1" si="291"/>
        <v>7900</v>
      </c>
      <c r="V1252" s="14">
        <f t="shared" ca="1" si="292"/>
        <v>-5515.1898734177212</v>
      </c>
      <c r="W1252" s="12">
        <f t="shared" ca="1" si="282"/>
        <v>-3367.0886075949365</v>
      </c>
      <c r="X1252" s="7">
        <f ca="1">AVERAGE(E1252:OFFSET(F1252,-$X$5+1,0))</f>
        <v>9914.7000000000007</v>
      </c>
      <c r="Y1252" s="7">
        <f ca="1">AVERAGE(E1252:OFFSET(F1252,-$Y$5+1,0))</f>
        <v>9862.65</v>
      </c>
      <c r="Z1252" s="7">
        <f t="shared" ca="1" si="284"/>
        <v>0</v>
      </c>
    </row>
    <row r="1253" spans="1:26">
      <c r="A1253" s="3" t="s">
        <v>84</v>
      </c>
      <c r="B1253" s="4">
        <v>43507</v>
      </c>
      <c r="C1253" s="3">
        <v>10010</v>
      </c>
      <c r="D1253" s="3">
        <v>10067</v>
      </c>
      <c r="E1253" s="3">
        <v>9966</v>
      </c>
      <c r="F1253" s="3">
        <v>9999</v>
      </c>
      <c r="G1253" s="3">
        <v>101469</v>
      </c>
      <c r="H1253" s="3">
        <v>1.0449999999999999</v>
      </c>
      <c r="I1253" s="2">
        <f t="shared" si="293"/>
        <v>0</v>
      </c>
      <c r="J1253" s="10">
        <f t="shared" si="295"/>
        <v>84</v>
      </c>
      <c r="K1253" s="10">
        <f t="shared" si="294"/>
        <v>-11</v>
      </c>
      <c r="L1253" s="10">
        <f t="shared" ca="1" si="283"/>
        <v>0</v>
      </c>
      <c r="M1253" s="10">
        <f t="shared" ca="1" si="285"/>
        <v>0</v>
      </c>
      <c r="N1253" s="30">
        <f t="shared" ca="1" si="286"/>
        <v>0</v>
      </c>
      <c r="O1253" s="10">
        <f t="shared" ca="1" si="287"/>
        <v>0</v>
      </c>
      <c r="P1253" s="29">
        <f t="shared" ca="1" si="288"/>
        <v>0</v>
      </c>
      <c r="Q1253" s="12">
        <f t="shared" ca="1" si="289"/>
        <v>-427800</v>
      </c>
      <c r="R1253" s="10">
        <f t="shared" ca="1" si="290"/>
        <v>0</v>
      </c>
      <c r="S1253" s="10">
        <f t="shared" ca="1" si="280"/>
        <v>-0.87401574803149606</v>
      </c>
      <c r="T1253" s="14">
        <f t="shared" ca="1" si="281"/>
        <v>-0.19982662031184584</v>
      </c>
      <c r="U1253" s="12">
        <f t="shared" ca="1" si="291"/>
        <v>7900</v>
      </c>
      <c r="V1253" s="14">
        <f t="shared" ca="1" si="292"/>
        <v>-5515.1898734177212</v>
      </c>
      <c r="W1253" s="12">
        <f t="shared" ca="1" si="282"/>
        <v>-3367.0886075949365</v>
      </c>
      <c r="X1253" s="7">
        <f ca="1">AVERAGE(E1253:OFFSET(F1253,-$X$5+1,0))</f>
        <v>9942.9</v>
      </c>
      <c r="Y1253" s="7">
        <f ca="1">AVERAGE(E1253:OFFSET(F1253,-$Y$5+1,0))</f>
        <v>9885.9</v>
      </c>
      <c r="Z1253" s="7">
        <f t="shared" ca="1" si="284"/>
        <v>0</v>
      </c>
    </row>
    <row r="1254" spans="1:26">
      <c r="A1254" s="3" t="s">
        <v>84</v>
      </c>
      <c r="B1254" s="4">
        <v>43508</v>
      </c>
      <c r="C1254" s="3">
        <v>10049</v>
      </c>
      <c r="D1254" s="3">
        <v>10093</v>
      </c>
      <c r="E1254" s="3">
        <v>10029</v>
      </c>
      <c r="F1254" s="3">
        <v>10084</v>
      </c>
      <c r="G1254" s="3">
        <v>79049</v>
      </c>
      <c r="H1254" s="3">
        <v>1.0449999999999999</v>
      </c>
      <c r="I1254" s="2">
        <f t="shared" si="293"/>
        <v>0</v>
      </c>
      <c r="J1254" s="10">
        <f t="shared" si="295"/>
        <v>50</v>
      </c>
      <c r="K1254" s="10">
        <f t="shared" si="294"/>
        <v>35</v>
      </c>
      <c r="L1254" s="10">
        <f t="shared" ca="1" si="283"/>
        <v>0</v>
      </c>
      <c r="M1254" s="10">
        <f t="shared" ca="1" si="285"/>
        <v>0</v>
      </c>
      <c r="N1254" s="30">
        <f t="shared" ca="1" si="286"/>
        <v>0</v>
      </c>
      <c r="O1254" s="10">
        <f t="shared" ca="1" si="287"/>
        <v>0</v>
      </c>
      <c r="P1254" s="29">
        <f t="shared" ca="1" si="288"/>
        <v>0</v>
      </c>
      <c r="Q1254" s="12">
        <f t="shared" ca="1" si="289"/>
        <v>-427800</v>
      </c>
      <c r="R1254" s="10">
        <f t="shared" ca="1" si="290"/>
        <v>0</v>
      </c>
      <c r="S1254" s="10">
        <f t="shared" ca="1" si="280"/>
        <v>-0.81417322834645667</v>
      </c>
      <c r="T1254" s="14">
        <f t="shared" ca="1" si="281"/>
        <v>-0.1936879705890743</v>
      </c>
      <c r="U1254" s="12">
        <f t="shared" ca="1" si="291"/>
        <v>7900</v>
      </c>
      <c r="V1254" s="14">
        <f t="shared" ca="1" si="292"/>
        <v>-5515.1898734177212</v>
      </c>
      <c r="W1254" s="12">
        <f t="shared" ca="1" si="282"/>
        <v>-3367.0886075949365</v>
      </c>
      <c r="X1254" s="7">
        <f ca="1">AVERAGE(E1254:OFFSET(F1254,-$X$5+1,0))</f>
        <v>9966.2999999999993</v>
      </c>
      <c r="Y1254" s="7">
        <f ca="1">AVERAGE(E1254:OFFSET(F1254,-$Y$5+1,0))</f>
        <v>9912.0499999999993</v>
      </c>
      <c r="Z1254" s="7">
        <f t="shared" ca="1" si="284"/>
        <v>0</v>
      </c>
    </row>
    <row r="1255" spans="1:26">
      <c r="A1255" s="3" t="s">
        <v>84</v>
      </c>
      <c r="B1255" s="4">
        <v>43509</v>
      </c>
      <c r="C1255" s="3">
        <v>10125</v>
      </c>
      <c r="D1255" s="3">
        <v>10128</v>
      </c>
      <c r="E1255" s="3">
        <v>10055</v>
      </c>
      <c r="F1255" s="3">
        <v>10084</v>
      </c>
      <c r="G1255" s="3">
        <v>96794</v>
      </c>
      <c r="H1255" s="3">
        <v>1.0449999999999999</v>
      </c>
      <c r="I1255" s="2">
        <f t="shared" si="293"/>
        <v>0</v>
      </c>
      <c r="J1255" s="10">
        <f t="shared" si="295"/>
        <v>41</v>
      </c>
      <c r="K1255" s="10">
        <f t="shared" si="294"/>
        <v>-41</v>
      </c>
      <c r="L1255" s="10">
        <f t="shared" ca="1" si="283"/>
        <v>0</v>
      </c>
      <c r="M1255" s="10">
        <f t="shared" ca="1" si="285"/>
        <v>0</v>
      </c>
      <c r="N1255" s="30">
        <f t="shared" ca="1" si="286"/>
        <v>0</v>
      </c>
      <c r="O1255" s="10">
        <f t="shared" ca="1" si="287"/>
        <v>0</v>
      </c>
      <c r="P1255" s="29">
        <f t="shared" ca="1" si="288"/>
        <v>0</v>
      </c>
      <c r="Q1255" s="12">
        <f t="shared" ca="1" si="289"/>
        <v>-427800</v>
      </c>
      <c r="R1255" s="10">
        <f t="shared" ca="1" si="290"/>
        <v>0</v>
      </c>
      <c r="S1255" s="10">
        <f t="shared" ca="1" si="280"/>
        <v>-0.58057742782152233</v>
      </c>
      <c r="T1255" s="14">
        <f t="shared" ca="1" si="281"/>
        <v>-0.16935204758202599</v>
      </c>
      <c r="U1255" s="12">
        <f t="shared" ca="1" si="291"/>
        <v>7900</v>
      </c>
      <c r="V1255" s="14">
        <f t="shared" ca="1" si="292"/>
        <v>-5515.1898734177212</v>
      </c>
      <c r="W1255" s="12">
        <f t="shared" ca="1" si="282"/>
        <v>-3367.0886075949365</v>
      </c>
      <c r="X1255" s="7">
        <f ca="1">AVERAGE(E1255:OFFSET(F1255,-$X$5+1,0))</f>
        <v>9984.2000000000007</v>
      </c>
      <c r="Y1255" s="7">
        <f ca="1">AVERAGE(E1255:OFFSET(F1255,-$Y$5+1,0))</f>
        <v>9932.9</v>
      </c>
      <c r="Z1255" s="7">
        <f t="shared" ca="1" si="284"/>
        <v>0</v>
      </c>
    </row>
    <row r="1256" spans="1:26">
      <c r="A1256" s="3" t="s">
        <v>84</v>
      </c>
      <c r="B1256" s="4">
        <v>43510</v>
      </c>
      <c r="C1256" s="3">
        <v>10044</v>
      </c>
      <c r="D1256" s="3">
        <v>10124</v>
      </c>
      <c r="E1256" s="3">
        <v>10034</v>
      </c>
      <c r="F1256" s="3">
        <v>10080</v>
      </c>
      <c r="G1256" s="3">
        <v>97857</v>
      </c>
      <c r="H1256" s="3">
        <v>1.0449999999999999</v>
      </c>
      <c r="I1256" s="2">
        <f t="shared" si="293"/>
        <v>0</v>
      </c>
      <c r="J1256" s="10">
        <f t="shared" si="295"/>
        <v>-40</v>
      </c>
      <c r="K1256" s="10">
        <f t="shared" si="294"/>
        <v>36</v>
      </c>
      <c r="L1256" s="10">
        <f t="shared" ca="1" si="283"/>
        <v>0</v>
      </c>
      <c r="M1256" s="10">
        <f t="shared" ca="1" si="285"/>
        <v>0</v>
      </c>
      <c r="N1256" s="30">
        <f t="shared" ca="1" si="286"/>
        <v>0</v>
      </c>
      <c r="O1256" s="10">
        <f t="shared" ca="1" si="287"/>
        <v>0</v>
      </c>
      <c r="P1256" s="29">
        <f t="shared" ca="1" si="288"/>
        <v>0</v>
      </c>
      <c r="Q1256" s="12">
        <f t="shared" ca="1" si="289"/>
        <v>-427800</v>
      </c>
      <c r="R1256" s="10">
        <f t="shared" ca="1" si="290"/>
        <v>0</v>
      </c>
      <c r="S1256" s="10">
        <f t="shared" ca="1" si="280"/>
        <v>-0.58057742782152233</v>
      </c>
      <c r="T1256" s="14">
        <f t="shared" ca="1" si="281"/>
        <v>-0.16935204758202599</v>
      </c>
      <c r="U1256" s="12">
        <f t="shared" ca="1" si="291"/>
        <v>7900</v>
      </c>
      <c r="V1256" s="14">
        <f t="shared" ca="1" si="292"/>
        <v>-5515.1898734177212</v>
      </c>
      <c r="W1256" s="12">
        <f t="shared" ca="1" si="282"/>
        <v>-3367.0886075949365</v>
      </c>
      <c r="X1256" s="7">
        <f ca="1">AVERAGE(E1256:OFFSET(F1256,-$X$5+1,0))</f>
        <v>10015.299999999999</v>
      </c>
      <c r="Y1256" s="7">
        <f ca="1">AVERAGE(E1256:OFFSET(F1256,-$Y$5+1,0))</f>
        <v>9955.15</v>
      </c>
      <c r="Z1256" s="7">
        <f t="shared" ca="1" si="284"/>
        <v>0</v>
      </c>
    </row>
    <row r="1257" spans="1:26">
      <c r="A1257" s="3" t="s">
        <v>84</v>
      </c>
      <c r="B1257" s="4">
        <v>43511</v>
      </c>
      <c r="C1257" s="3">
        <v>10040</v>
      </c>
      <c r="D1257" s="3">
        <v>10116</v>
      </c>
      <c r="E1257" s="3">
        <v>10022</v>
      </c>
      <c r="F1257" s="3">
        <v>10042</v>
      </c>
      <c r="G1257" s="3">
        <v>121921</v>
      </c>
      <c r="H1257" s="3">
        <v>1.0449999999999999</v>
      </c>
      <c r="I1257" s="2">
        <f t="shared" si="293"/>
        <v>0</v>
      </c>
      <c r="J1257" s="10">
        <f t="shared" si="295"/>
        <v>-40</v>
      </c>
      <c r="K1257" s="10">
        <f t="shared" si="294"/>
        <v>2</v>
      </c>
      <c r="L1257" s="10">
        <f t="shared" ca="1" si="283"/>
        <v>0</v>
      </c>
      <c r="M1257" s="10">
        <f t="shared" ca="1" si="285"/>
        <v>0</v>
      </c>
      <c r="N1257" s="30">
        <f t="shared" ca="1" si="286"/>
        <v>0</v>
      </c>
      <c r="O1257" s="10">
        <f t="shared" ca="1" si="287"/>
        <v>0</v>
      </c>
      <c r="P1257" s="29">
        <f t="shared" ca="1" si="288"/>
        <v>0</v>
      </c>
      <c r="Q1257" s="12">
        <f t="shared" ca="1" si="289"/>
        <v>-427800</v>
      </c>
      <c r="R1257" s="10">
        <f t="shared" ca="1" si="290"/>
        <v>0</v>
      </c>
      <c r="S1257" s="10">
        <f t="shared" ca="1" si="280"/>
        <v>-0.58057742782152233</v>
      </c>
      <c r="T1257" s="14">
        <f t="shared" ca="1" si="281"/>
        <v>-0.16935204758202599</v>
      </c>
      <c r="U1257" s="12">
        <f t="shared" ca="1" si="291"/>
        <v>7900</v>
      </c>
      <c r="V1257" s="14">
        <f t="shared" ca="1" si="292"/>
        <v>-5515.1898734177212</v>
      </c>
      <c r="W1257" s="12">
        <f t="shared" ca="1" si="282"/>
        <v>-3367.0886075949365</v>
      </c>
      <c r="X1257" s="7">
        <f ca="1">AVERAGE(E1257:OFFSET(F1257,-$X$5+1,0))</f>
        <v>10039.5</v>
      </c>
      <c r="Y1257" s="7">
        <f ca="1">AVERAGE(E1257:OFFSET(F1257,-$Y$5+1,0))</f>
        <v>9977.1</v>
      </c>
      <c r="Z1257" s="7">
        <f t="shared" ca="1" si="284"/>
        <v>0</v>
      </c>
    </row>
    <row r="1258" spans="1:26">
      <c r="A1258" s="3" t="s">
        <v>84</v>
      </c>
      <c r="B1258" s="4">
        <v>43514</v>
      </c>
      <c r="C1258" s="3">
        <v>10111</v>
      </c>
      <c r="D1258" s="3">
        <v>10161</v>
      </c>
      <c r="E1258" s="3">
        <v>10098</v>
      </c>
      <c r="F1258" s="3">
        <v>10135</v>
      </c>
      <c r="G1258" s="3">
        <v>113809</v>
      </c>
      <c r="H1258" s="3">
        <v>1.0449999999999999</v>
      </c>
      <c r="I1258" s="2">
        <f t="shared" si="293"/>
        <v>0</v>
      </c>
      <c r="J1258" s="10">
        <f t="shared" si="295"/>
        <v>69</v>
      </c>
      <c r="K1258" s="10">
        <f t="shared" si="294"/>
        <v>24</v>
      </c>
      <c r="L1258" s="10">
        <f t="shared" ca="1" si="283"/>
        <v>0</v>
      </c>
      <c r="M1258" s="10">
        <f t="shared" ca="1" si="285"/>
        <v>0</v>
      </c>
      <c r="N1258" s="30">
        <f t="shared" ca="1" si="286"/>
        <v>0</v>
      </c>
      <c r="O1258" s="10">
        <f t="shared" ca="1" si="287"/>
        <v>0</v>
      </c>
      <c r="P1258" s="29">
        <f t="shared" ca="1" si="288"/>
        <v>0</v>
      </c>
      <c r="Q1258" s="12">
        <f t="shared" ca="1" si="289"/>
        <v>-427800</v>
      </c>
      <c r="R1258" s="10">
        <f t="shared" ca="1" si="290"/>
        <v>0</v>
      </c>
      <c r="S1258" s="10">
        <f t="shared" ca="1" si="280"/>
        <v>-0.58057742782152233</v>
      </c>
      <c r="T1258" s="14">
        <f t="shared" ca="1" si="281"/>
        <v>-0.16935204758202599</v>
      </c>
      <c r="U1258" s="12">
        <f t="shared" ca="1" si="291"/>
        <v>7900</v>
      </c>
      <c r="V1258" s="14">
        <f t="shared" ca="1" si="292"/>
        <v>-5515.1898734177212</v>
      </c>
      <c r="W1258" s="12">
        <f t="shared" ca="1" si="282"/>
        <v>-3367.0886075949365</v>
      </c>
      <c r="X1258" s="7">
        <f ca="1">AVERAGE(E1258:OFFSET(F1258,-$X$5+1,0))</f>
        <v>10066.299999999999</v>
      </c>
      <c r="Y1258" s="7">
        <f ca="1">AVERAGE(E1258:OFFSET(F1258,-$Y$5+1,0))</f>
        <v>10004.6</v>
      </c>
      <c r="Z1258" s="7">
        <f t="shared" ca="1" si="284"/>
        <v>0</v>
      </c>
    </row>
    <row r="1259" spans="1:26">
      <c r="A1259" s="3" t="s">
        <v>84</v>
      </c>
      <c r="B1259" s="4">
        <v>43515</v>
      </c>
      <c r="C1259" s="3">
        <v>10123</v>
      </c>
      <c r="D1259" s="3">
        <v>10158</v>
      </c>
      <c r="E1259" s="3">
        <v>10104</v>
      </c>
      <c r="F1259" s="3">
        <v>10142</v>
      </c>
      <c r="G1259" s="3">
        <v>93983</v>
      </c>
      <c r="H1259" s="3">
        <v>1.0449999999999999</v>
      </c>
      <c r="I1259" s="2">
        <f t="shared" si="293"/>
        <v>0</v>
      </c>
      <c r="J1259" s="10">
        <f t="shared" si="295"/>
        <v>-12</v>
      </c>
      <c r="K1259" s="10">
        <f t="shared" si="294"/>
        <v>19</v>
      </c>
      <c r="L1259" s="10">
        <f t="shared" ca="1" si="283"/>
        <v>0</v>
      </c>
      <c r="M1259" s="10">
        <f t="shared" ca="1" si="285"/>
        <v>0</v>
      </c>
      <c r="N1259" s="30">
        <f t="shared" ca="1" si="286"/>
        <v>0</v>
      </c>
      <c r="O1259" s="10">
        <f t="shared" ca="1" si="287"/>
        <v>0</v>
      </c>
      <c r="P1259" s="29">
        <f t="shared" ca="1" si="288"/>
        <v>0</v>
      </c>
      <c r="Q1259" s="12">
        <f t="shared" ca="1" si="289"/>
        <v>-427800</v>
      </c>
      <c r="R1259" s="10">
        <f t="shared" ca="1" si="290"/>
        <v>0</v>
      </c>
      <c r="S1259" s="10">
        <f t="shared" ca="1" si="280"/>
        <v>-0.53520625889046947</v>
      </c>
      <c r="T1259" s="14">
        <f t="shared" ca="1" si="281"/>
        <v>-0.16462529619623628</v>
      </c>
      <c r="U1259" s="12">
        <f t="shared" ca="1" si="291"/>
        <v>7900</v>
      </c>
      <c r="V1259" s="14">
        <f t="shared" ca="1" si="292"/>
        <v>-5515.1898734177212</v>
      </c>
      <c r="W1259" s="12">
        <f t="shared" ca="1" si="282"/>
        <v>-3367.0886075949365</v>
      </c>
      <c r="X1259" s="7">
        <f ca="1">AVERAGE(E1259:OFFSET(F1259,-$X$5+1,0))</f>
        <v>10079.6</v>
      </c>
      <c r="Y1259" s="7">
        <f ca="1">AVERAGE(E1259:OFFSET(F1259,-$Y$5+1,0))</f>
        <v>10022.950000000001</v>
      </c>
      <c r="Z1259" s="7">
        <f t="shared" ca="1" si="284"/>
        <v>0</v>
      </c>
    </row>
    <row r="1260" spans="1:26">
      <c r="A1260" s="3" t="s">
        <v>84</v>
      </c>
      <c r="B1260" s="4">
        <v>43516</v>
      </c>
      <c r="C1260" s="3">
        <v>10183</v>
      </c>
      <c r="D1260" s="3">
        <v>10262</v>
      </c>
      <c r="E1260" s="3">
        <v>10177</v>
      </c>
      <c r="F1260" s="3">
        <v>10256</v>
      </c>
      <c r="G1260" s="3">
        <v>73350</v>
      </c>
      <c r="H1260" s="3">
        <v>1.0449999999999999</v>
      </c>
      <c r="I1260" s="2">
        <f t="shared" si="293"/>
        <v>1</v>
      </c>
      <c r="J1260" s="10">
        <f t="shared" si="295"/>
        <v>41</v>
      </c>
      <c r="K1260" s="10">
        <f t="shared" si="294"/>
        <v>73</v>
      </c>
      <c r="L1260" s="10">
        <f t="shared" ca="1" si="283"/>
        <v>0</v>
      </c>
      <c r="M1260" s="10">
        <f t="shared" si="285"/>
        <v>0</v>
      </c>
      <c r="N1260" s="30">
        <f t="shared" si="286"/>
        <v>0</v>
      </c>
      <c r="O1260" s="10">
        <f t="shared" si="287"/>
        <v>0</v>
      </c>
      <c r="P1260" s="29">
        <f t="shared" ca="1" si="288"/>
        <v>0</v>
      </c>
      <c r="Q1260" s="12">
        <f t="shared" ca="1" si="289"/>
        <v>-427800</v>
      </c>
      <c r="R1260" s="10">
        <f t="shared" ca="1" si="290"/>
        <v>0</v>
      </c>
      <c r="S1260" s="10">
        <f t="shared" ref="S1260:S1323" ca="1" si="296">100*SUM(P1021:P1260)/SUM(N1021:N1260)</f>
        <v>-0.46882408724513985</v>
      </c>
      <c r="T1260" s="14">
        <f t="shared" ca="1" si="281"/>
        <v>-0.15770962641719433</v>
      </c>
      <c r="U1260" s="12">
        <f t="shared" ca="1" si="291"/>
        <v>7900</v>
      </c>
      <c r="V1260" s="14">
        <f t="shared" ca="1" si="292"/>
        <v>-5515.1898734177212</v>
      </c>
      <c r="W1260" s="12">
        <f t="shared" ca="1" si="282"/>
        <v>-3367.0886075949365</v>
      </c>
      <c r="X1260" s="7">
        <f ca="1">AVERAGE(E1260:OFFSET(F1260,-$X$5+1,0))</f>
        <v>10109</v>
      </c>
      <c r="Y1260" s="7">
        <f ca="1">AVERAGE(E1260:OFFSET(F1260,-$Y$5+1,0))</f>
        <v>10046.6</v>
      </c>
      <c r="Z1260" s="7">
        <f t="shared" ca="1" si="284"/>
        <v>0</v>
      </c>
    </row>
    <row r="1261" spans="1:26">
      <c r="A1261" s="3" t="s">
        <v>85</v>
      </c>
      <c r="B1261" s="4">
        <v>43517</v>
      </c>
      <c r="C1261" s="3">
        <v>10255</v>
      </c>
      <c r="D1261" s="3">
        <v>10327</v>
      </c>
      <c r="E1261" s="3">
        <v>10232</v>
      </c>
      <c r="F1261" s="3">
        <v>10324</v>
      </c>
      <c r="G1261" s="3">
        <v>97337</v>
      </c>
      <c r="H1261" s="3">
        <v>1.0449999999999999</v>
      </c>
      <c r="I1261" s="2">
        <f t="shared" si="293"/>
        <v>0</v>
      </c>
      <c r="J1261" s="10">
        <f t="shared" si="295"/>
        <v>-1</v>
      </c>
      <c r="K1261" s="10">
        <f t="shared" si="294"/>
        <v>69</v>
      </c>
      <c r="L1261" s="10">
        <f t="shared" ca="1" si="283"/>
        <v>0</v>
      </c>
      <c r="M1261" s="10">
        <f t="shared" ca="1" si="285"/>
        <v>0</v>
      </c>
      <c r="N1261" s="30">
        <f t="shared" ca="1" si="286"/>
        <v>0</v>
      </c>
      <c r="O1261" s="10">
        <f t="shared" ca="1" si="287"/>
        <v>0</v>
      </c>
      <c r="P1261" s="29">
        <f t="shared" ca="1" si="288"/>
        <v>0</v>
      </c>
      <c r="Q1261" s="12">
        <f t="shared" ca="1" si="289"/>
        <v>-427800</v>
      </c>
      <c r="R1261" s="10">
        <f t="shared" ca="1" si="290"/>
        <v>0</v>
      </c>
      <c r="S1261" s="10">
        <f t="shared" ca="1" si="296"/>
        <v>-0.40481270744428638</v>
      </c>
      <c r="T1261" s="14">
        <f t="shared" ref="T1261:T1324" ca="1" si="297">(S1261-AVERAGE(H992:H1261))/(_xlfn.STDEV.S(R992:R1261)*SQRT(240))</f>
        <v>-0.15104094484454672</v>
      </c>
      <c r="U1261" s="12">
        <f t="shared" ca="1" si="291"/>
        <v>7900</v>
      </c>
      <c r="V1261" s="14">
        <f t="shared" ca="1" si="292"/>
        <v>-5515.1898734177212</v>
      </c>
      <c r="W1261" s="12">
        <f t="shared" ref="W1261:W1324" ca="1" si="298">MAX(V1022:V1261)</f>
        <v>-3367.0886075949365</v>
      </c>
      <c r="X1261" s="7">
        <f ca="1">AVERAGE(E1261:OFFSET(F1261,-$X$5+1,0))</f>
        <v>10153.200000000001</v>
      </c>
      <c r="Y1261" s="7">
        <f ca="1">AVERAGE(E1261:OFFSET(F1261,-$Y$5+1,0))</f>
        <v>10084.25</v>
      </c>
      <c r="Z1261" s="7">
        <f t="shared" ca="1" si="284"/>
        <v>0</v>
      </c>
    </row>
    <row r="1262" spans="1:26">
      <c r="A1262" s="3" t="s">
        <v>85</v>
      </c>
      <c r="B1262" s="4">
        <v>43518</v>
      </c>
      <c r="C1262" s="3">
        <v>10272</v>
      </c>
      <c r="D1262" s="3">
        <v>10312</v>
      </c>
      <c r="E1262" s="3">
        <v>10245</v>
      </c>
      <c r="F1262" s="3">
        <v>10310</v>
      </c>
      <c r="G1262" s="3">
        <v>87939</v>
      </c>
      <c r="H1262" s="3">
        <v>1.0449999999999999</v>
      </c>
      <c r="I1262" s="2">
        <f t="shared" si="293"/>
        <v>0</v>
      </c>
      <c r="J1262" s="10">
        <f t="shared" si="295"/>
        <v>-52</v>
      </c>
      <c r="K1262" s="10">
        <f t="shared" si="294"/>
        <v>38</v>
      </c>
      <c r="L1262" s="10">
        <f t="shared" ca="1" si="283"/>
        <v>0</v>
      </c>
      <c r="M1262" s="10">
        <f t="shared" ca="1" si="285"/>
        <v>0</v>
      </c>
      <c r="N1262" s="30">
        <f t="shared" ca="1" si="286"/>
        <v>0</v>
      </c>
      <c r="O1262" s="10">
        <f t="shared" ca="1" si="287"/>
        <v>0</v>
      </c>
      <c r="P1262" s="29">
        <f t="shared" ca="1" si="288"/>
        <v>0</v>
      </c>
      <c r="Q1262" s="12">
        <f t="shared" ca="1" si="289"/>
        <v>-427800</v>
      </c>
      <c r="R1262" s="10">
        <f t="shared" ca="1" si="290"/>
        <v>0</v>
      </c>
      <c r="S1262" s="10">
        <f t="shared" ca="1" si="296"/>
        <v>-0.35028449502133713</v>
      </c>
      <c r="T1262" s="14">
        <f t="shared" ca="1" si="297"/>
        <v>-0.14536021609747651</v>
      </c>
      <c r="U1262" s="12">
        <f t="shared" ca="1" si="291"/>
        <v>7900</v>
      </c>
      <c r="V1262" s="14">
        <f t="shared" ca="1" si="292"/>
        <v>-5515.1898734177212</v>
      </c>
      <c r="W1262" s="12">
        <f t="shared" ca="1" si="298"/>
        <v>-3367.0886075949365</v>
      </c>
      <c r="X1262" s="7">
        <f ca="1">AVERAGE(E1262:OFFSET(F1262,-$X$5+1,0))</f>
        <v>10202.299999999999</v>
      </c>
      <c r="Y1262" s="7">
        <f ca="1">AVERAGE(E1262:OFFSET(F1262,-$Y$5+1,0))</f>
        <v>10120.9</v>
      </c>
      <c r="Z1262" s="7">
        <f t="shared" ca="1" si="284"/>
        <v>0</v>
      </c>
    </row>
    <row r="1263" spans="1:26">
      <c r="A1263" s="3" t="s">
        <v>85</v>
      </c>
      <c r="B1263" s="4">
        <v>43521</v>
      </c>
      <c r="C1263" s="3">
        <v>10350</v>
      </c>
      <c r="D1263" s="3">
        <v>10378</v>
      </c>
      <c r="E1263" s="3">
        <v>10324</v>
      </c>
      <c r="F1263" s="3">
        <v>10368</v>
      </c>
      <c r="G1263" s="3">
        <v>104882</v>
      </c>
      <c r="H1263" s="3">
        <v>1.0449999999999999</v>
      </c>
      <c r="I1263" s="2">
        <f t="shared" si="293"/>
        <v>0</v>
      </c>
      <c r="J1263" s="10">
        <f t="shared" si="295"/>
        <v>40</v>
      </c>
      <c r="K1263" s="10">
        <f t="shared" si="294"/>
        <v>18</v>
      </c>
      <c r="L1263" s="10">
        <f t="shared" ca="1" si="283"/>
        <v>0</v>
      </c>
      <c r="M1263" s="10">
        <f t="shared" ca="1" si="285"/>
        <v>0</v>
      </c>
      <c r="N1263" s="30">
        <f t="shared" ca="1" si="286"/>
        <v>0</v>
      </c>
      <c r="O1263" s="10">
        <f t="shared" ca="1" si="287"/>
        <v>0</v>
      </c>
      <c r="P1263" s="29">
        <f t="shared" ca="1" si="288"/>
        <v>0</v>
      </c>
      <c r="Q1263" s="12">
        <f t="shared" ca="1" si="289"/>
        <v>-427800</v>
      </c>
      <c r="R1263" s="10">
        <f t="shared" ca="1" si="290"/>
        <v>0</v>
      </c>
      <c r="S1263" s="10">
        <f t="shared" ca="1" si="296"/>
        <v>-0.5304646752015173</v>
      </c>
      <c r="T1263" s="14">
        <f t="shared" ca="1" si="297"/>
        <v>-0.16413131978344761</v>
      </c>
      <c r="U1263" s="12">
        <f t="shared" ca="1" si="291"/>
        <v>7900</v>
      </c>
      <c r="V1263" s="14">
        <f t="shared" ca="1" si="292"/>
        <v>-5515.1898734177212</v>
      </c>
      <c r="W1263" s="12">
        <f t="shared" ca="1" si="298"/>
        <v>-3367.0886075949365</v>
      </c>
      <c r="X1263" s="7">
        <f ca="1">AVERAGE(E1263:OFFSET(F1263,-$X$5+1,0))</f>
        <v>10248.200000000001</v>
      </c>
      <c r="Y1263" s="7">
        <f ca="1">AVERAGE(E1263:OFFSET(F1263,-$Y$5+1,0))</f>
        <v>10157.25</v>
      </c>
      <c r="Z1263" s="7">
        <f t="shared" ca="1" si="284"/>
        <v>0</v>
      </c>
    </row>
    <row r="1264" spans="1:26">
      <c r="A1264" s="3" t="s">
        <v>85</v>
      </c>
      <c r="B1264" s="4">
        <v>43522</v>
      </c>
      <c r="C1264" s="3">
        <v>10381</v>
      </c>
      <c r="D1264" s="3">
        <v>10394</v>
      </c>
      <c r="E1264" s="3">
        <v>10336</v>
      </c>
      <c r="F1264" s="3">
        <v>10355</v>
      </c>
      <c r="G1264" s="3">
        <v>100522</v>
      </c>
      <c r="H1264" s="3">
        <v>1.0449999999999999</v>
      </c>
      <c r="I1264" s="2">
        <f t="shared" si="293"/>
        <v>0</v>
      </c>
      <c r="J1264" s="10">
        <f t="shared" si="295"/>
        <v>13</v>
      </c>
      <c r="K1264" s="10">
        <f t="shared" si="294"/>
        <v>-26</v>
      </c>
      <c r="L1264" s="10">
        <f t="shared" ca="1" si="283"/>
        <v>0</v>
      </c>
      <c r="M1264" s="10">
        <f t="shared" ca="1" si="285"/>
        <v>0</v>
      </c>
      <c r="N1264" s="30">
        <f t="shared" ca="1" si="286"/>
        <v>0</v>
      </c>
      <c r="O1264" s="10">
        <f t="shared" ca="1" si="287"/>
        <v>0</v>
      </c>
      <c r="P1264" s="29">
        <f t="shared" ca="1" si="288"/>
        <v>0</v>
      </c>
      <c r="Q1264" s="12">
        <f t="shared" ca="1" si="289"/>
        <v>-427800</v>
      </c>
      <c r="R1264" s="10">
        <f t="shared" ca="1" si="290"/>
        <v>0</v>
      </c>
      <c r="S1264" s="10">
        <f t="shared" ca="1" si="296"/>
        <v>-0.44155998103366523</v>
      </c>
      <c r="T1264" s="14">
        <f t="shared" ca="1" si="297"/>
        <v>-0.15486926204365922</v>
      </c>
      <c r="U1264" s="12">
        <f t="shared" ca="1" si="291"/>
        <v>7900</v>
      </c>
      <c r="V1264" s="14">
        <f t="shared" ca="1" si="292"/>
        <v>-5515.1898734177212</v>
      </c>
      <c r="W1264" s="12">
        <f t="shared" ca="1" si="298"/>
        <v>-3367.0886075949365</v>
      </c>
      <c r="X1264" s="7">
        <f ca="1">AVERAGE(E1264:OFFSET(F1264,-$X$5+1,0))</f>
        <v>10292.700000000001</v>
      </c>
      <c r="Y1264" s="7">
        <f ca="1">AVERAGE(E1264:OFFSET(F1264,-$Y$5+1,0))</f>
        <v>10186.15</v>
      </c>
      <c r="Z1264" s="7">
        <f t="shared" ca="1" si="284"/>
        <v>0</v>
      </c>
    </row>
    <row r="1265" spans="1:26">
      <c r="A1265" s="3" t="s">
        <v>85</v>
      </c>
      <c r="B1265" s="4">
        <v>43523</v>
      </c>
      <c r="C1265" s="3">
        <v>10375</v>
      </c>
      <c r="D1265" s="3">
        <v>10384</v>
      </c>
      <c r="E1265" s="3">
        <v>10325</v>
      </c>
      <c r="F1265" s="3">
        <v>10362</v>
      </c>
      <c r="G1265" s="3">
        <v>83461</v>
      </c>
      <c r="H1265" s="3">
        <v>1.0449999999999999</v>
      </c>
      <c r="I1265" s="2">
        <f t="shared" si="293"/>
        <v>0</v>
      </c>
      <c r="J1265" s="10">
        <f t="shared" si="295"/>
        <v>20</v>
      </c>
      <c r="K1265" s="10">
        <f t="shared" si="294"/>
        <v>-13</v>
      </c>
      <c r="L1265" s="10">
        <f t="shared" ca="1" si="283"/>
        <v>0</v>
      </c>
      <c r="M1265" s="10">
        <f t="shared" ca="1" si="285"/>
        <v>0</v>
      </c>
      <c r="N1265" s="30">
        <f t="shared" ca="1" si="286"/>
        <v>0</v>
      </c>
      <c r="O1265" s="10">
        <f t="shared" ca="1" si="287"/>
        <v>0</v>
      </c>
      <c r="P1265" s="29">
        <f t="shared" ca="1" si="288"/>
        <v>0</v>
      </c>
      <c r="Q1265" s="12">
        <f t="shared" ca="1" si="289"/>
        <v>-427800</v>
      </c>
      <c r="R1265" s="10">
        <f t="shared" ca="1" si="290"/>
        <v>0</v>
      </c>
      <c r="S1265" s="10">
        <f t="shared" ca="1" si="296"/>
        <v>-0.51683262209577996</v>
      </c>
      <c r="T1265" s="14">
        <f t="shared" ca="1" si="297"/>
        <v>-0.16271113759668004</v>
      </c>
      <c r="U1265" s="12">
        <f t="shared" ca="1" si="291"/>
        <v>7900</v>
      </c>
      <c r="V1265" s="14">
        <f t="shared" ca="1" si="292"/>
        <v>-5515.1898734177212</v>
      </c>
      <c r="W1265" s="12">
        <f t="shared" ca="1" si="298"/>
        <v>-3367.0886075949365</v>
      </c>
      <c r="X1265" s="7">
        <f ca="1">AVERAGE(E1265:OFFSET(F1265,-$X$5+1,0))</f>
        <v>10318.1</v>
      </c>
      <c r="Y1265" s="7">
        <f ca="1">AVERAGE(E1265:OFFSET(F1265,-$Y$5+1,0))</f>
        <v>10213.549999999999</v>
      </c>
      <c r="Z1265" s="7">
        <f t="shared" ca="1" si="284"/>
        <v>0</v>
      </c>
    </row>
    <row r="1266" spans="1:26">
      <c r="A1266" s="3" t="s">
        <v>85</v>
      </c>
      <c r="B1266" s="4">
        <v>43528</v>
      </c>
      <c r="C1266" s="3">
        <v>10390</v>
      </c>
      <c r="D1266" s="3">
        <v>10400</v>
      </c>
      <c r="E1266" s="3">
        <v>10276</v>
      </c>
      <c r="F1266" s="3">
        <v>10311</v>
      </c>
      <c r="G1266" s="3">
        <v>122715</v>
      </c>
      <c r="H1266" s="3">
        <v>1.0449999999999999</v>
      </c>
      <c r="I1266" s="2">
        <f t="shared" si="293"/>
        <v>0</v>
      </c>
      <c r="J1266" s="10">
        <f t="shared" si="295"/>
        <v>28</v>
      </c>
      <c r="K1266" s="10">
        <f t="shared" si="294"/>
        <v>-79</v>
      </c>
      <c r="L1266" s="10">
        <f t="shared" ca="1" si="283"/>
        <v>0</v>
      </c>
      <c r="M1266" s="10">
        <f t="shared" ca="1" si="285"/>
        <v>0</v>
      </c>
      <c r="N1266" s="30">
        <f t="shared" ca="1" si="286"/>
        <v>0</v>
      </c>
      <c r="O1266" s="10">
        <f t="shared" ca="1" si="287"/>
        <v>0</v>
      </c>
      <c r="P1266" s="29">
        <f t="shared" ca="1" si="288"/>
        <v>0</v>
      </c>
      <c r="Q1266" s="12">
        <f t="shared" ca="1" si="289"/>
        <v>-427800</v>
      </c>
      <c r="R1266" s="10">
        <f t="shared" ca="1" si="290"/>
        <v>0</v>
      </c>
      <c r="S1266" s="10">
        <f t="shared" ca="1" si="296"/>
        <v>-0.51683262209577996</v>
      </c>
      <c r="T1266" s="14">
        <f t="shared" ca="1" si="297"/>
        <v>-0.16271113759668004</v>
      </c>
      <c r="U1266" s="12">
        <f t="shared" ca="1" si="291"/>
        <v>7900</v>
      </c>
      <c r="V1266" s="14">
        <f t="shared" ca="1" si="292"/>
        <v>-5515.1898734177212</v>
      </c>
      <c r="W1266" s="12">
        <f t="shared" ca="1" si="298"/>
        <v>-3367.0886075949365</v>
      </c>
      <c r="X1266" s="7">
        <f ca="1">AVERAGE(E1266:OFFSET(F1266,-$X$5+1,0))</f>
        <v>10321.200000000001</v>
      </c>
      <c r="Y1266" s="7">
        <f ca="1">AVERAGE(E1266:OFFSET(F1266,-$Y$5+1,0))</f>
        <v>10237.200000000001</v>
      </c>
      <c r="Z1266" s="7">
        <f t="shared" ca="1" si="284"/>
        <v>0</v>
      </c>
    </row>
    <row r="1267" spans="1:26">
      <c r="A1267" s="3" t="s">
        <v>85</v>
      </c>
      <c r="B1267" s="4">
        <v>43529</v>
      </c>
      <c r="C1267" s="3">
        <v>10260</v>
      </c>
      <c r="D1267" s="3">
        <v>10306</v>
      </c>
      <c r="E1267" s="3">
        <v>10248</v>
      </c>
      <c r="F1267" s="3">
        <v>10274</v>
      </c>
      <c r="G1267" s="3">
        <v>97390</v>
      </c>
      <c r="H1267" s="3">
        <v>1.0449999999999999</v>
      </c>
      <c r="I1267" s="2">
        <f t="shared" si="293"/>
        <v>0</v>
      </c>
      <c r="J1267" s="10">
        <f t="shared" si="295"/>
        <v>-51</v>
      </c>
      <c r="K1267" s="10">
        <f t="shared" si="294"/>
        <v>14</v>
      </c>
      <c r="L1267" s="10">
        <f t="shared" ca="1" si="283"/>
        <v>0</v>
      </c>
      <c r="M1267" s="10">
        <f t="shared" ca="1" si="285"/>
        <v>0</v>
      </c>
      <c r="N1267" s="30">
        <f t="shared" ca="1" si="286"/>
        <v>0</v>
      </c>
      <c r="O1267" s="10">
        <f t="shared" ca="1" si="287"/>
        <v>0</v>
      </c>
      <c r="P1267" s="29">
        <f t="shared" ca="1" si="288"/>
        <v>0</v>
      </c>
      <c r="Q1267" s="12">
        <f t="shared" ca="1" si="289"/>
        <v>-427800</v>
      </c>
      <c r="R1267" s="10">
        <f t="shared" ca="1" si="290"/>
        <v>0</v>
      </c>
      <c r="S1267" s="10">
        <f t="shared" ca="1" si="296"/>
        <v>-0.67102663669187279</v>
      </c>
      <c r="T1267" s="14">
        <f t="shared" ca="1" si="297"/>
        <v>-0.17877501228503367</v>
      </c>
      <c r="U1267" s="12">
        <f t="shared" ca="1" si="291"/>
        <v>7900</v>
      </c>
      <c r="V1267" s="14">
        <f t="shared" ca="1" si="292"/>
        <v>-5515.1898734177212</v>
      </c>
      <c r="W1267" s="12">
        <f t="shared" ca="1" si="298"/>
        <v>-3367.0886075949365</v>
      </c>
      <c r="X1267" s="7">
        <f ca="1">AVERAGE(E1267:OFFSET(F1267,-$X$5+1,0))</f>
        <v>10317.9</v>
      </c>
      <c r="Y1267" s="7">
        <f ca="1">AVERAGE(E1267:OFFSET(F1267,-$Y$5+1,0))</f>
        <v>10260.1</v>
      </c>
      <c r="Z1267" s="7">
        <f t="shared" ca="1" si="284"/>
        <v>0</v>
      </c>
    </row>
    <row r="1268" spans="1:26">
      <c r="A1268" s="3" t="s">
        <v>85</v>
      </c>
      <c r="B1268" s="4">
        <v>43530</v>
      </c>
      <c r="C1268" s="3">
        <v>10283</v>
      </c>
      <c r="D1268" s="3">
        <v>10333</v>
      </c>
      <c r="E1268" s="3">
        <v>10282</v>
      </c>
      <c r="F1268" s="3">
        <v>10322</v>
      </c>
      <c r="G1268" s="3">
        <v>91094</v>
      </c>
      <c r="H1268" s="3">
        <v>1.0449999999999999</v>
      </c>
      <c r="I1268" s="2">
        <f t="shared" si="293"/>
        <v>0</v>
      </c>
      <c r="J1268" s="10">
        <f t="shared" si="295"/>
        <v>9</v>
      </c>
      <c r="K1268" s="10">
        <f t="shared" si="294"/>
        <v>39</v>
      </c>
      <c r="L1268" s="10">
        <f t="shared" ca="1" si="283"/>
        <v>0</v>
      </c>
      <c r="M1268" s="10">
        <f t="shared" ca="1" si="285"/>
        <v>0</v>
      </c>
      <c r="N1268" s="30">
        <f t="shared" ca="1" si="286"/>
        <v>0</v>
      </c>
      <c r="O1268" s="10">
        <f t="shared" ca="1" si="287"/>
        <v>0</v>
      </c>
      <c r="P1268" s="29">
        <f t="shared" ca="1" si="288"/>
        <v>0</v>
      </c>
      <c r="Q1268" s="12">
        <f t="shared" ca="1" si="289"/>
        <v>-427800</v>
      </c>
      <c r="R1268" s="10">
        <f t="shared" ca="1" si="290"/>
        <v>0</v>
      </c>
      <c r="S1268" s="10">
        <f t="shared" ca="1" si="296"/>
        <v>-0.77457592479051707</v>
      </c>
      <c r="T1268" s="14">
        <f t="shared" ca="1" si="297"/>
        <v>-0.18956273833550388</v>
      </c>
      <c r="U1268" s="12">
        <f t="shared" ca="1" si="291"/>
        <v>7900</v>
      </c>
      <c r="V1268" s="14">
        <f t="shared" ca="1" si="292"/>
        <v>-5515.1898734177212</v>
      </c>
      <c r="W1268" s="12">
        <f t="shared" ca="1" si="298"/>
        <v>-3367.0886075949365</v>
      </c>
      <c r="X1268" s="7">
        <f ca="1">AVERAGE(E1268:OFFSET(F1268,-$X$5+1,0))</f>
        <v>10309.1</v>
      </c>
      <c r="Y1268" s="7">
        <f ca="1">AVERAGE(E1268:OFFSET(F1268,-$Y$5+1,0))</f>
        <v>10278.65</v>
      </c>
      <c r="Z1268" s="7">
        <f t="shared" ca="1" si="284"/>
        <v>0</v>
      </c>
    </row>
    <row r="1269" spans="1:26">
      <c r="A1269" s="3" t="s">
        <v>85</v>
      </c>
      <c r="B1269" s="4">
        <v>43531</v>
      </c>
      <c r="C1269" s="3">
        <v>10315</v>
      </c>
      <c r="D1269" s="3">
        <v>10335</v>
      </c>
      <c r="E1269" s="3">
        <v>10260</v>
      </c>
      <c r="F1269" s="3">
        <v>10262</v>
      </c>
      <c r="G1269" s="3">
        <v>95914</v>
      </c>
      <c r="H1269" s="3">
        <v>1.0449999999999999</v>
      </c>
      <c r="I1269" s="2">
        <f t="shared" si="293"/>
        <v>0</v>
      </c>
      <c r="J1269" s="10">
        <f t="shared" si="295"/>
        <v>-7</v>
      </c>
      <c r="K1269" s="10">
        <f t="shared" si="294"/>
        <v>-53</v>
      </c>
      <c r="L1269" s="10">
        <f t="shared" ca="1" si="283"/>
        <v>-1</v>
      </c>
      <c r="M1269" s="10">
        <f t="shared" ca="1" si="285"/>
        <v>0</v>
      </c>
      <c r="N1269" s="30">
        <f t="shared" ca="1" si="286"/>
        <v>0</v>
      </c>
      <c r="O1269" s="10">
        <f t="shared" ca="1" si="287"/>
        <v>0</v>
      </c>
      <c r="P1269" s="29">
        <f t="shared" ca="1" si="288"/>
        <v>0</v>
      </c>
      <c r="Q1269" s="12">
        <f t="shared" ca="1" si="289"/>
        <v>-427800</v>
      </c>
      <c r="R1269" s="10">
        <f t="shared" ca="1" si="290"/>
        <v>0</v>
      </c>
      <c r="S1269" s="10">
        <f t="shared" ca="1" si="296"/>
        <v>-0.68056407112201101</v>
      </c>
      <c r="T1269" s="14">
        <f t="shared" ca="1" si="297"/>
        <v>-0.17976861863178753</v>
      </c>
      <c r="U1269" s="12">
        <f t="shared" ca="1" si="291"/>
        <v>7900</v>
      </c>
      <c r="V1269" s="14">
        <f t="shared" ca="1" si="292"/>
        <v>-5515.1898734177212</v>
      </c>
      <c r="W1269" s="12">
        <f t="shared" ca="1" si="298"/>
        <v>-3367.0886075949365</v>
      </c>
      <c r="X1269" s="7">
        <f ca="1">AVERAGE(E1269:OFFSET(F1269,-$X$5+1,0))</f>
        <v>10292.200000000001</v>
      </c>
      <c r="Y1269" s="7">
        <f ca="1">AVERAGE(E1269:OFFSET(F1269,-$Y$5+1,0))</f>
        <v>10292.450000000001</v>
      </c>
      <c r="Z1269" s="7">
        <f t="shared" ca="1" si="284"/>
        <v>-1</v>
      </c>
    </row>
    <row r="1270" spans="1:26">
      <c r="A1270" s="3" t="s">
        <v>85</v>
      </c>
      <c r="B1270" s="4">
        <v>43532</v>
      </c>
      <c r="C1270" s="3">
        <v>10230</v>
      </c>
      <c r="D1270" s="3">
        <v>10244</v>
      </c>
      <c r="E1270" s="3">
        <v>10162</v>
      </c>
      <c r="F1270" s="3">
        <v>10200</v>
      </c>
      <c r="G1270" s="3">
        <v>127917</v>
      </c>
      <c r="H1270" s="3">
        <v>1.0449999999999999</v>
      </c>
      <c r="I1270" s="2">
        <f t="shared" si="293"/>
        <v>0</v>
      </c>
      <c r="J1270" s="10">
        <f t="shared" si="295"/>
        <v>-32</v>
      </c>
      <c r="K1270" s="10">
        <f t="shared" si="294"/>
        <v>-30</v>
      </c>
      <c r="L1270" s="10">
        <f t="shared" ca="1" si="283"/>
        <v>0</v>
      </c>
      <c r="M1270" s="10">
        <f t="shared" ca="1" si="285"/>
        <v>-1</v>
      </c>
      <c r="N1270" s="30">
        <f t="shared" ca="1" si="286"/>
        <v>0</v>
      </c>
      <c r="O1270" s="10">
        <f t="shared" ca="1" si="287"/>
        <v>2046000</v>
      </c>
      <c r="P1270" s="29">
        <f t="shared" ca="1" si="288"/>
        <v>5500</v>
      </c>
      <c r="Q1270" s="12">
        <f t="shared" ca="1" si="289"/>
        <v>-422300</v>
      </c>
      <c r="R1270" s="10">
        <f t="shared" ca="1" si="290"/>
        <v>0.26881720430107525</v>
      </c>
      <c r="S1270" s="10">
        <f t="shared" ca="1" si="296"/>
        <v>-0.65672048504666536</v>
      </c>
      <c r="T1270" s="14">
        <f t="shared" ca="1" si="297"/>
        <v>-0.17722099685512482</v>
      </c>
      <c r="U1270" s="12">
        <f t="shared" ca="1" si="291"/>
        <v>7900</v>
      </c>
      <c r="V1270" s="14">
        <f t="shared" ca="1" si="292"/>
        <v>-5445.5696202531644</v>
      </c>
      <c r="W1270" s="12">
        <f t="shared" ca="1" si="298"/>
        <v>-3367.0886075949365</v>
      </c>
      <c r="X1270" s="7">
        <f ca="1">AVERAGE(E1270:OFFSET(F1270,-$X$5+1,0))</f>
        <v>10259.700000000001</v>
      </c>
      <c r="Y1270" s="7">
        <f ca="1">AVERAGE(E1270:OFFSET(F1270,-$Y$5+1,0))</f>
        <v>10288.9</v>
      </c>
      <c r="Z1270" s="7">
        <f t="shared" ca="1" si="284"/>
        <v>0</v>
      </c>
    </row>
    <row r="1271" spans="1:26">
      <c r="A1271" s="3" t="s">
        <v>85</v>
      </c>
      <c r="B1271" s="4">
        <v>43535</v>
      </c>
      <c r="C1271" s="3">
        <v>10170</v>
      </c>
      <c r="D1271" s="3">
        <v>10234</v>
      </c>
      <c r="E1271" s="3">
        <v>10168</v>
      </c>
      <c r="F1271" s="3">
        <v>10229</v>
      </c>
      <c r="G1271" s="3">
        <v>78910</v>
      </c>
      <c r="H1271" s="3">
        <v>1.0449999999999999</v>
      </c>
      <c r="I1271" s="2">
        <f t="shared" si="293"/>
        <v>0</v>
      </c>
      <c r="J1271" s="10">
        <f t="shared" si="295"/>
        <v>-30</v>
      </c>
      <c r="K1271" s="10">
        <f t="shared" si="294"/>
        <v>59</v>
      </c>
      <c r="L1271" s="10">
        <f t="shared" ca="1" si="283"/>
        <v>0</v>
      </c>
      <c r="M1271" s="10">
        <f t="shared" ca="1" si="285"/>
        <v>-1</v>
      </c>
      <c r="N1271" s="30">
        <f t="shared" ca="1" si="286"/>
        <v>0</v>
      </c>
      <c r="O1271" s="10">
        <f t="shared" ca="1" si="287"/>
        <v>2046000</v>
      </c>
      <c r="P1271" s="29">
        <f t="shared" ca="1" si="288"/>
        <v>-5800</v>
      </c>
      <c r="Q1271" s="12">
        <f t="shared" ca="1" si="289"/>
        <v>-428100</v>
      </c>
      <c r="R1271" s="10">
        <f t="shared" ca="1" si="290"/>
        <v>-0.28347996089931576</v>
      </c>
      <c r="S1271" s="10">
        <f t="shared" ca="1" si="296"/>
        <v>-0.66489542884392672</v>
      </c>
      <c r="T1271" s="14">
        <f t="shared" ca="1" si="297"/>
        <v>-0.17800487841520393</v>
      </c>
      <c r="U1271" s="12">
        <f t="shared" ca="1" si="291"/>
        <v>7900</v>
      </c>
      <c r="V1271" s="14">
        <f t="shared" ca="1" si="292"/>
        <v>-5518.9873417721519</v>
      </c>
      <c r="W1271" s="12">
        <f t="shared" ca="1" si="298"/>
        <v>-3367.0886075949365</v>
      </c>
      <c r="X1271" s="7">
        <f ca="1">AVERAGE(E1271:OFFSET(F1271,-$X$5+1,0))</f>
        <v>10240.700000000001</v>
      </c>
      <c r="Y1271" s="7">
        <f ca="1">AVERAGE(E1271:OFFSET(F1271,-$Y$5+1,0))</f>
        <v>10280.950000000001</v>
      </c>
      <c r="Z1271" s="7">
        <f t="shared" ca="1" si="284"/>
        <v>0</v>
      </c>
    </row>
    <row r="1272" spans="1:26">
      <c r="A1272" s="3" t="s">
        <v>85</v>
      </c>
      <c r="B1272" s="4">
        <v>43536</v>
      </c>
      <c r="C1272" s="3">
        <v>10301</v>
      </c>
      <c r="D1272" s="3">
        <v>10385</v>
      </c>
      <c r="E1272" s="3">
        <v>10300</v>
      </c>
      <c r="F1272" s="3">
        <v>10348</v>
      </c>
      <c r="G1272" s="3">
        <v>109945</v>
      </c>
      <c r="H1272" s="3">
        <v>1.0449999999999999</v>
      </c>
      <c r="I1272" s="2">
        <f t="shared" si="293"/>
        <v>0</v>
      </c>
      <c r="J1272" s="10">
        <f t="shared" si="295"/>
        <v>72</v>
      </c>
      <c r="K1272" s="10">
        <f t="shared" si="294"/>
        <v>47</v>
      </c>
      <c r="L1272" s="10">
        <f t="shared" ca="1" si="283"/>
        <v>0</v>
      </c>
      <c r="M1272" s="10">
        <f t="shared" ca="1" si="285"/>
        <v>-1</v>
      </c>
      <c r="N1272" s="30">
        <f t="shared" ca="1" si="286"/>
        <v>0</v>
      </c>
      <c r="O1272" s="10">
        <f t="shared" ca="1" si="287"/>
        <v>2046000</v>
      </c>
      <c r="P1272" s="29">
        <f t="shared" ca="1" si="288"/>
        <v>-23800</v>
      </c>
      <c r="Q1272" s="12">
        <f t="shared" ca="1" si="289"/>
        <v>-451900</v>
      </c>
      <c r="R1272" s="10">
        <f t="shared" ca="1" si="290"/>
        <v>-1.163245356793744</v>
      </c>
      <c r="S1272" s="10">
        <f t="shared" ca="1" si="296"/>
        <v>-0.84065672048504669</v>
      </c>
      <c r="T1272" s="14">
        <f t="shared" ca="1" si="297"/>
        <v>-0.1950438483262065</v>
      </c>
      <c r="U1272" s="12">
        <f t="shared" ca="1" si="291"/>
        <v>7900</v>
      </c>
      <c r="V1272" s="14">
        <f t="shared" ca="1" si="292"/>
        <v>-5820.2531645569625</v>
      </c>
      <c r="W1272" s="12">
        <f t="shared" ca="1" si="298"/>
        <v>-3367.0886075949365</v>
      </c>
      <c r="X1272" s="7">
        <f ca="1">AVERAGE(E1272:OFFSET(F1272,-$X$5+1,0))</f>
        <v>10253.299999999999</v>
      </c>
      <c r="Y1272" s="7">
        <f ca="1">AVERAGE(E1272:OFFSET(F1272,-$Y$5+1,0))</f>
        <v>10285.6</v>
      </c>
      <c r="Z1272" s="7">
        <f t="shared" ca="1" si="284"/>
        <v>0</v>
      </c>
    </row>
    <row r="1273" spans="1:26">
      <c r="A1273" s="3" t="s">
        <v>85</v>
      </c>
      <c r="B1273" s="4">
        <v>43537</v>
      </c>
      <c r="C1273" s="3">
        <v>10325</v>
      </c>
      <c r="D1273" s="3">
        <v>10365</v>
      </c>
      <c r="E1273" s="3">
        <v>10305</v>
      </c>
      <c r="F1273" s="3">
        <v>10365</v>
      </c>
      <c r="G1273" s="3">
        <v>100182</v>
      </c>
      <c r="H1273" s="3">
        <v>1.0449999999999999</v>
      </c>
      <c r="I1273" s="2">
        <f t="shared" si="293"/>
        <v>0</v>
      </c>
      <c r="J1273" s="10">
        <f t="shared" si="295"/>
        <v>-23</v>
      </c>
      <c r="K1273" s="10">
        <f t="shared" si="294"/>
        <v>40</v>
      </c>
      <c r="L1273" s="10">
        <f t="shared" ca="1" si="283"/>
        <v>0</v>
      </c>
      <c r="M1273" s="10">
        <f t="shared" ca="1" si="285"/>
        <v>-1</v>
      </c>
      <c r="N1273" s="30">
        <f t="shared" ca="1" si="286"/>
        <v>0</v>
      </c>
      <c r="O1273" s="10">
        <f t="shared" ca="1" si="287"/>
        <v>2046000</v>
      </c>
      <c r="P1273" s="29">
        <f t="shared" ca="1" si="288"/>
        <v>-3400</v>
      </c>
      <c r="Q1273" s="12">
        <f t="shared" ca="1" si="289"/>
        <v>-455300</v>
      </c>
      <c r="R1273" s="10">
        <f t="shared" ca="1" si="290"/>
        <v>-0.16617790811339198</v>
      </c>
      <c r="S1273" s="10">
        <f t="shared" ca="1" si="296"/>
        <v>-0.84201921111792355</v>
      </c>
      <c r="T1273" s="14">
        <f t="shared" ca="1" si="297"/>
        <v>-0.19516173950530244</v>
      </c>
      <c r="U1273" s="12">
        <f t="shared" ca="1" si="291"/>
        <v>7900</v>
      </c>
      <c r="V1273" s="14">
        <f t="shared" ca="1" si="292"/>
        <v>-5863.2911392405067</v>
      </c>
      <c r="W1273" s="12">
        <f t="shared" ca="1" si="298"/>
        <v>-3367.0886075949365</v>
      </c>
      <c r="X1273" s="7">
        <f ca="1">AVERAGE(E1273:OFFSET(F1273,-$X$5+1,0))</f>
        <v>10259.9</v>
      </c>
      <c r="Y1273" s="7">
        <f ca="1">AVERAGE(E1273:OFFSET(F1273,-$Y$5+1,0))</f>
        <v>10284.5</v>
      </c>
      <c r="Z1273" s="7">
        <f t="shared" ca="1" si="284"/>
        <v>0</v>
      </c>
    </row>
    <row r="1274" spans="1:26">
      <c r="A1274" s="3" t="s">
        <v>85</v>
      </c>
      <c r="B1274" s="4">
        <v>43538</v>
      </c>
      <c r="C1274" s="3">
        <v>10390</v>
      </c>
      <c r="D1274" s="3">
        <v>10392</v>
      </c>
      <c r="E1274" s="3">
        <v>10322</v>
      </c>
      <c r="F1274" s="3">
        <v>10338</v>
      </c>
      <c r="G1274" s="3">
        <v>92686</v>
      </c>
      <c r="H1274" s="3">
        <v>1.0449999999999999</v>
      </c>
      <c r="I1274" s="2">
        <f t="shared" si="293"/>
        <v>0</v>
      </c>
      <c r="J1274" s="10">
        <f t="shared" si="295"/>
        <v>25</v>
      </c>
      <c r="K1274" s="10">
        <f t="shared" si="294"/>
        <v>-52</v>
      </c>
      <c r="L1274" s="10">
        <f t="shared" ca="1" si="283"/>
        <v>0</v>
      </c>
      <c r="M1274" s="10">
        <f t="shared" ca="1" si="285"/>
        <v>-1</v>
      </c>
      <c r="N1274" s="30">
        <f t="shared" ca="1" si="286"/>
        <v>0</v>
      </c>
      <c r="O1274" s="10">
        <f t="shared" ca="1" si="287"/>
        <v>2046000</v>
      </c>
      <c r="P1274" s="29">
        <f t="shared" ca="1" si="288"/>
        <v>5400</v>
      </c>
      <c r="Q1274" s="12">
        <f t="shared" ca="1" si="289"/>
        <v>-449900</v>
      </c>
      <c r="R1274" s="10">
        <f t="shared" ca="1" si="290"/>
        <v>0.26392961876832843</v>
      </c>
      <c r="S1274" s="10">
        <f t="shared" ca="1" si="296"/>
        <v>-0.82635056883983926</v>
      </c>
      <c r="T1274" s="14">
        <f t="shared" ca="1" si="297"/>
        <v>-0.19347280761307797</v>
      </c>
      <c r="U1274" s="12">
        <f t="shared" ca="1" si="291"/>
        <v>7900</v>
      </c>
      <c r="V1274" s="14">
        <f t="shared" ca="1" si="292"/>
        <v>-5794.9367088607596</v>
      </c>
      <c r="W1274" s="12">
        <f t="shared" ca="1" si="298"/>
        <v>-3367.0886075949365</v>
      </c>
      <c r="X1274" s="7">
        <f ca="1">AVERAGE(E1274:OFFSET(F1274,-$X$5+1,0))</f>
        <v>10273.700000000001</v>
      </c>
      <c r="Y1274" s="7">
        <f ca="1">AVERAGE(E1274:OFFSET(F1274,-$Y$5+1,0))</f>
        <v>10282.950000000001</v>
      </c>
      <c r="Z1274" s="7">
        <f t="shared" ca="1" si="284"/>
        <v>0</v>
      </c>
    </row>
    <row r="1275" spans="1:26">
      <c r="A1275" s="3" t="s">
        <v>85</v>
      </c>
      <c r="B1275" s="4">
        <v>43539</v>
      </c>
      <c r="C1275" s="3">
        <v>10355</v>
      </c>
      <c r="D1275" s="3">
        <v>10430</v>
      </c>
      <c r="E1275" s="3">
        <v>10347</v>
      </c>
      <c r="F1275" s="3">
        <v>10414</v>
      </c>
      <c r="G1275" s="3">
        <v>116100</v>
      </c>
      <c r="H1275" s="3">
        <v>1.0449999999999999</v>
      </c>
      <c r="I1275" s="2">
        <f t="shared" si="293"/>
        <v>0</v>
      </c>
      <c r="J1275" s="10">
        <f t="shared" si="295"/>
        <v>17</v>
      </c>
      <c r="K1275" s="10">
        <f t="shared" si="294"/>
        <v>59</v>
      </c>
      <c r="L1275" s="10">
        <f t="shared" ca="1" si="283"/>
        <v>1</v>
      </c>
      <c r="M1275" s="10">
        <f t="shared" ca="1" si="285"/>
        <v>-1</v>
      </c>
      <c r="N1275" s="30">
        <f t="shared" ca="1" si="286"/>
        <v>0</v>
      </c>
      <c r="O1275" s="10">
        <f t="shared" ca="1" si="287"/>
        <v>2046000</v>
      </c>
      <c r="P1275" s="29">
        <f t="shared" ca="1" si="288"/>
        <v>-15200</v>
      </c>
      <c r="Q1275" s="12">
        <f t="shared" ca="1" si="289"/>
        <v>-465100</v>
      </c>
      <c r="R1275" s="10">
        <f t="shared" ca="1" si="290"/>
        <v>-0.74291300097751711</v>
      </c>
      <c r="S1275" s="10">
        <f t="shared" ca="1" si="296"/>
        <v>-0.92989985693848354</v>
      </c>
      <c r="T1275" s="14">
        <f t="shared" ca="1" si="297"/>
        <v>-0.20365665678440467</v>
      </c>
      <c r="U1275" s="12">
        <f t="shared" ca="1" si="291"/>
        <v>7900</v>
      </c>
      <c r="V1275" s="14">
        <f t="shared" ca="1" si="292"/>
        <v>-5987.341772151899</v>
      </c>
      <c r="W1275" s="12">
        <f t="shared" ca="1" si="298"/>
        <v>-3367.0886075949365</v>
      </c>
      <c r="X1275" s="7">
        <f ca="1">AVERAGE(E1275:OFFSET(F1275,-$X$5+1,0))</f>
        <v>10313.6</v>
      </c>
      <c r="Y1275" s="7">
        <f ca="1">AVERAGE(E1275:OFFSET(F1275,-$Y$5+1,0))</f>
        <v>10286.65</v>
      </c>
      <c r="Z1275" s="7">
        <f t="shared" ca="1" si="284"/>
        <v>1</v>
      </c>
    </row>
    <row r="1276" spans="1:26">
      <c r="A1276" s="3" t="s">
        <v>85</v>
      </c>
      <c r="B1276" s="4">
        <v>43542</v>
      </c>
      <c r="C1276" s="3">
        <v>10437</v>
      </c>
      <c r="D1276" s="3">
        <v>10487</v>
      </c>
      <c r="E1276" s="3">
        <v>10420</v>
      </c>
      <c r="F1276" s="3">
        <v>10477</v>
      </c>
      <c r="G1276" s="3">
        <v>104180</v>
      </c>
      <c r="H1276" s="3">
        <v>1.0449999999999999</v>
      </c>
      <c r="I1276" s="2">
        <f t="shared" si="293"/>
        <v>0</v>
      </c>
      <c r="J1276" s="10">
        <f t="shared" si="295"/>
        <v>23</v>
      </c>
      <c r="K1276" s="10">
        <f t="shared" si="294"/>
        <v>40</v>
      </c>
      <c r="L1276" s="10">
        <f t="shared" ca="1" si="283"/>
        <v>0</v>
      </c>
      <c r="M1276" s="10">
        <f t="shared" ca="1" si="285"/>
        <v>0</v>
      </c>
      <c r="N1276" s="30">
        <f t="shared" ca="1" si="286"/>
        <v>0</v>
      </c>
      <c r="O1276" s="10">
        <f t="shared" ca="1" si="287"/>
        <v>0</v>
      </c>
      <c r="P1276" s="29">
        <f t="shared" ca="1" si="288"/>
        <v>-5100</v>
      </c>
      <c r="Q1276" s="12">
        <f t="shared" ca="1" si="289"/>
        <v>-470200</v>
      </c>
      <c r="R1276" s="10">
        <f t="shared" ca="1" si="290"/>
        <v>-0.24926686217008798</v>
      </c>
      <c r="S1276" s="10">
        <f t="shared" ca="1" si="296"/>
        <v>-0.96464336807684448</v>
      </c>
      <c r="T1276" s="14">
        <f t="shared" ca="1" si="297"/>
        <v>-0.20718392527124582</v>
      </c>
      <c r="U1276" s="12">
        <f t="shared" ca="1" si="291"/>
        <v>7900</v>
      </c>
      <c r="V1276" s="14">
        <f t="shared" ca="1" si="292"/>
        <v>-6051.8987341772154</v>
      </c>
      <c r="W1276" s="12">
        <f t="shared" ca="1" si="298"/>
        <v>-3367.0886075949365</v>
      </c>
      <c r="X1276" s="7">
        <f ca="1">AVERAGE(E1276:OFFSET(F1276,-$X$5+1,0))</f>
        <v>10363.6</v>
      </c>
      <c r="Y1276" s="7">
        <f ca="1">AVERAGE(E1276:OFFSET(F1276,-$Y$5+1,0))</f>
        <v>10302.15</v>
      </c>
      <c r="Z1276" s="7">
        <f t="shared" ca="1" si="284"/>
        <v>0</v>
      </c>
    </row>
    <row r="1277" spans="1:26">
      <c r="A1277" s="3" t="s">
        <v>85</v>
      </c>
      <c r="B1277" s="4">
        <v>43543</v>
      </c>
      <c r="C1277" s="3">
        <v>10483</v>
      </c>
      <c r="D1277" s="3">
        <v>10511</v>
      </c>
      <c r="E1277" s="3">
        <v>10461</v>
      </c>
      <c r="F1277" s="3">
        <v>10501</v>
      </c>
      <c r="G1277" s="3">
        <v>101703</v>
      </c>
      <c r="H1277" s="3">
        <v>1.0449999999999999</v>
      </c>
      <c r="I1277" s="2">
        <f t="shared" si="293"/>
        <v>0</v>
      </c>
      <c r="J1277" s="10">
        <f t="shared" si="295"/>
        <v>6</v>
      </c>
      <c r="K1277" s="10">
        <f t="shared" si="294"/>
        <v>18</v>
      </c>
      <c r="L1277" s="10">
        <f t="shared" ref="L1277:L1340" ca="1" si="299">Z1277</f>
        <v>0</v>
      </c>
      <c r="M1277" s="10">
        <f t="shared" ca="1" si="285"/>
        <v>0</v>
      </c>
      <c r="N1277" s="30">
        <f t="shared" ca="1" si="286"/>
        <v>0</v>
      </c>
      <c r="O1277" s="10">
        <f t="shared" ca="1" si="287"/>
        <v>0</v>
      </c>
      <c r="P1277" s="29">
        <f t="shared" ca="1" si="288"/>
        <v>0</v>
      </c>
      <c r="Q1277" s="12">
        <f t="shared" ca="1" si="289"/>
        <v>-470200</v>
      </c>
      <c r="R1277" s="10">
        <f t="shared" ca="1" si="290"/>
        <v>0</v>
      </c>
      <c r="S1277" s="10">
        <f t="shared" ca="1" si="296"/>
        <v>-0.76095101846174806</v>
      </c>
      <c r="T1277" s="14">
        <f t="shared" ca="1" si="297"/>
        <v>-0.18626796070175369</v>
      </c>
      <c r="U1277" s="12">
        <f t="shared" ca="1" si="291"/>
        <v>7900</v>
      </c>
      <c r="V1277" s="14">
        <f t="shared" ca="1" si="292"/>
        <v>-6051.8987341772154</v>
      </c>
      <c r="W1277" s="12">
        <f t="shared" ca="1" si="298"/>
        <v>-3367.0886075949365</v>
      </c>
      <c r="X1277" s="7">
        <f ca="1">AVERAGE(E1277:OFFSET(F1277,-$X$5+1,0))</f>
        <v>10395</v>
      </c>
      <c r="Y1277" s="7">
        <f ca="1">AVERAGE(E1277:OFFSET(F1277,-$Y$5+1,0))</f>
        <v>10324.15</v>
      </c>
      <c r="Z1277" s="7">
        <f t="shared" ref="Z1277:Z1340" ca="1" si="300">IF(AND(X1276&lt;=Y1276,X1277&gt;Y1277),1,IF(AND(X1276&gt;Y1276,X1277&lt;=Y1277),-1,0))</f>
        <v>0</v>
      </c>
    </row>
    <row r="1278" spans="1:26">
      <c r="A1278" s="3" t="s">
        <v>85</v>
      </c>
      <c r="B1278" s="4">
        <v>43544</v>
      </c>
      <c r="C1278" s="3">
        <v>10493</v>
      </c>
      <c r="D1278" s="3">
        <v>10549</v>
      </c>
      <c r="E1278" s="3">
        <v>10492</v>
      </c>
      <c r="F1278" s="3">
        <v>10545</v>
      </c>
      <c r="G1278" s="3">
        <v>56166</v>
      </c>
      <c r="H1278" s="3">
        <v>1.0449999999999999</v>
      </c>
      <c r="I1278" s="2">
        <f t="shared" si="293"/>
        <v>1</v>
      </c>
      <c r="J1278" s="10">
        <f t="shared" si="295"/>
        <v>-8</v>
      </c>
      <c r="K1278" s="10">
        <f t="shared" si="294"/>
        <v>52</v>
      </c>
      <c r="L1278" s="10">
        <f t="shared" ca="1" si="299"/>
        <v>0</v>
      </c>
      <c r="M1278" s="10">
        <f t="shared" ref="M1278:M1341" si="301">IF(I1278=1,0,IF(M1277+L1277&gt;=$M$5,$M$5,IF(M1277+L1277&lt;=$M$7,$M$7,M1277+L1277)))</f>
        <v>0</v>
      </c>
      <c r="N1278" s="30">
        <f t="shared" ref="N1278:N1341" si="302">IF(M1278=0,0,IF(M1278&gt;M1277,(C1278+N1277*M1277)*$S$5,0))</f>
        <v>0</v>
      </c>
      <c r="O1278" s="10">
        <f t="shared" ref="O1278:O1341" si="303">IF(M1278=0,0,IF(M1278=M1277,O1277,((M1278-M1277)*C1278+N1277*M1277)*$S$5/M1278))</f>
        <v>0</v>
      </c>
      <c r="P1278" s="29">
        <f t="shared" ref="P1278:P1341" ca="1" si="304">IF(M1277=M1278,(M1277*J1278+M1278*K1278)*$S$5,(M1277*J1278+M1278*K1278)*$S$5-$S$6)</f>
        <v>0</v>
      </c>
      <c r="Q1278" s="12">
        <f t="shared" ref="Q1278:Q1341" ca="1" si="305">P1278+Q1277</f>
        <v>-470200</v>
      </c>
      <c r="R1278" s="10">
        <f t="shared" ref="R1278:R1341" ca="1" si="306">IF(P1278=0,0,IF(O1278=0,100*P1278/O1277,100*P1278/O1278))</f>
        <v>0</v>
      </c>
      <c r="S1278" s="10">
        <f t="shared" ca="1" si="296"/>
        <v>-0.55793991416309008</v>
      </c>
      <c r="T1278" s="14">
        <f t="shared" ca="1" si="297"/>
        <v>-0.16545895093991095</v>
      </c>
      <c r="U1278" s="12">
        <f t="shared" ref="U1278:U1341" ca="1" si="307">IF(Q1278&gt;U1277,Q1278,U1277)</f>
        <v>7900</v>
      </c>
      <c r="V1278" s="14">
        <f t="shared" ref="V1278:V1341" ca="1" si="308">IF(U1278=0,0,100*(Q1278-U1278)/U1278)</f>
        <v>-6051.8987341772154</v>
      </c>
      <c r="W1278" s="12">
        <f t="shared" ca="1" si="298"/>
        <v>-3367.0886075949365</v>
      </c>
      <c r="X1278" s="7">
        <f ca="1">AVERAGE(E1278:OFFSET(F1278,-$X$5+1,0))</f>
        <v>10431.700000000001</v>
      </c>
      <c r="Y1278" s="7">
        <f ca="1">AVERAGE(E1278:OFFSET(F1278,-$Y$5+1,0))</f>
        <v>10345.799999999999</v>
      </c>
      <c r="Z1278" s="7">
        <f t="shared" ca="1" si="300"/>
        <v>0</v>
      </c>
    </row>
    <row r="1279" spans="1:26">
      <c r="A1279" s="3" t="s">
        <v>86</v>
      </c>
      <c r="B1279" s="4">
        <v>43545</v>
      </c>
      <c r="C1279" s="3">
        <v>10538</v>
      </c>
      <c r="D1279" s="3">
        <v>10593</v>
      </c>
      <c r="E1279" s="3">
        <v>10532</v>
      </c>
      <c r="F1279" s="3">
        <v>10590</v>
      </c>
      <c r="G1279" s="3">
        <v>90838</v>
      </c>
      <c r="H1279" s="3">
        <v>1.0449999999999999</v>
      </c>
      <c r="I1279" s="2">
        <f t="shared" si="293"/>
        <v>0</v>
      </c>
      <c r="J1279" s="10">
        <f t="shared" si="295"/>
        <v>-7</v>
      </c>
      <c r="K1279" s="10">
        <f t="shared" si="294"/>
        <v>52</v>
      </c>
      <c r="L1279" s="10">
        <f t="shared" ca="1" si="299"/>
        <v>0</v>
      </c>
      <c r="M1279" s="10">
        <f t="shared" ca="1" si="301"/>
        <v>0</v>
      </c>
      <c r="N1279" s="30">
        <f t="shared" ca="1" si="302"/>
        <v>0</v>
      </c>
      <c r="O1279" s="10">
        <f t="shared" ca="1" si="303"/>
        <v>0</v>
      </c>
      <c r="P1279" s="29">
        <f t="shared" ca="1" si="304"/>
        <v>0</v>
      </c>
      <c r="Q1279" s="12">
        <f t="shared" ca="1" si="305"/>
        <v>-470200</v>
      </c>
      <c r="R1279" s="10">
        <f t="shared" ca="1" si="306"/>
        <v>0</v>
      </c>
      <c r="S1279" s="10">
        <f t="shared" ca="1" si="296"/>
        <v>-0.78820083111928607</v>
      </c>
      <c r="T1279" s="14">
        <f t="shared" ca="1" si="297"/>
        <v>-0.19189577784503284</v>
      </c>
      <c r="U1279" s="12">
        <f t="shared" ca="1" si="307"/>
        <v>7900</v>
      </c>
      <c r="V1279" s="14">
        <f t="shared" ca="1" si="308"/>
        <v>-6051.8987341772154</v>
      </c>
      <c r="W1279" s="12">
        <f t="shared" ca="1" si="298"/>
        <v>-3367.0886075949365</v>
      </c>
      <c r="X1279" s="7">
        <f ca="1">AVERAGE(E1279:OFFSET(F1279,-$X$5+1,0))</f>
        <v>10477.9</v>
      </c>
      <c r="Y1279" s="7">
        <f ca="1">AVERAGE(E1279:OFFSET(F1279,-$Y$5+1,0))</f>
        <v>10375.799999999999</v>
      </c>
      <c r="Z1279" s="7">
        <f t="shared" ca="1" si="300"/>
        <v>0</v>
      </c>
    </row>
    <row r="1280" spans="1:26">
      <c r="A1280" s="3" t="s">
        <v>86</v>
      </c>
      <c r="B1280" s="4">
        <v>43546</v>
      </c>
      <c r="C1280" s="3">
        <v>10645</v>
      </c>
      <c r="D1280" s="3">
        <v>10659</v>
      </c>
      <c r="E1280" s="3">
        <v>10560</v>
      </c>
      <c r="F1280" s="3">
        <v>10613</v>
      </c>
      <c r="G1280" s="3">
        <v>107634</v>
      </c>
      <c r="H1280" s="3">
        <v>1.0449999999999999</v>
      </c>
      <c r="I1280" s="2">
        <f t="shared" si="293"/>
        <v>0</v>
      </c>
      <c r="J1280" s="10">
        <f t="shared" si="295"/>
        <v>55</v>
      </c>
      <c r="K1280" s="10">
        <f t="shared" si="294"/>
        <v>-32</v>
      </c>
      <c r="L1280" s="10">
        <f t="shared" ca="1" si="299"/>
        <v>0</v>
      </c>
      <c r="M1280" s="10">
        <f t="shared" ca="1" si="301"/>
        <v>0</v>
      </c>
      <c r="N1280" s="30">
        <f t="shared" ca="1" si="302"/>
        <v>0</v>
      </c>
      <c r="O1280" s="10">
        <f t="shared" ca="1" si="303"/>
        <v>0</v>
      </c>
      <c r="P1280" s="29">
        <f t="shared" ca="1" si="304"/>
        <v>0</v>
      </c>
      <c r="Q1280" s="12">
        <f t="shared" ca="1" si="305"/>
        <v>-470200</v>
      </c>
      <c r="R1280" s="10">
        <f t="shared" ca="1" si="306"/>
        <v>0</v>
      </c>
      <c r="S1280" s="10">
        <f t="shared" ca="1" si="296"/>
        <v>-0.76095101846174806</v>
      </c>
      <c r="T1280" s="14">
        <f t="shared" ca="1" si="297"/>
        <v>-0.21452806895894252</v>
      </c>
      <c r="U1280" s="12">
        <f t="shared" ca="1" si="307"/>
        <v>7900</v>
      </c>
      <c r="V1280" s="14">
        <f t="shared" ca="1" si="308"/>
        <v>-6051.8987341772154</v>
      </c>
      <c r="W1280" s="12">
        <f t="shared" ca="1" si="298"/>
        <v>-3367.0886075949365</v>
      </c>
      <c r="X1280" s="7">
        <f ca="1">AVERAGE(E1280:OFFSET(F1280,-$X$5+1,0))</f>
        <v>10519.1</v>
      </c>
      <c r="Y1280" s="7">
        <f ca="1">AVERAGE(E1280:OFFSET(F1280,-$Y$5+1,0))</f>
        <v>10416.35</v>
      </c>
      <c r="Z1280" s="7">
        <f t="shared" ca="1" si="300"/>
        <v>0</v>
      </c>
    </row>
    <row r="1281" spans="1:26">
      <c r="A1281" s="3" t="s">
        <v>86</v>
      </c>
      <c r="B1281" s="4">
        <v>43549</v>
      </c>
      <c r="C1281" s="3">
        <v>10478</v>
      </c>
      <c r="D1281" s="3">
        <v>10486</v>
      </c>
      <c r="E1281" s="3">
        <v>10423</v>
      </c>
      <c r="F1281" s="3">
        <v>10438</v>
      </c>
      <c r="G1281" s="3">
        <v>100215</v>
      </c>
      <c r="H1281" s="3">
        <v>1.0449999999999999</v>
      </c>
      <c r="I1281" s="2">
        <f t="shared" si="293"/>
        <v>0</v>
      </c>
      <c r="J1281" s="10">
        <f t="shared" si="295"/>
        <v>-135</v>
      </c>
      <c r="K1281" s="10">
        <f t="shared" si="294"/>
        <v>-40</v>
      </c>
      <c r="L1281" s="10">
        <f t="shared" ca="1" si="299"/>
        <v>0</v>
      </c>
      <c r="M1281" s="10">
        <f t="shared" ca="1" si="301"/>
        <v>0</v>
      </c>
      <c r="N1281" s="30">
        <f t="shared" ca="1" si="302"/>
        <v>0</v>
      </c>
      <c r="O1281" s="10">
        <f t="shared" ca="1" si="303"/>
        <v>0</v>
      </c>
      <c r="P1281" s="29">
        <f t="shared" ca="1" si="304"/>
        <v>0</v>
      </c>
      <c r="Q1281" s="12">
        <f t="shared" ca="1" si="305"/>
        <v>-470200</v>
      </c>
      <c r="R1281" s="10">
        <f t="shared" ca="1" si="306"/>
        <v>0</v>
      </c>
      <c r="S1281" s="10">
        <f t="shared" ca="1" si="296"/>
        <v>-0.65331425846447311</v>
      </c>
      <c r="T1281" s="14">
        <f t="shared" ca="1" si="297"/>
        <v>-0.20309240439949819</v>
      </c>
      <c r="U1281" s="12">
        <f t="shared" ca="1" si="307"/>
        <v>7900</v>
      </c>
      <c r="V1281" s="14">
        <f t="shared" ca="1" si="308"/>
        <v>-6051.8987341772154</v>
      </c>
      <c r="W1281" s="12">
        <f t="shared" ca="1" si="298"/>
        <v>-3367.0886075949365</v>
      </c>
      <c r="X1281" s="7">
        <f ca="1">AVERAGE(E1281:OFFSET(F1281,-$X$5+1,0))</f>
        <v>10515.5</v>
      </c>
      <c r="Y1281" s="7">
        <f ca="1">AVERAGE(E1281:OFFSET(F1281,-$Y$5+1,0))</f>
        <v>10439.549999999999</v>
      </c>
      <c r="Z1281" s="7">
        <f t="shared" ca="1" si="300"/>
        <v>0</v>
      </c>
    </row>
    <row r="1282" spans="1:26">
      <c r="A1282" s="3" t="s">
        <v>86</v>
      </c>
      <c r="B1282" s="4">
        <v>43550</v>
      </c>
      <c r="C1282" s="3">
        <v>10482</v>
      </c>
      <c r="D1282" s="3">
        <v>10538</v>
      </c>
      <c r="E1282" s="3">
        <v>10480</v>
      </c>
      <c r="F1282" s="3">
        <v>10522</v>
      </c>
      <c r="G1282" s="3">
        <v>87187</v>
      </c>
      <c r="H1282" s="3">
        <v>1.0449999999999999</v>
      </c>
      <c r="I1282" s="2">
        <f t="shared" si="293"/>
        <v>0</v>
      </c>
      <c r="J1282" s="10">
        <f t="shared" si="295"/>
        <v>44</v>
      </c>
      <c r="K1282" s="10">
        <f t="shared" si="294"/>
        <v>40</v>
      </c>
      <c r="L1282" s="10">
        <f t="shared" ca="1" si="299"/>
        <v>0</v>
      </c>
      <c r="M1282" s="10">
        <f t="shared" ca="1" si="301"/>
        <v>0</v>
      </c>
      <c r="N1282" s="30">
        <f t="shared" ca="1" si="302"/>
        <v>0</v>
      </c>
      <c r="O1282" s="10">
        <f t="shared" ca="1" si="303"/>
        <v>0</v>
      </c>
      <c r="P1282" s="29">
        <f t="shared" ca="1" si="304"/>
        <v>0</v>
      </c>
      <c r="Q1282" s="12">
        <f t="shared" ca="1" si="305"/>
        <v>-470200</v>
      </c>
      <c r="R1282" s="10">
        <f t="shared" ca="1" si="306"/>
        <v>0</v>
      </c>
      <c r="S1282" s="10">
        <f t="shared" ca="1" si="296"/>
        <v>-0.64377682403433478</v>
      </c>
      <c r="T1282" s="14">
        <f t="shared" ca="1" si="297"/>
        <v>-0.20195123911469892</v>
      </c>
      <c r="U1282" s="12">
        <f t="shared" ca="1" si="307"/>
        <v>7900</v>
      </c>
      <c r="V1282" s="14">
        <f t="shared" ca="1" si="308"/>
        <v>-6051.8987341772154</v>
      </c>
      <c r="W1282" s="12">
        <f t="shared" ca="1" si="298"/>
        <v>-3367.0886075949365</v>
      </c>
      <c r="X1282" s="7">
        <f ca="1">AVERAGE(E1282:OFFSET(F1282,-$X$5+1,0))</f>
        <v>10519.5</v>
      </c>
      <c r="Y1282" s="7">
        <f ca="1">AVERAGE(E1282:OFFSET(F1282,-$Y$5+1,0))</f>
        <v>10457.25</v>
      </c>
      <c r="Z1282" s="7">
        <f t="shared" ca="1" si="300"/>
        <v>0</v>
      </c>
    </row>
    <row r="1283" spans="1:26">
      <c r="A1283" s="3" t="s">
        <v>86</v>
      </c>
      <c r="B1283" s="4">
        <v>43551</v>
      </c>
      <c r="C1283" s="3">
        <v>10506</v>
      </c>
      <c r="D1283" s="3">
        <v>10533</v>
      </c>
      <c r="E1283" s="3">
        <v>10473</v>
      </c>
      <c r="F1283" s="3">
        <v>10520</v>
      </c>
      <c r="G1283" s="3">
        <v>88500</v>
      </c>
      <c r="H1283" s="3">
        <v>1.0449999999999999</v>
      </c>
      <c r="I1283" s="2">
        <f t="shared" si="293"/>
        <v>0</v>
      </c>
      <c r="J1283" s="10">
        <f t="shared" si="295"/>
        <v>-16</v>
      </c>
      <c r="K1283" s="10">
        <f t="shared" si="294"/>
        <v>14</v>
      </c>
      <c r="L1283" s="10">
        <f t="shared" ca="1" si="299"/>
        <v>0</v>
      </c>
      <c r="M1283" s="10">
        <f t="shared" ca="1" si="301"/>
        <v>0</v>
      </c>
      <c r="N1283" s="30">
        <f t="shared" ca="1" si="302"/>
        <v>0</v>
      </c>
      <c r="O1283" s="10">
        <f t="shared" ca="1" si="303"/>
        <v>0</v>
      </c>
      <c r="P1283" s="29">
        <f t="shared" ca="1" si="304"/>
        <v>0</v>
      </c>
      <c r="Q1283" s="12">
        <f t="shared" ca="1" si="305"/>
        <v>-470200</v>
      </c>
      <c r="R1283" s="10">
        <f t="shared" ca="1" si="306"/>
        <v>0</v>
      </c>
      <c r="S1283" s="10">
        <f t="shared" ca="1" si="296"/>
        <v>-0.72688875263982555</v>
      </c>
      <c r="T1283" s="14">
        <f t="shared" ca="1" si="297"/>
        <v>-0.21507143048422855</v>
      </c>
      <c r="U1283" s="12">
        <f t="shared" ca="1" si="307"/>
        <v>7900</v>
      </c>
      <c r="V1283" s="14">
        <f t="shared" ca="1" si="308"/>
        <v>-6051.8987341772154</v>
      </c>
      <c r="W1283" s="12">
        <f t="shared" ca="1" si="298"/>
        <v>-3367.0886075949365</v>
      </c>
      <c r="X1283" s="7">
        <f ca="1">AVERAGE(E1283:OFFSET(F1283,-$X$5+1,0))</f>
        <v>10515.1</v>
      </c>
      <c r="Y1283" s="7">
        <f ca="1">AVERAGE(E1283:OFFSET(F1283,-$Y$5+1,0))</f>
        <v>10473.4</v>
      </c>
      <c r="Z1283" s="7">
        <f t="shared" ca="1" si="300"/>
        <v>0</v>
      </c>
    </row>
    <row r="1284" spans="1:26">
      <c r="A1284" s="3" t="s">
        <v>86</v>
      </c>
      <c r="B1284" s="4">
        <v>43552</v>
      </c>
      <c r="C1284" s="3">
        <v>10450</v>
      </c>
      <c r="D1284" s="3">
        <v>10515</v>
      </c>
      <c r="E1284" s="3">
        <v>10444</v>
      </c>
      <c r="F1284" s="3">
        <v>10493</v>
      </c>
      <c r="G1284" s="3">
        <v>83464</v>
      </c>
      <c r="H1284" s="3">
        <v>1.0449999999999999</v>
      </c>
      <c r="I1284" s="2">
        <f t="shared" ref="I1284:I1347" si="309">IF(A1284=A1285,0,1)</f>
        <v>0</v>
      </c>
      <c r="J1284" s="10">
        <f t="shared" si="295"/>
        <v>-70</v>
      </c>
      <c r="K1284" s="10">
        <f t="shared" ref="K1284:K1347" si="310">F1284-C1284</f>
        <v>43</v>
      </c>
      <c r="L1284" s="10">
        <f t="shared" ca="1" si="299"/>
        <v>0</v>
      </c>
      <c r="M1284" s="10">
        <f t="shared" ca="1" si="301"/>
        <v>0</v>
      </c>
      <c r="N1284" s="30">
        <f t="shared" ca="1" si="302"/>
        <v>0</v>
      </c>
      <c r="O1284" s="10">
        <f t="shared" ca="1" si="303"/>
        <v>0</v>
      </c>
      <c r="P1284" s="29">
        <f t="shared" ca="1" si="304"/>
        <v>0</v>
      </c>
      <c r="Q1284" s="12">
        <f t="shared" ca="1" si="305"/>
        <v>-470200</v>
      </c>
      <c r="R1284" s="10">
        <f t="shared" ca="1" si="306"/>
        <v>0</v>
      </c>
      <c r="S1284" s="10">
        <f t="shared" ca="1" si="296"/>
        <v>-0.83725049390285444</v>
      </c>
      <c r="T1284" s="14">
        <f t="shared" ca="1" si="297"/>
        <v>-0.22880590406036594</v>
      </c>
      <c r="U1284" s="12">
        <f t="shared" ca="1" si="307"/>
        <v>7900</v>
      </c>
      <c r="V1284" s="14">
        <f t="shared" ca="1" si="308"/>
        <v>-6051.8987341772154</v>
      </c>
      <c r="W1284" s="12">
        <f t="shared" ca="1" si="298"/>
        <v>-3367.0886075949365</v>
      </c>
      <c r="X1284" s="7">
        <f ca="1">AVERAGE(E1284:OFFSET(F1284,-$X$5+1,0))</f>
        <v>10496.6</v>
      </c>
      <c r="Y1284" s="7">
        <f ca="1">AVERAGE(E1284:OFFSET(F1284,-$Y$5+1,0))</f>
        <v>10487.25</v>
      </c>
      <c r="Z1284" s="7">
        <f t="shared" ca="1" si="300"/>
        <v>0</v>
      </c>
    </row>
    <row r="1285" spans="1:26">
      <c r="A1285" s="3" t="s">
        <v>86</v>
      </c>
      <c r="B1285" s="4">
        <v>43553</v>
      </c>
      <c r="C1285" s="3">
        <v>10551</v>
      </c>
      <c r="D1285" s="3">
        <v>10600</v>
      </c>
      <c r="E1285" s="3">
        <v>10476</v>
      </c>
      <c r="F1285" s="3">
        <v>10598</v>
      </c>
      <c r="G1285" s="3">
        <v>128163</v>
      </c>
      <c r="H1285" s="3">
        <v>1.0449999999999999</v>
      </c>
      <c r="I1285" s="2">
        <f t="shared" si="309"/>
        <v>0</v>
      </c>
      <c r="J1285" s="10">
        <f t="shared" ref="J1285:J1348" si="311">C1285-F1284</f>
        <v>58</v>
      </c>
      <c r="K1285" s="10">
        <f t="shared" si="310"/>
        <v>47</v>
      </c>
      <c r="L1285" s="10">
        <f t="shared" ca="1" si="299"/>
        <v>-1</v>
      </c>
      <c r="M1285" s="10">
        <f t="shared" ca="1" si="301"/>
        <v>0</v>
      </c>
      <c r="N1285" s="30">
        <f t="shared" ca="1" si="302"/>
        <v>0</v>
      </c>
      <c r="O1285" s="10">
        <f t="shared" ca="1" si="303"/>
        <v>0</v>
      </c>
      <c r="P1285" s="29">
        <f t="shared" ca="1" si="304"/>
        <v>0</v>
      </c>
      <c r="Q1285" s="12">
        <f t="shared" ca="1" si="305"/>
        <v>-470200</v>
      </c>
      <c r="R1285" s="10">
        <f t="shared" ca="1" si="306"/>
        <v>0</v>
      </c>
      <c r="S1285" s="10">
        <f t="shared" ca="1" si="296"/>
        <v>-0.76026977314530964</v>
      </c>
      <c r="T1285" s="14">
        <f t="shared" ca="1" si="297"/>
        <v>-0.22527262989236851</v>
      </c>
      <c r="U1285" s="12">
        <f t="shared" ca="1" si="307"/>
        <v>7900</v>
      </c>
      <c r="V1285" s="14">
        <f t="shared" ca="1" si="308"/>
        <v>-6051.8987341772154</v>
      </c>
      <c r="W1285" s="12">
        <f t="shared" ca="1" si="298"/>
        <v>-3367.0886075949365</v>
      </c>
      <c r="X1285" s="7">
        <f ca="1">AVERAGE(E1285:OFFSET(F1285,-$X$5+1,0))</f>
        <v>10486.7</v>
      </c>
      <c r="Y1285" s="7">
        <f ca="1">AVERAGE(E1285:OFFSET(F1285,-$Y$5+1,0))</f>
        <v>10502.9</v>
      </c>
      <c r="Z1285" s="7">
        <f t="shared" ca="1" si="300"/>
        <v>-1</v>
      </c>
    </row>
    <row r="1286" spans="1:26">
      <c r="A1286" s="3" t="s">
        <v>86</v>
      </c>
      <c r="B1286" s="4">
        <v>43556</v>
      </c>
      <c r="C1286" s="3">
        <v>10679</v>
      </c>
      <c r="D1286" s="3">
        <v>10715</v>
      </c>
      <c r="E1286" s="3">
        <v>10615</v>
      </c>
      <c r="F1286" s="3">
        <v>10638</v>
      </c>
      <c r="G1286" s="3">
        <v>114429</v>
      </c>
      <c r="H1286" s="3">
        <v>1.0449999999999999</v>
      </c>
      <c r="I1286" s="2">
        <f t="shared" si="309"/>
        <v>0</v>
      </c>
      <c r="J1286" s="10">
        <f t="shared" si="311"/>
        <v>81</v>
      </c>
      <c r="K1286" s="10">
        <f t="shared" si="310"/>
        <v>-41</v>
      </c>
      <c r="L1286" s="10">
        <f t="shared" ca="1" si="299"/>
        <v>1</v>
      </c>
      <c r="M1286" s="10">
        <f t="shared" ca="1" si="301"/>
        <v>-1</v>
      </c>
      <c r="N1286" s="30">
        <f t="shared" ca="1" si="302"/>
        <v>0</v>
      </c>
      <c r="O1286" s="10">
        <f t="shared" ca="1" si="303"/>
        <v>2135800</v>
      </c>
      <c r="P1286" s="29">
        <f t="shared" ca="1" si="304"/>
        <v>7700</v>
      </c>
      <c r="Q1286" s="12">
        <f t="shared" ca="1" si="305"/>
        <v>-462500</v>
      </c>
      <c r="R1286" s="10">
        <f t="shared" ca="1" si="306"/>
        <v>0.36052064800074912</v>
      </c>
      <c r="S1286" s="10">
        <f t="shared" ca="1" si="296"/>
        <v>-0.70781388377954901</v>
      </c>
      <c r="T1286" s="14">
        <f t="shared" ca="1" si="297"/>
        <v>-0.21849974283063664</v>
      </c>
      <c r="U1286" s="12">
        <f t="shared" ca="1" si="307"/>
        <v>7900</v>
      </c>
      <c r="V1286" s="14">
        <f t="shared" ca="1" si="308"/>
        <v>-5954.4303797468356</v>
      </c>
      <c r="W1286" s="12">
        <f t="shared" ca="1" si="298"/>
        <v>-3367.0886075949365</v>
      </c>
      <c r="X1286" s="7">
        <f ca="1">AVERAGE(E1286:OFFSET(F1286,-$X$5+1,0))</f>
        <v>10525.9</v>
      </c>
      <c r="Y1286" s="7">
        <f ca="1">AVERAGE(E1286:OFFSET(F1286,-$Y$5+1,0))</f>
        <v>10520.7</v>
      </c>
      <c r="Z1286" s="7">
        <f t="shared" ca="1" si="300"/>
        <v>1</v>
      </c>
    </row>
    <row r="1287" spans="1:26">
      <c r="A1287" s="3" t="s">
        <v>86</v>
      </c>
      <c r="B1287" s="4">
        <v>43557</v>
      </c>
      <c r="C1287" s="3">
        <v>10688</v>
      </c>
      <c r="D1287" s="3">
        <v>10704</v>
      </c>
      <c r="E1287" s="3">
        <v>10668</v>
      </c>
      <c r="F1287" s="3">
        <v>10676</v>
      </c>
      <c r="G1287" s="3">
        <v>78347</v>
      </c>
      <c r="H1287" s="3">
        <v>1.0449999999999999</v>
      </c>
      <c r="I1287" s="2">
        <f t="shared" si="309"/>
        <v>0</v>
      </c>
      <c r="J1287" s="10">
        <f t="shared" si="311"/>
        <v>50</v>
      </c>
      <c r="K1287" s="10">
        <f t="shared" si="310"/>
        <v>-12</v>
      </c>
      <c r="L1287" s="10">
        <f t="shared" ca="1" si="299"/>
        <v>0</v>
      </c>
      <c r="M1287" s="10">
        <f t="shared" ca="1" si="301"/>
        <v>0</v>
      </c>
      <c r="N1287" s="30">
        <f t="shared" ca="1" si="302"/>
        <v>0</v>
      </c>
      <c r="O1287" s="10">
        <f t="shared" ca="1" si="303"/>
        <v>0</v>
      </c>
      <c r="P1287" s="29">
        <f t="shared" ca="1" si="304"/>
        <v>-10500</v>
      </c>
      <c r="Q1287" s="12">
        <f t="shared" ca="1" si="305"/>
        <v>-473000</v>
      </c>
      <c r="R1287" s="10">
        <f t="shared" ca="1" si="306"/>
        <v>-0.49161906545556699</v>
      </c>
      <c r="S1287" s="10">
        <f t="shared" ca="1" si="296"/>
        <v>-0.77934464200558617</v>
      </c>
      <c r="T1287" s="14">
        <f t="shared" ca="1" si="297"/>
        <v>-0.22707907444649189</v>
      </c>
      <c r="U1287" s="12">
        <f t="shared" ca="1" si="307"/>
        <v>7900</v>
      </c>
      <c r="V1287" s="14">
        <f t="shared" ca="1" si="308"/>
        <v>-6087.341772151899</v>
      </c>
      <c r="W1287" s="12">
        <f t="shared" ca="1" si="298"/>
        <v>-3367.0886075949365</v>
      </c>
      <c r="X1287" s="7">
        <f ca="1">AVERAGE(E1287:OFFSET(F1287,-$X$5+1,0))</f>
        <v>10560.1</v>
      </c>
      <c r="Y1287" s="7">
        <f ca="1">AVERAGE(E1287:OFFSET(F1287,-$Y$5+1,0))</f>
        <v>10539.8</v>
      </c>
      <c r="Z1287" s="7">
        <f t="shared" ca="1" si="300"/>
        <v>0</v>
      </c>
    </row>
    <row r="1288" spans="1:26">
      <c r="A1288" s="3" t="s">
        <v>86</v>
      </c>
      <c r="B1288" s="4">
        <v>43558</v>
      </c>
      <c r="C1288" s="3">
        <v>10688</v>
      </c>
      <c r="D1288" s="3">
        <v>10728</v>
      </c>
      <c r="E1288" s="3">
        <v>10671</v>
      </c>
      <c r="F1288" s="3">
        <v>10693</v>
      </c>
      <c r="G1288" s="3">
        <v>93675</v>
      </c>
      <c r="H1288" s="3">
        <v>1.0449999999999999</v>
      </c>
      <c r="I1288" s="2">
        <f t="shared" si="309"/>
        <v>0</v>
      </c>
      <c r="J1288" s="10">
        <f t="shared" si="311"/>
        <v>12</v>
      </c>
      <c r="K1288" s="10">
        <f t="shared" si="310"/>
        <v>5</v>
      </c>
      <c r="L1288" s="10">
        <f t="shared" ca="1" si="299"/>
        <v>0</v>
      </c>
      <c r="M1288" s="10">
        <f t="shared" ca="1" si="301"/>
        <v>0</v>
      </c>
      <c r="N1288" s="30">
        <f t="shared" ca="1" si="302"/>
        <v>0</v>
      </c>
      <c r="O1288" s="10">
        <f t="shared" ca="1" si="303"/>
        <v>0</v>
      </c>
      <c r="P1288" s="29">
        <f t="shared" ca="1" si="304"/>
        <v>0</v>
      </c>
      <c r="Q1288" s="12">
        <f t="shared" ca="1" si="305"/>
        <v>-473000</v>
      </c>
      <c r="R1288" s="10">
        <f t="shared" ca="1" si="306"/>
        <v>0</v>
      </c>
      <c r="S1288" s="10">
        <f t="shared" ca="1" si="296"/>
        <v>-0.84406294706723894</v>
      </c>
      <c r="T1288" s="14">
        <f t="shared" ca="1" si="297"/>
        <v>-0.2351346646429745</v>
      </c>
      <c r="U1288" s="12">
        <f t="shared" ca="1" si="307"/>
        <v>7900</v>
      </c>
      <c r="V1288" s="14">
        <f t="shared" ca="1" si="308"/>
        <v>-6087.341772151899</v>
      </c>
      <c r="W1288" s="12">
        <f t="shared" ca="1" si="298"/>
        <v>-3367.0886075949365</v>
      </c>
      <c r="X1288" s="7">
        <f ca="1">AVERAGE(E1288:OFFSET(F1288,-$X$5+1,0))</f>
        <v>10597.2</v>
      </c>
      <c r="Y1288" s="7">
        <f ca="1">AVERAGE(E1288:OFFSET(F1288,-$Y$5+1,0))</f>
        <v>10556.15</v>
      </c>
      <c r="Z1288" s="7">
        <f t="shared" ca="1" si="300"/>
        <v>0</v>
      </c>
    </row>
    <row r="1289" spans="1:26">
      <c r="A1289" s="3" t="s">
        <v>86</v>
      </c>
      <c r="B1289" s="4">
        <v>43563</v>
      </c>
      <c r="C1289" s="3">
        <v>10779</v>
      </c>
      <c r="D1289" s="3">
        <v>10795</v>
      </c>
      <c r="E1289" s="3">
        <v>10745</v>
      </c>
      <c r="F1289" s="3">
        <v>10770</v>
      </c>
      <c r="G1289" s="3">
        <v>92630</v>
      </c>
      <c r="H1289" s="3">
        <v>1.0449999999999999</v>
      </c>
      <c r="I1289" s="2">
        <f t="shared" si="309"/>
        <v>0</v>
      </c>
      <c r="J1289" s="10">
        <f t="shared" si="311"/>
        <v>86</v>
      </c>
      <c r="K1289" s="10">
        <f t="shared" si="310"/>
        <v>-9</v>
      </c>
      <c r="L1289" s="10">
        <f t="shared" ca="1" si="299"/>
        <v>0</v>
      </c>
      <c r="M1289" s="10">
        <f t="shared" ca="1" si="301"/>
        <v>0</v>
      </c>
      <c r="N1289" s="30">
        <f t="shared" ca="1" si="302"/>
        <v>0</v>
      </c>
      <c r="O1289" s="10">
        <f t="shared" ca="1" si="303"/>
        <v>0</v>
      </c>
      <c r="P1289" s="29">
        <f t="shared" ca="1" si="304"/>
        <v>0</v>
      </c>
      <c r="Q1289" s="12">
        <f t="shared" ca="1" si="305"/>
        <v>-473000</v>
      </c>
      <c r="R1289" s="10">
        <f t="shared" ca="1" si="306"/>
        <v>0</v>
      </c>
      <c r="S1289" s="10">
        <f t="shared" ca="1" si="296"/>
        <v>-0.80931943592887801</v>
      </c>
      <c r="T1289" s="14">
        <f t="shared" ca="1" si="297"/>
        <v>-0.23212736661818831</v>
      </c>
      <c r="U1289" s="12">
        <f t="shared" ca="1" si="307"/>
        <v>7900</v>
      </c>
      <c r="V1289" s="14">
        <f t="shared" ca="1" si="308"/>
        <v>-6087.341772151899</v>
      </c>
      <c r="W1289" s="12">
        <f t="shared" ca="1" si="298"/>
        <v>-3367.0886075949365</v>
      </c>
      <c r="X1289" s="7">
        <f ca="1">AVERAGE(E1289:OFFSET(F1289,-$X$5+1,0))</f>
        <v>10655</v>
      </c>
      <c r="Y1289" s="7">
        <f ca="1">AVERAGE(E1289:OFFSET(F1289,-$Y$5+1,0))</f>
        <v>10575.8</v>
      </c>
      <c r="Z1289" s="7">
        <f t="shared" ca="1" si="300"/>
        <v>0</v>
      </c>
    </row>
    <row r="1290" spans="1:26">
      <c r="A1290" s="3" t="s">
        <v>86</v>
      </c>
      <c r="B1290" s="4">
        <v>43564</v>
      </c>
      <c r="C1290" s="3">
        <v>10801</v>
      </c>
      <c r="D1290" s="3">
        <v>10848</v>
      </c>
      <c r="E1290" s="3">
        <v>10782</v>
      </c>
      <c r="F1290" s="3">
        <v>10843</v>
      </c>
      <c r="G1290" s="3">
        <v>70930</v>
      </c>
      <c r="H1290" s="3">
        <v>1.0449999999999999</v>
      </c>
      <c r="I1290" s="2">
        <f t="shared" si="309"/>
        <v>0</v>
      </c>
      <c r="J1290" s="10">
        <f t="shared" si="311"/>
        <v>31</v>
      </c>
      <c r="K1290" s="10">
        <f t="shared" si="310"/>
        <v>42</v>
      </c>
      <c r="L1290" s="10">
        <f t="shared" ca="1" si="299"/>
        <v>0</v>
      </c>
      <c r="M1290" s="10">
        <f t="shared" ca="1" si="301"/>
        <v>0</v>
      </c>
      <c r="N1290" s="30">
        <f t="shared" ca="1" si="302"/>
        <v>0</v>
      </c>
      <c r="O1290" s="10">
        <f t="shared" ca="1" si="303"/>
        <v>0</v>
      </c>
      <c r="P1290" s="29">
        <f t="shared" ca="1" si="304"/>
        <v>0</v>
      </c>
      <c r="Q1290" s="12">
        <f t="shared" ca="1" si="305"/>
        <v>-473000</v>
      </c>
      <c r="R1290" s="10">
        <f t="shared" ca="1" si="306"/>
        <v>0</v>
      </c>
      <c r="S1290" s="10">
        <f t="shared" ca="1" si="296"/>
        <v>-0.80931943592887801</v>
      </c>
      <c r="T1290" s="14">
        <f t="shared" ca="1" si="297"/>
        <v>-0.23251718175929906</v>
      </c>
      <c r="U1290" s="12">
        <f t="shared" ca="1" si="307"/>
        <v>7900</v>
      </c>
      <c r="V1290" s="14">
        <f t="shared" ca="1" si="308"/>
        <v>-6087.341772151899</v>
      </c>
      <c r="W1290" s="12">
        <f t="shared" ca="1" si="298"/>
        <v>-3367.0886075949365</v>
      </c>
      <c r="X1290" s="7">
        <f ca="1">AVERAGE(E1290:OFFSET(F1290,-$X$5+1,0))</f>
        <v>10710.1</v>
      </c>
      <c r="Y1290" s="7">
        <f ca="1">AVERAGE(E1290:OFFSET(F1290,-$Y$5+1,0))</f>
        <v>10598.4</v>
      </c>
      <c r="Z1290" s="7">
        <f t="shared" ca="1" si="300"/>
        <v>0</v>
      </c>
    </row>
    <row r="1291" spans="1:26">
      <c r="A1291" s="3" t="s">
        <v>86</v>
      </c>
      <c r="B1291" s="4">
        <v>43565</v>
      </c>
      <c r="C1291" s="3">
        <v>10820</v>
      </c>
      <c r="D1291" s="3">
        <v>10869</v>
      </c>
      <c r="E1291" s="3">
        <v>10812</v>
      </c>
      <c r="F1291" s="3">
        <v>10862</v>
      </c>
      <c r="G1291" s="3">
        <v>69994</v>
      </c>
      <c r="H1291" s="3">
        <v>1.0449999999999999</v>
      </c>
      <c r="I1291" s="2">
        <f t="shared" si="309"/>
        <v>0</v>
      </c>
      <c r="J1291" s="10">
        <f t="shared" si="311"/>
        <v>-23</v>
      </c>
      <c r="K1291" s="10">
        <f t="shared" si="310"/>
        <v>42</v>
      </c>
      <c r="L1291" s="10">
        <f t="shared" ca="1" si="299"/>
        <v>0</v>
      </c>
      <c r="M1291" s="10">
        <f t="shared" ca="1" si="301"/>
        <v>0</v>
      </c>
      <c r="N1291" s="30">
        <f t="shared" ca="1" si="302"/>
        <v>0</v>
      </c>
      <c r="O1291" s="10">
        <f t="shared" ca="1" si="303"/>
        <v>0</v>
      </c>
      <c r="P1291" s="29">
        <f t="shared" ca="1" si="304"/>
        <v>0</v>
      </c>
      <c r="Q1291" s="12">
        <f t="shared" ca="1" si="305"/>
        <v>-473000</v>
      </c>
      <c r="R1291" s="10">
        <f t="shared" ca="1" si="306"/>
        <v>0</v>
      </c>
      <c r="S1291" s="10">
        <f t="shared" ca="1" si="296"/>
        <v>-0.80931943592887801</v>
      </c>
      <c r="T1291" s="14">
        <f t="shared" ca="1" si="297"/>
        <v>-0.2328830572861065</v>
      </c>
      <c r="U1291" s="12">
        <f t="shared" ca="1" si="307"/>
        <v>7900</v>
      </c>
      <c r="V1291" s="14">
        <f t="shared" ca="1" si="308"/>
        <v>-6087.341772151899</v>
      </c>
      <c r="W1291" s="12">
        <f t="shared" ca="1" si="298"/>
        <v>-3367.0886075949365</v>
      </c>
      <c r="X1291" s="7">
        <f ca="1">AVERAGE(E1291:OFFSET(F1291,-$X$5+1,0))</f>
        <v>10752.2</v>
      </c>
      <c r="Y1291" s="7">
        <f ca="1">AVERAGE(E1291:OFFSET(F1291,-$Y$5+1,0))</f>
        <v>10639.05</v>
      </c>
      <c r="Z1291" s="7">
        <f t="shared" ca="1" si="300"/>
        <v>0</v>
      </c>
    </row>
    <row r="1292" spans="1:26">
      <c r="A1292" s="3" t="s">
        <v>86</v>
      </c>
      <c r="B1292" s="4">
        <v>43566</v>
      </c>
      <c r="C1292" s="3">
        <v>10868</v>
      </c>
      <c r="D1292" s="3">
        <v>10885</v>
      </c>
      <c r="E1292" s="3">
        <v>10775</v>
      </c>
      <c r="F1292" s="3">
        <v>10806</v>
      </c>
      <c r="G1292" s="3">
        <v>110887</v>
      </c>
      <c r="H1292" s="3">
        <v>1.0449999999999999</v>
      </c>
      <c r="I1292" s="2">
        <f t="shared" si="309"/>
        <v>0</v>
      </c>
      <c r="J1292" s="10">
        <f t="shared" si="311"/>
        <v>6</v>
      </c>
      <c r="K1292" s="10">
        <f t="shared" si="310"/>
        <v>-62</v>
      </c>
      <c r="L1292" s="10">
        <f t="shared" ca="1" si="299"/>
        <v>0</v>
      </c>
      <c r="M1292" s="10">
        <f t="shared" ca="1" si="301"/>
        <v>0</v>
      </c>
      <c r="N1292" s="30">
        <f t="shared" ca="1" si="302"/>
        <v>0</v>
      </c>
      <c r="O1292" s="10">
        <f t="shared" ca="1" si="303"/>
        <v>0</v>
      </c>
      <c r="P1292" s="29">
        <f t="shared" ca="1" si="304"/>
        <v>0</v>
      </c>
      <c r="Q1292" s="12">
        <f t="shared" ca="1" si="305"/>
        <v>-473000</v>
      </c>
      <c r="R1292" s="10">
        <f t="shared" ca="1" si="306"/>
        <v>0</v>
      </c>
      <c r="S1292" s="10">
        <f t="shared" ca="1" si="296"/>
        <v>-0.80931943592887801</v>
      </c>
      <c r="T1292" s="14">
        <f t="shared" ca="1" si="297"/>
        <v>-0.23314742152850065</v>
      </c>
      <c r="U1292" s="12">
        <f t="shared" ca="1" si="307"/>
        <v>7900</v>
      </c>
      <c r="V1292" s="14">
        <f t="shared" ca="1" si="308"/>
        <v>-6087.341772151899</v>
      </c>
      <c r="W1292" s="12">
        <f t="shared" ca="1" si="298"/>
        <v>-3367.0886075949365</v>
      </c>
      <c r="X1292" s="7">
        <f ca="1">AVERAGE(E1292:OFFSET(F1292,-$X$5+1,0))</f>
        <v>10775.9</v>
      </c>
      <c r="Y1292" s="7">
        <f ca="1">AVERAGE(E1292:OFFSET(F1292,-$Y$5+1,0))</f>
        <v>10668</v>
      </c>
      <c r="Z1292" s="7">
        <f t="shared" ca="1" si="300"/>
        <v>0</v>
      </c>
    </row>
    <row r="1293" spans="1:26">
      <c r="A1293" s="3" t="s">
        <v>86</v>
      </c>
      <c r="B1293" s="4">
        <v>43567</v>
      </c>
      <c r="C1293" s="3">
        <v>10818</v>
      </c>
      <c r="D1293" s="3">
        <v>10831</v>
      </c>
      <c r="E1293" s="3">
        <v>10782</v>
      </c>
      <c r="F1293" s="3">
        <v>10802</v>
      </c>
      <c r="G1293" s="3">
        <v>85901</v>
      </c>
      <c r="H1293" s="3">
        <v>1.0449999999999999</v>
      </c>
      <c r="I1293" s="2">
        <f t="shared" si="309"/>
        <v>0</v>
      </c>
      <c r="J1293" s="10">
        <f t="shared" si="311"/>
        <v>12</v>
      </c>
      <c r="K1293" s="10">
        <f t="shared" si="310"/>
        <v>-16</v>
      </c>
      <c r="L1293" s="10">
        <f t="shared" ca="1" si="299"/>
        <v>0</v>
      </c>
      <c r="M1293" s="10">
        <f t="shared" ca="1" si="301"/>
        <v>0</v>
      </c>
      <c r="N1293" s="30">
        <f t="shared" ca="1" si="302"/>
        <v>0</v>
      </c>
      <c r="O1293" s="10">
        <f t="shared" ca="1" si="303"/>
        <v>0</v>
      </c>
      <c r="P1293" s="29">
        <f t="shared" ca="1" si="304"/>
        <v>0</v>
      </c>
      <c r="Q1293" s="12">
        <f t="shared" ca="1" si="305"/>
        <v>-473000</v>
      </c>
      <c r="R1293" s="10">
        <f t="shared" ca="1" si="306"/>
        <v>0</v>
      </c>
      <c r="S1293" s="10">
        <f t="shared" ca="1" si="296"/>
        <v>-0.80931943592887801</v>
      </c>
      <c r="T1293" s="14">
        <f t="shared" ca="1" si="297"/>
        <v>-0.23652524999656488</v>
      </c>
      <c r="U1293" s="12">
        <f t="shared" ca="1" si="307"/>
        <v>7900</v>
      </c>
      <c r="V1293" s="14">
        <f t="shared" ca="1" si="308"/>
        <v>-6087.341772151899</v>
      </c>
      <c r="W1293" s="12">
        <f t="shared" ca="1" si="298"/>
        <v>-3367.0886075949365</v>
      </c>
      <c r="X1293" s="7">
        <f ca="1">AVERAGE(E1293:OFFSET(F1293,-$X$5+1,0))</f>
        <v>10797.9</v>
      </c>
      <c r="Y1293" s="7">
        <f ca="1">AVERAGE(E1293:OFFSET(F1293,-$Y$5+1,0))</f>
        <v>10697.55</v>
      </c>
      <c r="Z1293" s="7">
        <f t="shared" ca="1" si="300"/>
        <v>0</v>
      </c>
    </row>
    <row r="1294" spans="1:26">
      <c r="A1294" s="3" t="s">
        <v>86</v>
      </c>
      <c r="B1294" s="4">
        <v>43570</v>
      </c>
      <c r="C1294" s="3">
        <v>10865</v>
      </c>
      <c r="D1294" s="3">
        <v>10895</v>
      </c>
      <c r="E1294" s="3">
        <v>10843</v>
      </c>
      <c r="F1294" s="3">
        <v>10876</v>
      </c>
      <c r="G1294" s="3">
        <v>100286</v>
      </c>
      <c r="H1294" s="3">
        <v>1.0449999999999999</v>
      </c>
      <c r="I1294" s="2">
        <f t="shared" si="309"/>
        <v>0</v>
      </c>
      <c r="J1294" s="10">
        <f t="shared" si="311"/>
        <v>63</v>
      </c>
      <c r="K1294" s="10">
        <f t="shared" si="310"/>
        <v>11</v>
      </c>
      <c r="L1294" s="10">
        <f t="shared" ca="1" si="299"/>
        <v>0</v>
      </c>
      <c r="M1294" s="10">
        <f t="shared" ca="1" si="301"/>
        <v>0</v>
      </c>
      <c r="N1294" s="30">
        <f t="shared" ca="1" si="302"/>
        <v>0</v>
      </c>
      <c r="O1294" s="10">
        <f t="shared" ca="1" si="303"/>
        <v>0</v>
      </c>
      <c r="P1294" s="29">
        <f t="shared" ca="1" si="304"/>
        <v>0</v>
      </c>
      <c r="Q1294" s="12">
        <f t="shared" ca="1" si="305"/>
        <v>-473000</v>
      </c>
      <c r="R1294" s="10">
        <f t="shared" ca="1" si="306"/>
        <v>0</v>
      </c>
      <c r="S1294" s="10">
        <f t="shared" ca="1" si="296"/>
        <v>-0.91627495060971453</v>
      </c>
      <c r="T1294" s="14">
        <f t="shared" ca="1" si="297"/>
        <v>-0.25097372151266739</v>
      </c>
      <c r="U1294" s="12">
        <f t="shared" ca="1" si="307"/>
        <v>7900</v>
      </c>
      <c r="V1294" s="14">
        <f t="shared" ca="1" si="308"/>
        <v>-6087.341772151899</v>
      </c>
      <c r="W1294" s="12">
        <f t="shared" ca="1" si="298"/>
        <v>-3367.0886075949365</v>
      </c>
      <c r="X1294" s="7">
        <f ca="1">AVERAGE(E1294:OFFSET(F1294,-$X$5+1,0))</f>
        <v>10818.3</v>
      </c>
      <c r="Y1294" s="7">
        <f ca="1">AVERAGE(E1294:OFFSET(F1294,-$Y$5+1,0))</f>
        <v>10736.65</v>
      </c>
      <c r="Z1294" s="7">
        <f t="shared" ca="1" si="300"/>
        <v>0</v>
      </c>
    </row>
    <row r="1295" spans="1:26">
      <c r="A1295" s="3" t="s">
        <v>86</v>
      </c>
      <c r="B1295" s="4">
        <v>43571</v>
      </c>
      <c r="C1295" s="3">
        <v>10870</v>
      </c>
      <c r="D1295" s="3">
        <v>10932</v>
      </c>
      <c r="E1295" s="3">
        <v>10863</v>
      </c>
      <c r="F1295" s="3">
        <v>10931</v>
      </c>
      <c r="G1295" s="3">
        <v>104554</v>
      </c>
      <c r="H1295" s="3">
        <v>1.0449999999999999</v>
      </c>
      <c r="I1295" s="2">
        <f t="shared" si="309"/>
        <v>0</v>
      </c>
      <c r="J1295" s="10">
        <f t="shared" si="311"/>
        <v>-6</v>
      </c>
      <c r="K1295" s="10">
        <f t="shared" si="310"/>
        <v>61</v>
      </c>
      <c r="L1295" s="10">
        <f t="shared" ca="1" si="299"/>
        <v>0</v>
      </c>
      <c r="M1295" s="10">
        <f t="shared" ca="1" si="301"/>
        <v>0</v>
      </c>
      <c r="N1295" s="30">
        <f t="shared" ca="1" si="302"/>
        <v>0</v>
      </c>
      <c r="O1295" s="10">
        <f t="shared" ca="1" si="303"/>
        <v>0</v>
      </c>
      <c r="P1295" s="29">
        <f t="shared" ca="1" si="304"/>
        <v>0</v>
      </c>
      <c r="Q1295" s="12">
        <f t="shared" ca="1" si="305"/>
        <v>-473000</v>
      </c>
      <c r="R1295" s="10">
        <f t="shared" ca="1" si="306"/>
        <v>0</v>
      </c>
      <c r="S1295" s="10">
        <f t="shared" ca="1" si="296"/>
        <v>-1.044349070100143</v>
      </c>
      <c r="T1295" s="14">
        <f t="shared" ca="1" si="297"/>
        <v>-0.26808308502255107</v>
      </c>
      <c r="U1295" s="12">
        <f t="shared" ca="1" si="307"/>
        <v>7900</v>
      </c>
      <c r="V1295" s="14">
        <f t="shared" ca="1" si="308"/>
        <v>-6087.341772151899</v>
      </c>
      <c r="W1295" s="12">
        <f t="shared" ca="1" si="298"/>
        <v>-3367.0886075949365</v>
      </c>
      <c r="X1295" s="7">
        <f ca="1">AVERAGE(E1295:OFFSET(F1295,-$X$5+1,0))</f>
        <v>10835.2</v>
      </c>
      <c r="Y1295" s="7">
        <f ca="1">AVERAGE(E1295:OFFSET(F1295,-$Y$5+1,0))</f>
        <v>10772.65</v>
      </c>
      <c r="Z1295" s="7">
        <f t="shared" ca="1" si="300"/>
        <v>0</v>
      </c>
    </row>
    <row r="1296" spans="1:26">
      <c r="A1296" s="3" t="s">
        <v>86</v>
      </c>
      <c r="B1296" s="4">
        <v>43572</v>
      </c>
      <c r="C1296" s="3">
        <v>10954</v>
      </c>
      <c r="D1296" s="3">
        <v>11010</v>
      </c>
      <c r="E1296" s="3">
        <v>10948</v>
      </c>
      <c r="F1296" s="3">
        <v>11004</v>
      </c>
      <c r="G1296" s="3">
        <v>63683</v>
      </c>
      <c r="H1296" s="3">
        <v>1.0449999999999999</v>
      </c>
      <c r="I1296" s="2">
        <f t="shared" si="309"/>
        <v>1</v>
      </c>
      <c r="J1296" s="10">
        <f t="shared" si="311"/>
        <v>23</v>
      </c>
      <c r="K1296" s="10">
        <f t="shared" si="310"/>
        <v>50</v>
      </c>
      <c r="L1296" s="10">
        <f t="shared" ca="1" si="299"/>
        <v>0</v>
      </c>
      <c r="M1296" s="10">
        <f t="shared" si="301"/>
        <v>0</v>
      </c>
      <c r="N1296" s="30">
        <f t="shared" si="302"/>
        <v>0</v>
      </c>
      <c r="O1296" s="10">
        <f t="shared" si="303"/>
        <v>0</v>
      </c>
      <c r="P1296" s="29">
        <f t="shared" ca="1" si="304"/>
        <v>0</v>
      </c>
      <c r="Q1296" s="12">
        <f t="shared" ca="1" si="305"/>
        <v>-473000</v>
      </c>
      <c r="R1296" s="10">
        <f t="shared" ca="1" si="306"/>
        <v>0</v>
      </c>
      <c r="S1296" s="10">
        <f t="shared" ca="1" si="296"/>
        <v>-1.1955855303494789</v>
      </c>
      <c r="T1296" s="14">
        <f t="shared" ca="1" si="297"/>
        <v>-0.28748814155989133</v>
      </c>
      <c r="U1296" s="12">
        <f t="shared" ca="1" si="307"/>
        <v>7900</v>
      </c>
      <c r="V1296" s="14">
        <f t="shared" ca="1" si="308"/>
        <v>-6087.341772151899</v>
      </c>
      <c r="W1296" s="12">
        <f t="shared" ca="1" si="298"/>
        <v>-3367.0886075949365</v>
      </c>
      <c r="X1296" s="7">
        <f ca="1">AVERAGE(E1296:OFFSET(F1296,-$X$5+1,0))</f>
        <v>10863</v>
      </c>
      <c r="Y1296" s="7">
        <f ca="1">AVERAGE(E1296:OFFSET(F1296,-$Y$5+1,0))</f>
        <v>10807.6</v>
      </c>
      <c r="Z1296" s="7">
        <f t="shared" ca="1" si="300"/>
        <v>0</v>
      </c>
    </row>
    <row r="1297" spans="1:26">
      <c r="A1297" s="3" t="s">
        <v>87</v>
      </c>
      <c r="B1297" s="4">
        <v>43573</v>
      </c>
      <c r="C1297" s="3">
        <v>11022</v>
      </c>
      <c r="D1297" s="3">
        <v>11039</v>
      </c>
      <c r="E1297" s="3">
        <v>10920</v>
      </c>
      <c r="F1297" s="3">
        <v>10939</v>
      </c>
      <c r="G1297" s="3">
        <v>117490</v>
      </c>
      <c r="H1297" s="3">
        <v>1.0449999999999999</v>
      </c>
      <c r="I1297" s="2">
        <f t="shared" si="309"/>
        <v>0</v>
      </c>
      <c r="J1297" s="10">
        <f t="shared" si="311"/>
        <v>18</v>
      </c>
      <c r="K1297" s="10">
        <f t="shared" si="310"/>
        <v>-83</v>
      </c>
      <c r="L1297" s="10">
        <f t="shared" ca="1" si="299"/>
        <v>0</v>
      </c>
      <c r="M1297" s="10">
        <f t="shared" ca="1" si="301"/>
        <v>0</v>
      </c>
      <c r="N1297" s="30">
        <f t="shared" ca="1" si="302"/>
        <v>0</v>
      </c>
      <c r="O1297" s="10">
        <f t="shared" ca="1" si="303"/>
        <v>0</v>
      </c>
      <c r="P1297" s="29">
        <f t="shared" ca="1" si="304"/>
        <v>0</v>
      </c>
      <c r="Q1297" s="12">
        <f t="shared" ca="1" si="305"/>
        <v>-473000</v>
      </c>
      <c r="R1297" s="10">
        <f t="shared" ca="1" si="306"/>
        <v>0</v>
      </c>
      <c r="S1297" s="10">
        <f t="shared" ca="1" si="296"/>
        <v>-1.26098508072757</v>
      </c>
      <c r="T1297" s="14">
        <f t="shared" ca="1" si="297"/>
        <v>-0.2965156342518292</v>
      </c>
      <c r="U1297" s="12">
        <f t="shared" ca="1" si="307"/>
        <v>7900</v>
      </c>
      <c r="V1297" s="14">
        <f t="shared" ca="1" si="308"/>
        <v>-6087.341772151899</v>
      </c>
      <c r="W1297" s="12">
        <f t="shared" ca="1" si="298"/>
        <v>-3367.0886075949365</v>
      </c>
      <c r="X1297" s="7">
        <f ca="1">AVERAGE(E1297:OFFSET(F1297,-$X$5+1,0))</f>
        <v>10890.8</v>
      </c>
      <c r="Y1297" s="7">
        <f ca="1">AVERAGE(E1297:OFFSET(F1297,-$Y$5+1,0))</f>
        <v>10833.35</v>
      </c>
      <c r="Z1297" s="7">
        <f t="shared" ca="1" si="300"/>
        <v>0</v>
      </c>
    </row>
    <row r="1298" spans="1:26">
      <c r="A1298" s="3" t="s">
        <v>87</v>
      </c>
      <c r="B1298" s="4">
        <v>43574</v>
      </c>
      <c r="C1298" s="3">
        <v>11020</v>
      </c>
      <c r="D1298" s="3">
        <v>11036</v>
      </c>
      <c r="E1298" s="3">
        <v>10954</v>
      </c>
      <c r="F1298" s="3">
        <v>10972</v>
      </c>
      <c r="G1298" s="3">
        <v>88747</v>
      </c>
      <c r="H1298" s="3">
        <v>1.0449999999999999</v>
      </c>
      <c r="I1298" s="2">
        <f t="shared" si="309"/>
        <v>0</v>
      </c>
      <c r="J1298" s="10">
        <f t="shared" si="311"/>
        <v>81</v>
      </c>
      <c r="K1298" s="10">
        <f t="shared" si="310"/>
        <v>-48</v>
      </c>
      <c r="L1298" s="10">
        <f t="shared" ca="1" si="299"/>
        <v>0</v>
      </c>
      <c r="M1298" s="10">
        <f t="shared" ca="1" si="301"/>
        <v>0</v>
      </c>
      <c r="N1298" s="30">
        <f t="shared" ca="1" si="302"/>
        <v>0</v>
      </c>
      <c r="O1298" s="10">
        <f t="shared" ca="1" si="303"/>
        <v>0</v>
      </c>
      <c r="P1298" s="29">
        <f t="shared" ca="1" si="304"/>
        <v>0</v>
      </c>
      <c r="Q1298" s="12">
        <f t="shared" ca="1" si="305"/>
        <v>-473000</v>
      </c>
      <c r="R1298" s="10">
        <f t="shared" ca="1" si="306"/>
        <v>0</v>
      </c>
      <c r="S1298" s="10">
        <f t="shared" ca="1" si="296"/>
        <v>-1.3413720280673069</v>
      </c>
      <c r="T1298" s="14">
        <f t="shared" ca="1" si="297"/>
        <v>-0.30803334108434821</v>
      </c>
      <c r="U1298" s="12">
        <f t="shared" ca="1" si="307"/>
        <v>7900</v>
      </c>
      <c r="V1298" s="14">
        <f t="shared" ca="1" si="308"/>
        <v>-6087.341772151899</v>
      </c>
      <c r="W1298" s="12">
        <f t="shared" ca="1" si="298"/>
        <v>-3367.0886075949365</v>
      </c>
      <c r="X1298" s="7">
        <f ca="1">AVERAGE(E1298:OFFSET(F1298,-$X$5+1,0))</f>
        <v>10925</v>
      </c>
      <c r="Y1298" s="7">
        <f ca="1">AVERAGE(E1298:OFFSET(F1298,-$Y$5+1,0))</f>
        <v>10861.45</v>
      </c>
      <c r="Z1298" s="7">
        <f t="shared" ca="1" si="300"/>
        <v>0</v>
      </c>
    </row>
    <row r="1299" spans="1:26">
      <c r="A1299" s="3" t="s">
        <v>87</v>
      </c>
      <c r="B1299" s="4">
        <v>43577</v>
      </c>
      <c r="C1299" s="3">
        <v>11008</v>
      </c>
      <c r="D1299" s="3">
        <v>11030</v>
      </c>
      <c r="E1299" s="3">
        <v>10958</v>
      </c>
      <c r="F1299" s="3">
        <v>10978</v>
      </c>
      <c r="G1299" s="3">
        <v>77384</v>
      </c>
      <c r="H1299" s="3">
        <v>1.0449999999999999</v>
      </c>
      <c r="I1299" s="2">
        <f t="shared" si="309"/>
        <v>0</v>
      </c>
      <c r="J1299" s="10">
        <f t="shared" si="311"/>
        <v>36</v>
      </c>
      <c r="K1299" s="10">
        <f t="shared" si="310"/>
        <v>-30</v>
      </c>
      <c r="L1299" s="10">
        <f t="shared" ca="1" si="299"/>
        <v>0</v>
      </c>
      <c r="M1299" s="10">
        <f t="shared" ca="1" si="301"/>
        <v>0</v>
      </c>
      <c r="N1299" s="30">
        <f t="shared" ca="1" si="302"/>
        <v>0</v>
      </c>
      <c r="O1299" s="10">
        <f t="shared" ca="1" si="303"/>
        <v>0</v>
      </c>
      <c r="P1299" s="29">
        <f t="shared" ca="1" si="304"/>
        <v>0</v>
      </c>
      <c r="Q1299" s="12">
        <f t="shared" ca="1" si="305"/>
        <v>-473000</v>
      </c>
      <c r="R1299" s="10">
        <f t="shared" ca="1" si="306"/>
        <v>0</v>
      </c>
      <c r="S1299" s="10">
        <f t="shared" ca="1" si="296"/>
        <v>-1.2255603242727706</v>
      </c>
      <c r="T1299" s="14">
        <f t="shared" ca="1" si="297"/>
        <v>-0.29387375889796358</v>
      </c>
      <c r="U1299" s="12">
        <f t="shared" ca="1" si="307"/>
        <v>7900</v>
      </c>
      <c r="V1299" s="14">
        <f t="shared" ca="1" si="308"/>
        <v>-6087.341772151899</v>
      </c>
      <c r="W1299" s="12">
        <f t="shared" ca="1" si="298"/>
        <v>-3367.0886075949365</v>
      </c>
      <c r="X1299" s="7">
        <f ca="1">AVERAGE(E1299:OFFSET(F1299,-$X$5+1,0))</f>
        <v>10946.7</v>
      </c>
      <c r="Y1299" s="7">
        <f ca="1">AVERAGE(E1299:OFFSET(F1299,-$Y$5+1,0))</f>
        <v>10882.5</v>
      </c>
      <c r="Z1299" s="7">
        <f t="shared" ca="1" si="300"/>
        <v>0</v>
      </c>
    </row>
    <row r="1300" spans="1:26">
      <c r="A1300" s="3" t="s">
        <v>87</v>
      </c>
      <c r="B1300" s="4">
        <v>43578</v>
      </c>
      <c r="C1300" s="3">
        <v>10988</v>
      </c>
      <c r="D1300" s="3">
        <v>11024</v>
      </c>
      <c r="E1300" s="3">
        <v>10934</v>
      </c>
      <c r="F1300" s="3">
        <v>11024</v>
      </c>
      <c r="G1300" s="3">
        <v>103861</v>
      </c>
      <c r="H1300" s="3">
        <v>1.0449999999999999</v>
      </c>
      <c r="I1300" s="2">
        <f t="shared" si="309"/>
        <v>0</v>
      </c>
      <c r="J1300" s="10">
        <f t="shared" si="311"/>
        <v>10</v>
      </c>
      <c r="K1300" s="10">
        <f t="shared" si="310"/>
        <v>36</v>
      </c>
      <c r="L1300" s="10">
        <f t="shared" ca="1" si="299"/>
        <v>0</v>
      </c>
      <c r="M1300" s="10">
        <f t="shared" ca="1" si="301"/>
        <v>0</v>
      </c>
      <c r="N1300" s="30">
        <f t="shared" ca="1" si="302"/>
        <v>0</v>
      </c>
      <c r="O1300" s="10">
        <f t="shared" ca="1" si="303"/>
        <v>0</v>
      </c>
      <c r="P1300" s="29">
        <f t="shared" ca="1" si="304"/>
        <v>0</v>
      </c>
      <c r="Q1300" s="12">
        <f t="shared" ca="1" si="305"/>
        <v>-473000</v>
      </c>
      <c r="R1300" s="10">
        <f t="shared" ca="1" si="306"/>
        <v>0</v>
      </c>
      <c r="S1300" s="10">
        <f t="shared" ca="1" si="296"/>
        <v>-1.0974862047823422</v>
      </c>
      <c r="T1300" s="14">
        <f t="shared" ca="1" si="297"/>
        <v>-0.27732479342242483</v>
      </c>
      <c r="U1300" s="12">
        <f t="shared" ca="1" si="307"/>
        <v>7900</v>
      </c>
      <c r="V1300" s="14">
        <f t="shared" ca="1" si="308"/>
        <v>-6087.341772151899</v>
      </c>
      <c r="W1300" s="12">
        <f t="shared" ca="1" si="298"/>
        <v>-3367.0886075949365</v>
      </c>
      <c r="X1300" s="7">
        <f ca="1">AVERAGE(E1300:OFFSET(F1300,-$X$5+1,0))</f>
        <v>10963.1</v>
      </c>
      <c r="Y1300" s="7">
        <f ca="1">AVERAGE(E1300:OFFSET(F1300,-$Y$5+1,0))</f>
        <v>10899.15</v>
      </c>
      <c r="Z1300" s="7">
        <f t="shared" ca="1" si="300"/>
        <v>0</v>
      </c>
    </row>
    <row r="1301" spans="1:26">
      <c r="A1301" s="3" t="s">
        <v>87</v>
      </c>
      <c r="B1301" s="4">
        <v>43579</v>
      </c>
      <c r="C1301" s="3">
        <v>11050</v>
      </c>
      <c r="D1301" s="3">
        <v>11057</v>
      </c>
      <c r="E1301" s="3">
        <v>10970</v>
      </c>
      <c r="F1301" s="3">
        <v>11009</v>
      </c>
      <c r="G1301" s="3">
        <v>108063</v>
      </c>
      <c r="H1301" s="3">
        <v>1.0449999999999999</v>
      </c>
      <c r="I1301" s="2">
        <f t="shared" si="309"/>
        <v>0</v>
      </c>
      <c r="J1301" s="10">
        <f t="shared" si="311"/>
        <v>26</v>
      </c>
      <c r="K1301" s="10">
        <f t="shared" si="310"/>
        <v>-41</v>
      </c>
      <c r="L1301" s="10">
        <f t="shared" ca="1" si="299"/>
        <v>0</v>
      </c>
      <c r="M1301" s="10">
        <f t="shared" ca="1" si="301"/>
        <v>0</v>
      </c>
      <c r="N1301" s="30">
        <f t="shared" ca="1" si="302"/>
        <v>0</v>
      </c>
      <c r="O1301" s="10">
        <f t="shared" ca="1" si="303"/>
        <v>0</v>
      </c>
      <c r="P1301" s="29">
        <f t="shared" ca="1" si="304"/>
        <v>0</v>
      </c>
      <c r="Q1301" s="12">
        <f t="shared" ca="1" si="305"/>
        <v>-473000</v>
      </c>
      <c r="R1301" s="10">
        <f t="shared" ca="1" si="306"/>
        <v>0</v>
      </c>
      <c r="S1301" s="10">
        <f t="shared" ca="1" si="296"/>
        <v>-1.1601607738946795</v>
      </c>
      <c r="T1301" s="14">
        <f t="shared" ca="1" si="297"/>
        <v>-0.28550747542391214</v>
      </c>
      <c r="U1301" s="12">
        <f t="shared" ca="1" si="307"/>
        <v>7900</v>
      </c>
      <c r="V1301" s="14">
        <f t="shared" ca="1" si="308"/>
        <v>-6087.341772151899</v>
      </c>
      <c r="W1301" s="12">
        <f t="shared" ca="1" si="298"/>
        <v>-3367.0886075949365</v>
      </c>
      <c r="X1301" s="7">
        <f ca="1">AVERAGE(E1301:OFFSET(F1301,-$X$5+1,0))</f>
        <v>10965.8</v>
      </c>
      <c r="Y1301" s="7">
        <f ca="1">AVERAGE(E1301:OFFSET(F1301,-$Y$5+1,0))</f>
        <v>10914.4</v>
      </c>
      <c r="Z1301" s="7">
        <f t="shared" ca="1" si="300"/>
        <v>0</v>
      </c>
    </row>
    <row r="1302" spans="1:26">
      <c r="A1302" s="3" t="s">
        <v>87</v>
      </c>
      <c r="B1302" s="4">
        <v>43580</v>
      </c>
      <c r="C1302" s="3">
        <v>10990</v>
      </c>
      <c r="D1302" s="3">
        <v>11041</v>
      </c>
      <c r="E1302" s="3">
        <v>10977</v>
      </c>
      <c r="F1302" s="3">
        <v>11031</v>
      </c>
      <c r="G1302" s="3">
        <v>86847</v>
      </c>
      <c r="H1302" s="3">
        <v>1.0449999999999999</v>
      </c>
      <c r="I1302" s="2">
        <f t="shared" si="309"/>
        <v>0</v>
      </c>
      <c r="J1302" s="10">
        <f t="shared" si="311"/>
        <v>-19</v>
      </c>
      <c r="K1302" s="10">
        <f t="shared" si="310"/>
        <v>41</v>
      </c>
      <c r="L1302" s="10">
        <f t="shared" ca="1" si="299"/>
        <v>0</v>
      </c>
      <c r="M1302" s="10">
        <f t="shared" ca="1" si="301"/>
        <v>0</v>
      </c>
      <c r="N1302" s="30">
        <f t="shared" ca="1" si="302"/>
        <v>0</v>
      </c>
      <c r="O1302" s="10">
        <f t="shared" ca="1" si="303"/>
        <v>0</v>
      </c>
      <c r="P1302" s="29">
        <f t="shared" ca="1" si="304"/>
        <v>0</v>
      </c>
      <c r="Q1302" s="12">
        <f t="shared" ca="1" si="305"/>
        <v>-473000</v>
      </c>
      <c r="R1302" s="10">
        <f t="shared" ca="1" si="306"/>
        <v>0</v>
      </c>
      <c r="S1302" s="10">
        <f t="shared" ca="1" si="296"/>
        <v>-1.3004973090810001</v>
      </c>
      <c r="T1302" s="14">
        <f t="shared" ca="1" si="297"/>
        <v>-0.3037070227324451</v>
      </c>
      <c r="U1302" s="12">
        <f t="shared" ca="1" si="307"/>
        <v>7900</v>
      </c>
      <c r="V1302" s="14">
        <f t="shared" ca="1" si="308"/>
        <v>-6087.341772151899</v>
      </c>
      <c r="W1302" s="12">
        <f t="shared" ca="1" si="298"/>
        <v>-3367.0886075949365</v>
      </c>
      <c r="X1302" s="7">
        <f ca="1">AVERAGE(E1302:OFFSET(F1302,-$X$5+1,0))</f>
        <v>10980.7</v>
      </c>
      <c r="Y1302" s="7">
        <f ca="1">AVERAGE(E1302:OFFSET(F1302,-$Y$5+1,0))</f>
        <v>10935.75</v>
      </c>
      <c r="Z1302" s="7">
        <f t="shared" ca="1" si="300"/>
        <v>0</v>
      </c>
    </row>
    <row r="1303" spans="1:26">
      <c r="A1303" s="3" t="s">
        <v>87</v>
      </c>
      <c r="B1303" s="4">
        <v>43581</v>
      </c>
      <c r="C1303" s="3">
        <v>10962</v>
      </c>
      <c r="D1303" s="3">
        <v>10972</v>
      </c>
      <c r="E1303" s="3">
        <v>10900</v>
      </c>
      <c r="F1303" s="3">
        <v>10933</v>
      </c>
      <c r="G1303" s="3">
        <v>118536</v>
      </c>
      <c r="H1303" s="3">
        <v>1.0449999999999999</v>
      </c>
      <c r="I1303" s="2">
        <f t="shared" si="309"/>
        <v>0</v>
      </c>
      <c r="J1303" s="10">
        <f t="shared" si="311"/>
        <v>-69</v>
      </c>
      <c r="K1303" s="10">
        <f t="shared" si="310"/>
        <v>-29</v>
      </c>
      <c r="L1303" s="10">
        <f t="shared" ca="1" si="299"/>
        <v>0</v>
      </c>
      <c r="M1303" s="10">
        <f t="shared" ca="1" si="301"/>
        <v>0</v>
      </c>
      <c r="N1303" s="30">
        <f t="shared" ca="1" si="302"/>
        <v>0</v>
      </c>
      <c r="O1303" s="10">
        <f t="shared" ca="1" si="303"/>
        <v>0</v>
      </c>
      <c r="P1303" s="29">
        <f t="shared" ca="1" si="304"/>
        <v>0</v>
      </c>
      <c r="Q1303" s="12">
        <f t="shared" ca="1" si="305"/>
        <v>-473000</v>
      </c>
      <c r="R1303" s="10">
        <f t="shared" ca="1" si="306"/>
        <v>0</v>
      </c>
      <c r="S1303" s="10">
        <f t="shared" ca="1" si="296"/>
        <v>-1.2773349683220927</v>
      </c>
      <c r="T1303" s="14">
        <f t="shared" ca="1" si="297"/>
        <v>-0.30073845835042229</v>
      </c>
      <c r="U1303" s="12">
        <f t="shared" ca="1" si="307"/>
        <v>7900</v>
      </c>
      <c r="V1303" s="14">
        <f t="shared" ca="1" si="308"/>
        <v>-6087.341772151899</v>
      </c>
      <c r="W1303" s="12">
        <f t="shared" ca="1" si="298"/>
        <v>-3367.0886075949365</v>
      </c>
      <c r="X1303" s="7">
        <f ca="1">AVERAGE(E1303:OFFSET(F1303,-$X$5+1,0))</f>
        <v>10971.4</v>
      </c>
      <c r="Y1303" s="7">
        <f ca="1">AVERAGE(E1303:OFFSET(F1303,-$Y$5+1,0))</f>
        <v>10948.2</v>
      </c>
      <c r="Z1303" s="7">
        <f t="shared" ca="1" si="300"/>
        <v>0</v>
      </c>
    </row>
    <row r="1304" spans="1:26">
      <c r="A1304" s="3" t="s">
        <v>87</v>
      </c>
      <c r="B1304" s="4">
        <v>43584</v>
      </c>
      <c r="C1304" s="3">
        <v>10959</v>
      </c>
      <c r="D1304" s="3">
        <v>10978</v>
      </c>
      <c r="E1304" s="3">
        <v>10902</v>
      </c>
      <c r="F1304" s="3">
        <v>10932</v>
      </c>
      <c r="G1304" s="3">
        <v>90107</v>
      </c>
      <c r="H1304" s="3">
        <v>1.0449999999999999</v>
      </c>
      <c r="I1304" s="2">
        <f t="shared" si="309"/>
        <v>0</v>
      </c>
      <c r="J1304" s="10">
        <f t="shared" si="311"/>
        <v>26</v>
      </c>
      <c r="K1304" s="10">
        <f t="shared" si="310"/>
        <v>-27</v>
      </c>
      <c r="L1304" s="10">
        <f t="shared" ca="1" si="299"/>
        <v>0</v>
      </c>
      <c r="M1304" s="10">
        <f t="shared" ca="1" si="301"/>
        <v>0</v>
      </c>
      <c r="N1304" s="30">
        <f t="shared" ca="1" si="302"/>
        <v>0</v>
      </c>
      <c r="O1304" s="10">
        <f t="shared" ca="1" si="303"/>
        <v>0</v>
      </c>
      <c r="P1304" s="29">
        <f t="shared" ca="1" si="304"/>
        <v>0</v>
      </c>
      <c r="Q1304" s="12">
        <f t="shared" ca="1" si="305"/>
        <v>-473000</v>
      </c>
      <c r="R1304" s="10">
        <f t="shared" ca="1" si="306"/>
        <v>0</v>
      </c>
      <c r="S1304" s="10">
        <f t="shared" ca="1" si="296"/>
        <v>-1.179235642754956</v>
      </c>
      <c r="T1304" s="14">
        <f t="shared" ca="1" si="297"/>
        <v>-0.28809386899104067</v>
      </c>
      <c r="U1304" s="12">
        <f t="shared" ca="1" si="307"/>
        <v>7900</v>
      </c>
      <c r="V1304" s="14">
        <f t="shared" ca="1" si="308"/>
        <v>-6087.341772151899</v>
      </c>
      <c r="W1304" s="12">
        <f t="shared" ca="1" si="298"/>
        <v>-3367.0886075949365</v>
      </c>
      <c r="X1304" s="7">
        <f ca="1">AVERAGE(E1304:OFFSET(F1304,-$X$5+1,0))</f>
        <v>10961.2</v>
      </c>
      <c r="Y1304" s="7">
        <f ca="1">AVERAGE(E1304:OFFSET(F1304,-$Y$5+1,0))</f>
        <v>10953.95</v>
      </c>
      <c r="Z1304" s="7">
        <f t="shared" ca="1" si="300"/>
        <v>0</v>
      </c>
    </row>
    <row r="1305" spans="1:26">
      <c r="A1305" s="3" t="s">
        <v>87</v>
      </c>
      <c r="B1305" s="4">
        <v>43585</v>
      </c>
      <c r="C1305" s="3">
        <v>10912</v>
      </c>
      <c r="D1305" s="3">
        <v>10961</v>
      </c>
      <c r="E1305" s="3">
        <v>10883</v>
      </c>
      <c r="F1305" s="3">
        <v>10952</v>
      </c>
      <c r="G1305" s="3">
        <v>99311</v>
      </c>
      <c r="H1305" s="3">
        <v>1.0449999999999999</v>
      </c>
      <c r="I1305" s="2">
        <f t="shared" si="309"/>
        <v>0</v>
      </c>
      <c r="J1305" s="10">
        <f t="shared" si="311"/>
        <v>-20</v>
      </c>
      <c r="K1305" s="10">
        <f t="shared" si="310"/>
        <v>40</v>
      </c>
      <c r="L1305" s="10">
        <f t="shared" ca="1" si="299"/>
        <v>-1</v>
      </c>
      <c r="M1305" s="10">
        <f t="shared" ca="1" si="301"/>
        <v>0</v>
      </c>
      <c r="N1305" s="30">
        <f t="shared" ca="1" si="302"/>
        <v>0</v>
      </c>
      <c r="O1305" s="10">
        <f t="shared" ca="1" si="303"/>
        <v>0</v>
      </c>
      <c r="P1305" s="29">
        <f t="shared" ca="1" si="304"/>
        <v>0</v>
      </c>
      <c r="Q1305" s="12">
        <f t="shared" ca="1" si="305"/>
        <v>-473000</v>
      </c>
      <c r="R1305" s="10">
        <f t="shared" ca="1" si="306"/>
        <v>0</v>
      </c>
      <c r="S1305" s="10">
        <f t="shared" ca="1" si="296"/>
        <v>-1.1731044349070101</v>
      </c>
      <c r="T1305" s="14">
        <f t="shared" ca="1" si="297"/>
        <v>-0.28729972499094042</v>
      </c>
      <c r="U1305" s="12">
        <f t="shared" ca="1" si="307"/>
        <v>7900</v>
      </c>
      <c r="V1305" s="14">
        <f t="shared" ca="1" si="308"/>
        <v>-6087.341772151899</v>
      </c>
      <c r="W1305" s="12">
        <f t="shared" ca="1" si="298"/>
        <v>-3367.0886075949365</v>
      </c>
      <c r="X1305" s="7">
        <f ca="1">AVERAGE(E1305:OFFSET(F1305,-$X$5+1,0))</f>
        <v>10948.9</v>
      </c>
      <c r="Y1305" s="7">
        <f ca="1">AVERAGE(E1305:OFFSET(F1305,-$Y$5+1,0))</f>
        <v>10956</v>
      </c>
      <c r="Z1305" s="7">
        <f t="shared" ca="1" si="300"/>
        <v>-1</v>
      </c>
    </row>
    <row r="1306" spans="1:26">
      <c r="A1306" s="3" t="s">
        <v>87</v>
      </c>
      <c r="B1306" s="4">
        <v>43587</v>
      </c>
      <c r="C1306" s="3">
        <v>10947</v>
      </c>
      <c r="D1306" s="3">
        <v>11033</v>
      </c>
      <c r="E1306" s="3">
        <v>10933</v>
      </c>
      <c r="F1306" s="3">
        <v>10978</v>
      </c>
      <c r="G1306" s="3">
        <v>110504</v>
      </c>
      <c r="H1306" s="3">
        <v>1.0449999999999999</v>
      </c>
      <c r="I1306" s="2">
        <f t="shared" si="309"/>
        <v>0</v>
      </c>
      <c r="J1306" s="10">
        <f t="shared" si="311"/>
        <v>-5</v>
      </c>
      <c r="K1306" s="10">
        <f t="shared" si="310"/>
        <v>31</v>
      </c>
      <c r="L1306" s="10">
        <f t="shared" ca="1" si="299"/>
        <v>0</v>
      </c>
      <c r="M1306" s="10">
        <f t="shared" ca="1" si="301"/>
        <v>-1</v>
      </c>
      <c r="N1306" s="30">
        <f t="shared" ca="1" si="302"/>
        <v>0</v>
      </c>
      <c r="O1306" s="10">
        <f t="shared" ca="1" si="303"/>
        <v>2189400</v>
      </c>
      <c r="P1306" s="29">
        <f t="shared" ca="1" si="304"/>
        <v>-6700</v>
      </c>
      <c r="Q1306" s="12">
        <f t="shared" ca="1" si="305"/>
        <v>-479700</v>
      </c>
      <c r="R1306" s="10">
        <f t="shared" ca="1" si="306"/>
        <v>-0.30601991413172558</v>
      </c>
      <c r="S1306" s="10">
        <f t="shared" ca="1" si="296"/>
        <v>-1.2187478711083861</v>
      </c>
      <c r="T1306" s="14">
        <f t="shared" ca="1" si="297"/>
        <v>-0.29304278788290894</v>
      </c>
      <c r="U1306" s="12">
        <f t="shared" ca="1" si="307"/>
        <v>7900</v>
      </c>
      <c r="V1306" s="14">
        <f t="shared" ca="1" si="308"/>
        <v>-6172.1518987341769</v>
      </c>
      <c r="W1306" s="12">
        <f t="shared" ca="1" si="298"/>
        <v>-3367.0886075949365</v>
      </c>
      <c r="X1306" s="7">
        <f ca="1">AVERAGE(E1306:OFFSET(F1306,-$X$5+1,0))</f>
        <v>10942.1</v>
      </c>
      <c r="Y1306" s="7">
        <f ca="1">AVERAGE(E1306:OFFSET(F1306,-$Y$5+1,0))</f>
        <v>10953.95</v>
      </c>
      <c r="Z1306" s="7">
        <f t="shared" ca="1" si="300"/>
        <v>0</v>
      </c>
    </row>
    <row r="1307" spans="1:26">
      <c r="A1307" s="3" t="s">
        <v>87</v>
      </c>
      <c r="B1307" s="4">
        <v>43588</v>
      </c>
      <c r="C1307" s="3">
        <v>10992</v>
      </c>
      <c r="D1307" s="3">
        <v>11094</v>
      </c>
      <c r="E1307" s="3">
        <v>10975</v>
      </c>
      <c r="F1307" s="3">
        <v>11092</v>
      </c>
      <c r="G1307" s="3">
        <v>105128</v>
      </c>
      <c r="H1307" s="3">
        <v>1.0449999999999999</v>
      </c>
      <c r="I1307" s="2">
        <f t="shared" si="309"/>
        <v>0</v>
      </c>
      <c r="J1307" s="10">
        <f t="shared" si="311"/>
        <v>14</v>
      </c>
      <c r="K1307" s="10">
        <f t="shared" si="310"/>
        <v>100</v>
      </c>
      <c r="L1307" s="10">
        <f t="shared" ca="1" si="299"/>
        <v>0</v>
      </c>
      <c r="M1307" s="10">
        <f t="shared" ca="1" si="301"/>
        <v>-1</v>
      </c>
      <c r="N1307" s="30">
        <f t="shared" ca="1" si="302"/>
        <v>0</v>
      </c>
      <c r="O1307" s="10">
        <f t="shared" ca="1" si="303"/>
        <v>2189400</v>
      </c>
      <c r="P1307" s="29">
        <f t="shared" ca="1" si="304"/>
        <v>-22800</v>
      </c>
      <c r="Q1307" s="12">
        <f t="shared" ca="1" si="305"/>
        <v>-502500</v>
      </c>
      <c r="R1307" s="10">
        <f t="shared" ca="1" si="306"/>
        <v>-1.0413812003288572</v>
      </c>
      <c r="S1307" s="10">
        <f t="shared" ca="1" si="296"/>
        <v>-1.3740718032563526</v>
      </c>
      <c r="T1307" s="14">
        <f t="shared" ca="1" si="297"/>
        <v>-0.31516070550107689</v>
      </c>
      <c r="U1307" s="12">
        <f t="shared" ca="1" si="307"/>
        <v>7900</v>
      </c>
      <c r="V1307" s="14">
        <f t="shared" ca="1" si="308"/>
        <v>-6460.7594936708865</v>
      </c>
      <c r="W1307" s="12">
        <f t="shared" ca="1" si="298"/>
        <v>-3367.0886075949365</v>
      </c>
      <c r="X1307" s="7">
        <f ca="1">AVERAGE(E1307:OFFSET(F1307,-$X$5+1,0))</f>
        <v>10948</v>
      </c>
      <c r="Y1307" s="7">
        <f ca="1">AVERAGE(E1307:OFFSET(F1307,-$Y$5+1,0))</f>
        <v>10964.35</v>
      </c>
      <c r="Z1307" s="7">
        <f t="shared" ca="1" si="300"/>
        <v>0</v>
      </c>
    </row>
    <row r="1308" spans="1:26">
      <c r="A1308" s="3" t="s">
        <v>87</v>
      </c>
      <c r="B1308" s="4">
        <v>43591</v>
      </c>
      <c r="C1308" s="3">
        <v>10980</v>
      </c>
      <c r="D1308" s="3">
        <v>10980</v>
      </c>
      <c r="E1308" s="3">
        <v>10821</v>
      </c>
      <c r="F1308" s="3">
        <v>10857</v>
      </c>
      <c r="G1308" s="3">
        <v>157627</v>
      </c>
      <c r="H1308" s="3">
        <v>1.0449999999999999</v>
      </c>
      <c r="I1308" s="2">
        <f t="shared" si="309"/>
        <v>0</v>
      </c>
      <c r="J1308" s="10">
        <f t="shared" si="311"/>
        <v>-112</v>
      </c>
      <c r="K1308" s="10">
        <f t="shared" si="310"/>
        <v>-123</v>
      </c>
      <c r="L1308" s="10">
        <f t="shared" ca="1" si="299"/>
        <v>0</v>
      </c>
      <c r="M1308" s="10">
        <f t="shared" ca="1" si="301"/>
        <v>-1</v>
      </c>
      <c r="N1308" s="30">
        <f t="shared" ca="1" si="302"/>
        <v>0</v>
      </c>
      <c r="O1308" s="10">
        <f t="shared" ca="1" si="303"/>
        <v>2189400</v>
      </c>
      <c r="P1308" s="29">
        <f t="shared" ca="1" si="304"/>
        <v>47000</v>
      </c>
      <c r="Q1308" s="12">
        <f t="shared" ca="1" si="305"/>
        <v>-455500</v>
      </c>
      <c r="R1308" s="10">
        <f t="shared" ca="1" si="306"/>
        <v>2.1467068603270301</v>
      </c>
      <c r="S1308" s="10">
        <f t="shared" ca="1" si="296"/>
        <v>-1.0538865045302814</v>
      </c>
      <c r="T1308" s="14">
        <f t="shared" ca="1" si="297"/>
        <v>-0.26781334594088385</v>
      </c>
      <c r="U1308" s="12">
        <f t="shared" ca="1" si="307"/>
        <v>7900</v>
      </c>
      <c r="V1308" s="14">
        <f t="shared" ca="1" si="308"/>
        <v>-5865.8227848101269</v>
      </c>
      <c r="W1308" s="12">
        <f t="shared" ca="1" si="298"/>
        <v>-3367.0886075949365</v>
      </c>
      <c r="X1308" s="7">
        <f ca="1">AVERAGE(E1308:OFFSET(F1308,-$X$5+1,0))</f>
        <v>10932.5</v>
      </c>
      <c r="Y1308" s="7">
        <f ca="1">AVERAGE(E1308:OFFSET(F1308,-$Y$5+1,0))</f>
        <v>10951.95</v>
      </c>
      <c r="Z1308" s="7">
        <f t="shared" ca="1" si="300"/>
        <v>0</v>
      </c>
    </row>
    <row r="1309" spans="1:26">
      <c r="A1309" s="3" t="s">
        <v>87</v>
      </c>
      <c r="B1309" s="4">
        <v>43592</v>
      </c>
      <c r="C1309" s="3">
        <v>10900</v>
      </c>
      <c r="D1309" s="3">
        <v>10996</v>
      </c>
      <c r="E1309" s="3">
        <v>10900</v>
      </c>
      <c r="F1309" s="3">
        <v>10970</v>
      </c>
      <c r="G1309" s="3">
        <v>112695</v>
      </c>
      <c r="H1309" s="3">
        <v>1.0449999999999999</v>
      </c>
      <c r="I1309" s="2">
        <f t="shared" si="309"/>
        <v>0</v>
      </c>
      <c r="J1309" s="10">
        <f t="shared" si="311"/>
        <v>43</v>
      </c>
      <c r="K1309" s="10">
        <f t="shared" si="310"/>
        <v>70</v>
      </c>
      <c r="L1309" s="10">
        <f t="shared" ca="1" si="299"/>
        <v>0</v>
      </c>
      <c r="M1309" s="10">
        <f t="shared" ca="1" si="301"/>
        <v>-1</v>
      </c>
      <c r="N1309" s="30">
        <f t="shared" ca="1" si="302"/>
        <v>0</v>
      </c>
      <c r="O1309" s="10">
        <f t="shared" ca="1" si="303"/>
        <v>2189400</v>
      </c>
      <c r="P1309" s="29">
        <f t="shared" ca="1" si="304"/>
        <v>-22600</v>
      </c>
      <c r="Q1309" s="12">
        <f t="shared" ca="1" si="305"/>
        <v>-478100</v>
      </c>
      <c r="R1309" s="10">
        <f t="shared" ca="1" si="306"/>
        <v>-1.0322462775189549</v>
      </c>
      <c r="S1309" s="10">
        <f t="shared" ca="1" si="296"/>
        <v>-1.207847946045371</v>
      </c>
      <c r="T1309" s="14">
        <f t="shared" ca="1" si="297"/>
        <v>-0.29070068700205565</v>
      </c>
      <c r="U1309" s="12">
        <f t="shared" ca="1" si="307"/>
        <v>7900</v>
      </c>
      <c r="V1309" s="14">
        <f t="shared" ca="1" si="308"/>
        <v>-6151.8987341772154</v>
      </c>
      <c r="W1309" s="12">
        <f t="shared" ca="1" si="298"/>
        <v>-3367.0886075949365</v>
      </c>
      <c r="X1309" s="7">
        <f ca="1">AVERAGE(E1309:OFFSET(F1309,-$X$5+1,0))</f>
        <v>10936.1</v>
      </c>
      <c r="Y1309" s="7">
        <f ca="1">AVERAGE(E1309:OFFSET(F1309,-$Y$5+1,0))</f>
        <v>10948.65</v>
      </c>
      <c r="Z1309" s="7">
        <f t="shared" ca="1" si="300"/>
        <v>0</v>
      </c>
    </row>
    <row r="1310" spans="1:26">
      <c r="A1310" s="3" t="s">
        <v>87</v>
      </c>
      <c r="B1310" s="4">
        <v>43593</v>
      </c>
      <c r="C1310" s="3">
        <v>10849</v>
      </c>
      <c r="D1310" s="3">
        <v>10943</v>
      </c>
      <c r="E1310" s="3">
        <v>10841</v>
      </c>
      <c r="F1310" s="3">
        <v>10893</v>
      </c>
      <c r="G1310" s="3">
        <v>122471</v>
      </c>
      <c r="H1310" s="3">
        <v>1.0449999999999999</v>
      </c>
      <c r="I1310" s="2">
        <f t="shared" si="309"/>
        <v>0</v>
      </c>
      <c r="J1310" s="10">
        <f t="shared" si="311"/>
        <v>-121</v>
      </c>
      <c r="K1310" s="10">
        <f t="shared" si="310"/>
        <v>44</v>
      </c>
      <c r="L1310" s="10">
        <f t="shared" ca="1" si="299"/>
        <v>0</v>
      </c>
      <c r="M1310" s="10">
        <f t="shared" ca="1" si="301"/>
        <v>-1</v>
      </c>
      <c r="N1310" s="30">
        <f t="shared" ca="1" si="302"/>
        <v>0</v>
      </c>
      <c r="O1310" s="10">
        <f t="shared" ca="1" si="303"/>
        <v>2189400</v>
      </c>
      <c r="P1310" s="29">
        <f t="shared" ca="1" si="304"/>
        <v>15400</v>
      </c>
      <c r="Q1310" s="12">
        <f t="shared" ca="1" si="305"/>
        <v>-462700</v>
      </c>
      <c r="R1310" s="10">
        <f t="shared" ca="1" si="306"/>
        <v>0.70338905636247373</v>
      </c>
      <c r="S1310" s="10">
        <f t="shared" ca="1" si="296"/>
        <v>-1.1029361673138498</v>
      </c>
      <c r="T1310" s="14">
        <f t="shared" ca="1" si="297"/>
        <v>-0.27614418487340103</v>
      </c>
      <c r="U1310" s="12">
        <f t="shared" ca="1" si="307"/>
        <v>7900</v>
      </c>
      <c r="V1310" s="14">
        <f t="shared" ca="1" si="308"/>
        <v>-5956.9620253164558</v>
      </c>
      <c r="W1310" s="12">
        <f t="shared" ca="1" si="298"/>
        <v>-3367.0886075949365</v>
      </c>
      <c r="X1310" s="7">
        <f ca="1">AVERAGE(E1310:OFFSET(F1310,-$X$5+1,0))</f>
        <v>10926</v>
      </c>
      <c r="Y1310" s="7">
        <f ca="1">AVERAGE(E1310:OFFSET(F1310,-$Y$5+1,0))</f>
        <v>10937.45</v>
      </c>
      <c r="Z1310" s="7">
        <f t="shared" ca="1" si="300"/>
        <v>0</v>
      </c>
    </row>
    <row r="1311" spans="1:26">
      <c r="A1311" s="3" t="s">
        <v>87</v>
      </c>
      <c r="B1311" s="4">
        <v>43594</v>
      </c>
      <c r="C1311" s="3">
        <v>10854</v>
      </c>
      <c r="D1311" s="3">
        <v>10866</v>
      </c>
      <c r="E1311" s="3">
        <v>10716</v>
      </c>
      <c r="F1311" s="3">
        <v>10746</v>
      </c>
      <c r="G1311" s="3">
        <v>163378</v>
      </c>
      <c r="H1311" s="3">
        <v>1.0449999999999999</v>
      </c>
      <c r="I1311" s="2">
        <f t="shared" si="309"/>
        <v>0</v>
      </c>
      <c r="J1311" s="10">
        <f t="shared" si="311"/>
        <v>-39</v>
      </c>
      <c r="K1311" s="10">
        <f t="shared" si="310"/>
        <v>-108</v>
      </c>
      <c r="L1311" s="10">
        <f t="shared" ca="1" si="299"/>
        <v>0</v>
      </c>
      <c r="M1311" s="10">
        <f t="shared" ca="1" si="301"/>
        <v>-1</v>
      </c>
      <c r="N1311" s="30">
        <f t="shared" ca="1" si="302"/>
        <v>0</v>
      </c>
      <c r="O1311" s="10">
        <f t="shared" ca="1" si="303"/>
        <v>2189400</v>
      </c>
      <c r="P1311" s="29">
        <f t="shared" ca="1" si="304"/>
        <v>29400</v>
      </c>
      <c r="Q1311" s="12">
        <f t="shared" ca="1" si="305"/>
        <v>-433300</v>
      </c>
      <c r="R1311" s="10">
        <f t="shared" ca="1" si="306"/>
        <v>1.3428336530556317</v>
      </c>
      <c r="S1311" s="10">
        <f t="shared" ca="1" si="296"/>
        <v>-0.90265004428094553</v>
      </c>
      <c r="T1311" s="14">
        <f t="shared" ca="1" si="297"/>
        <v>-0.24798720460689683</v>
      </c>
      <c r="U1311" s="12">
        <f t="shared" ca="1" si="307"/>
        <v>7900</v>
      </c>
      <c r="V1311" s="14">
        <f t="shared" ca="1" si="308"/>
        <v>-5584.8101265822788</v>
      </c>
      <c r="W1311" s="12">
        <f t="shared" ca="1" si="298"/>
        <v>-3367.0886075949365</v>
      </c>
      <c r="X1311" s="7">
        <f ca="1">AVERAGE(E1311:OFFSET(F1311,-$X$5+1,0))</f>
        <v>10881.1</v>
      </c>
      <c r="Y1311" s="7">
        <f ca="1">AVERAGE(E1311:OFFSET(F1311,-$Y$5+1,0))</f>
        <v>10911.6</v>
      </c>
      <c r="Z1311" s="7">
        <f t="shared" ca="1" si="300"/>
        <v>0</v>
      </c>
    </row>
    <row r="1312" spans="1:26">
      <c r="A1312" s="3" t="s">
        <v>87</v>
      </c>
      <c r="B1312" s="4">
        <v>43595</v>
      </c>
      <c r="C1312" s="3">
        <v>10750</v>
      </c>
      <c r="D1312" s="3">
        <v>10850</v>
      </c>
      <c r="E1312" s="3">
        <v>10646</v>
      </c>
      <c r="F1312" s="3">
        <v>10745</v>
      </c>
      <c r="G1312" s="3">
        <v>244648</v>
      </c>
      <c r="H1312" s="3">
        <v>1.0449999999999999</v>
      </c>
      <c r="I1312" s="2">
        <f t="shared" si="309"/>
        <v>0</v>
      </c>
      <c r="J1312" s="10">
        <f t="shared" si="311"/>
        <v>4</v>
      </c>
      <c r="K1312" s="10">
        <f t="shared" si="310"/>
        <v>-5</v>
      </c>
      <c r="L1312" s="10">
        <f t="shared" ca="1" si="299"/>
        <v>0</v>
      </c>
      <c r="M1312" s="10">
        <f t="shared" ca="1" si="301"/>
        <v>-1</v>
      </c>
      <c r="N1312" s="30">
        <f t="shared" ca="1" si="302"/>
        <v>0</v>
      </c>
      <c r="O1312" s="10">
        <f t="shared" ca="1" si="303"/>
        <v>2189400</v>
      </c>
      <c r="P1312" s="29">
        <f t="shared" ca="1" si="304"/>
        <v>200</v>
      </c>
      <c r="Q1312" s="12">
        <f t="shared" ca="1" si="305"/>
        <v>-433100</v>
      </c>
      <c r="R1312" s="10">
        <f t="shared" ca="1" si="306"/>
        <v>9.1349228099022566E-3</v>
      </c>
      <c r="S1312" s="10">
        <f t="shared" ca="1" si="296"/>
        <v>-0.90128755364806867</v>
      </c>
      <c r="T1312" s="14">
        <f t="shared" ca="1" si="297"/>
        <v>-0.24781809669726551</v>
      </c>
      <c r="U1312" s="12">
        <f t="shared" ca="1" si="307"/>
        <v>7900</v>
      </c>
      <c r="V1312" s="14">
        <f t="shared" ca="1" si="308"/>
        <v>-5582.2784810126586</v>
      </c>
      <c r="W1312" s="12">
        <f t="shared" ca="1" si="298"/>
        <v>-3367.0886075949365</v>
      </c>
      <c r="X1312" s="7">
        <f ca="1">AVERAGE(E1312:OFFSET(F1312,-$X$5+1,0))</f>
        <v>10813.5</v>
      </c>
      <c r="Y1312" s="7">
        <f ca="1">AVERAGE(E1312:OFFSET(F1312,-$Y$5+1,0))</f>
        <v>10880.75</v>
      </c>
      <c r="Z1312" s="7">
        <f t="shared" ca="1" si="300"/>
        <v>0</v>
      </c>
    </row>
    <row r="1313" spans="1:26">
      <c r="A1313" s="3" t="s">
        <v>87</v>
      </c>
      <c r="B1313" s="4">
        <v>43598</v>
      </c>
      <c r="C1313" s="3">
        <v>10686</v>
      </c>
      <c r="D1313" s="3">
        <v>10708</v>
      </c>
      <c r="E1313" s="3">
        <v>10565</v>
      </c>
      <c r="F1313" s="3">
        <v>10576</v>
      </c>
      <c r="G1313" s="3">
        <v>166126</v>
      </c>
      <c r="H1313" s="3">
        <v>1.0449999999999999</v>
      </c>
      <c r="I1313" s="2">
        <f t="shared" si="309"/>
        <v>0</v>
      </c>
      <c r="J1313" s="10">
        <f t="shared" si="311"/>
        <v>-59</v>
      </c>
      <c r="K1313" s="10">
        <f t="shared" si="310"/>
        <v>-110</v>
      </c>
      <c r="L1313" s="10">
        <f t="shared" ca="1" si="299"/>
        <v>0</v>
      </c>
      <c r="M1313" s="10">
        <f t="shared" ca="1" si="301"/>
        <v>-1</v>
      </c>
      <c r="N1313" s="30">
        <f t="shared" ca="1" si="302"/>
        <v>0</v>
      </c>
      <c r="O1313" s="10">
        <f t="shared" ca="1" si="303"/>
        <v>2189400</v>
      </c>
      <c r="P1313" s="29">
        <f t="shared" ca="1" si="304"/>
        <v>33800</v>
      </c>
      <c r="Q1313" s="12">
        <f t="shared" ca="1" si="305"/>
        <v>-399300</v>
      </c>
      <c r="R1313" s="10">
        <f t="shared" ca="1" si="306"/>
        <v>1.5438019548734814</v>
      </c>
      <c r="S1313" s="10">
        <f t="shared" ca="1" si="296"/>
        <v>-0.67102663669187279</v>
      </c>
      <c r="T1313" s="14">
        <f t="shared" ca="1" si="297"/>
        <v>-0.21528906800421344</v>
      </c>
      <c r="U1313" s="12">
        <f t="shared" ca="1" si="307"/>
        <v>7900</v>
      </c>
      <c r="V1313" s="14">
        <f t="shared" ca="1" si="308"/>
        <v>-5154.4303797468356</v>
      </c>
      <c r="W1313" s="12">
        <f t="shared" ca="1" si="298"/>
        <v>-3367.0886075949365</v>
      </c>
      <c r="X1313" s="7">
        <f ca="1">AVERAGE(E1313:OFFSET(F1313,-$X$5+1,0))</f>
        <v>10759.8</v>
      </c>
      <c r="Y1313" s="7">
        <f ca="1">AVERAGE(E1313:OFFSET(F1313,-$Y$5+1,0))</f>
        <v>10846.15</v>
      </c>
      <c r="Z1313" s="7">
        <f t="shared" ca="1" si="300"/>
        <v>0</v>
      </c>
    </row>
    <row r="1314" spans="1:26">
      <c r="A1314" s="3" t="s">
        <v>87</v>
      </c>
      <c r="B1314" s="4">
        <v>43599</v>
      </c>
      <c r="C1314" s="3">
        <v>10425</v>
      </c>
      <c r="D1314" s="3">
        <v>10571</v>
      </c>
      <c r="E1314" s="3">
        <v>10399</v>
      </c>
      <c r="F1314" s="3">
        <v>10532</v>
      </c>
      <c r="G1314" s="3">
        <v>182739</v>
      </c>
      <c r="H1314" s="3">
        <v>1.0449999999999999</v>
      </c>
      <c r="I1314" s="2">
        <f t="shared" si="309"/>
        <v>0</v>
      </c>
      <c r="J1314" s="10">
        <f t="shared" si="311"/>
        <v>-151</v>
      </c>
      <c r="K1314" s="10">
        <f t="shared" si="310"/>
        <v>107</v>
      </c>
      <c r="L1314" s="10">
        <f t="shared" ca="1" si="299"/>
        <v>0</v>
      </c>
      <c r="M1314" s="10">
        <f t="shared" ca="1" si="301"/>
        <v>-1</v>
      </c>
      <c r="N1314" s="30">
        <f t="shared" ca="1" si="302"/>
        <v>0</v>
      </c>
      <c r="O1314" s="10">
        <f t="shared" ca="1" si="303"/>
        <v>2189400</v>
      </c>
      <c r="P1314" s="29">
        <f t="shared" ca="1" si="304"/>
        <v>8800</v>
      </c>
      <c r="Q1314" s="12">
        <f t="shared" ca="1" si="305"/>
        <v>-390500</v>
      </c>
      <c r="R1314" s="10">
        <f t="shared" ca="1" si="306"/>
        <v>0.40193660363569927</v>
      </c>
      <c r="S1314" s="10">
        <f t="shared" ca="1" si="296"/>
        <v>-0.61107704884528924</v>
      </c>
      <c r="T1314" s="14">
        <f t="shared" ca="1" si="297"/>
        <v>-0.20838109192630727</v>
      </c>
      <c r="U1314" s="12">
        <f t="shared" ca="1" si="307"/>
        <v>7900</v>
      </c>
      <c r="V1314" s="14">
        <f t="shared" ca="1" si="308"/>
        <v>-5043.0379746835442</v>
      </c>
      <c r="W1314" s="12">
        <f t="shared" ca="1" si="298"/>
        <v>-3367.0886075949365</v>
      </c>
      <c r="X1314" s="7">
        <f ca="1">AVERAGE(E1314:OFFSET(F1314,-$X$5+1,0))</f>
        <v>10665.9</v>
      </c>
      <c r="Y1314" s="7">
        <f ca="1">AVERAGE(E1314:OFFSET(F1314,-$Y$5+1,0))</f>
        <v>10801</v>
      </c>
      <c r="Z1314" s="7">
        <f t="shared" ca="1" si="300"/>
        <v>0</v>
      </c>
    </row>
    <row r="1315" spans="1:26">
      <c r="A1315" s="3" t="s">
        <v>87</v>
      </c>
      <c r="B1315" s="4">
        <v>43600</v>
      </c>
      <c r="C1315" s="3">
        <v>10539</v>
      </c>
      <c r="D1315" s="3">
        <v>10609</v>
      </c>
      <c r="E1315" s="3">
        <v>10513</v>
      </c>
      <c r="F1315" s="3">
        <v>10579</v>
      </c>
      <c r="G1315" s="3">
        <v>84213</v>
      </c>
      <c r="H1315" s="3">
        <v>1.0449999999999999</v>
      </c>
      <c r="I1315" s="2">
        <f t="shared" si="309"/>
        <v>1</v>
      </c>
      <c r="J1315" s="10">
        <f t="shared" si="311"/>
        <v>7</v>
      </c>
      <c r="K1315" s="10">
        <f t="shared" si="310"/>
        <v>40</v>
      </c>
      <c r="L1315" s="10">
        <f t="shared" ca="1" si="299"/>
        <v>0</v>
      </c>
      <c r="M1315" s="10">
        <f t="shared" si="301"/>
        <v>0</v>
      </c>
      <c r="N1315" s="30">
        <f t="shared" si="302"/>
        <v>0</v>
      </c>
      <c r="O1315" s="10">
        <f t="shared" si="303"/>
        <v>0</v>
      </c>
      <c r="P1315" s="29">
        <f t="shared" ca="1" si="304"/>
        <v>-1900</v>
      </c>
      <c r="Q1315" s="12">
        <f t="shared" ca="1" si="305"/>
        <v>-392400</v>
      </c>
      <c r="R1315" s="10">
        <f t="shared" ca="1" si="306"/>
        <v>-8.6781766694071436E-2</v>
      </c>
      <c r="S1315" s="10">
        <f t="shared" ca="1" si="296"/>
        <v>-0.6240207098576197</v>
      </c>
      <c r="T1315" s="14">
        <f t="shared" ca="1" si="297"/>
        <v>-0.21040259105843609</v>
      </c>
      <c r="U1315" s="12">
        <f t="shared" ca="1" si="307"/>
        <v>7900</v>
      </c>
      <c r="V1315" s="14">
        <f t="shared" ca="1" si="308"/>
        <v>-5067.0886075949365</v>
      </c>
      <c r="W1315" s="12">
        <f t="shared" ca="1" si="298"/>
        <v>-3367.0886075949365</v>
      </c>
      <c r="X1315" s="7">
        <f ca="1">AVERAGE(E1315:OFFSET(F1315,-$X$5+1,0))</f>
        <v>10601.7</v>
      </c>
      <c r="Y1315" s="7">
        <f ca="1">AVERAGE(E1315:OFFSET(F1315,-$Y$5+1,0))</f>
        <v>10763.85</v>
      </c>
      <c r="Z1315" s="7">
        <f t="shared" ca="1" si="300"/>
        <v>0</v>
      </c>
    </row>
    <row r="1316" spans="1:26">
      <c r="A1316" s="3" t="s">
        <v>88</v>
      </c>
      <c r="B1316" s="4">
        <v>43601</v>
      </c>
      <c r="C1316" s="3">
        <v>10537</v>
      </c>
      <c r="D1316" s="3">
        <v>10574</v>
      </c>
      <c r="E1316" s="3">
        <v>10483</v>
      </c>
      <c r="F1316" s="3">
        <v>10488</v>
      </c>
      <c r="G1316" s="3">
        <v>136852</v>
      </c>
      <c r="H1316" s="3">
        <v>1.0449999999999999</v>
      </c>
      <c r="I1316" s="2">
        <f t="shared" si="309"/>
        <v>0</v>
      </c>
      <c r="J1316" s="10">
        <f t="shared" si="311"/>
        <v>-42</v>
      </c>
      <c r="K1316" s="10">
        <f t="shared" si="310"/>
        <v>-49</v>
      </c>
      <c r="L1316" s="10">
        <f t="shared" ca="1" si="299"/>
        <v>0</v>
      </c>
      <c r="M1316" s="10">
        <f t="shared" ca="1" si="301"/>
        <v>0</v>
      </c>
      <c r="N1316" s="30">
        <f t="shared" ca="1" si="302"/>
        <v>0</v>
      </c>
      <c r="O1316" s="10">
        <f t="shared" ca="1" si="303"/>
        <v>0</v>
      </c>
      <c r="P1316" s="29">
        <f t="shared" ca="1" si="304"/>
        <v>0</v>
      </c>
      <c r="Q1316" s="12">
        <f t="shared" ca="1" si="305"/>
        <v>-392400</v>
      </c>
      <c r="R1316" s="10">
        <f t="shared" ca="1" si="306"/>
        <v>0</v>
      </c>
      <c r="S1316" s="10">
        <f t="shared" ca="1" si="296"/>
        <v>-0.6240207098576197</v>
      </c>
      <c r="T1316" s="14">
        <f t="shared" ca="1" si="297"/>
        <v>-0.21040259105843609</v>
      </c>
      <c r="U1316" s="12">
        <f t="shared" ca="1" si="307"/>
        <v>7900</v>
      </c>
      <c r="V1316" s="14">
        <f t="shared" ca="1" si="308"/>
        <v>-5067.0886075949365</v>
      </c>
      <c r="W1316" s="12">
        <f t="shared" ca="1" si="298"/>
        <v>-3367.0886075949365</v>
      </c>
      <c r="X1316" s="7">
        <f ca="1">AVERAGE(E1316:OFFSET(F1316,-$X$5+1,0))</f>
        <v>10552.6</v>
      </c>
      <c r="Y1316" s="7">
        <f ca="1">AVERAGE(E1316:OFFSET(F1316,-$Y$5+1,0))</f>
        <v>10716.85</v>
      </c>
      <c r="Z1316" s="7">
        <f t="shared" ca="1" si="300"/>
        <v>0</v>
      </c>
    </row>
    <row r="1317" spans="1:26">
      <c r="A1317" s="3" t="s">
        <v>88</v>
      </c>
      <c r="B1317" s="4">
        <v>43602</v>
      </c>
      <c r="C1317" s="3">
        <v>10562</v>
      </c>
      <c r="D1317" s="3">
        <v>10566</v>
      </c>
      <c r="E1317" s="3">
        <v>10406</v>
      </c>
      <c r="F1317" s="3">
        <v>10411</v>
      </c>
      <c r="G1317" s="3">
        <v>148067</v>
      </c>
      <c r="H1317" s="3">
        <v>1.0449999999999999</v>
      </c>
      <c r="I1317" s="2">
        <f t="shared" si="309"/>
        <v>0</v>
      </c>
      <c r="J1317" s="10">
        <f t="shared" si="311"/>
        <v>74</v>
      </c>
      <c r="K1317" s="10">
        <f t="shared" si="310"/>
        <v>-151</v>
      </c>
      <c r="L1317" s="10">
        <f t="shared" ca="1" si="299"/>
        <v>0</v>
      </c>
      <c r="M1317" s="10">
        <f t="shared" ca="1" si="301"/>
        <v>0</v>
      </c>
      <c r="N1317" s="30">
        <f t="shared" ca="1" si="302"/>
        <v>0</v>
      </c>
      <c r="O1317" s="10">
        <f t="shared" ca="1" si="303"/>
        <v>0</v>
      </c>
      <c r="P1317" s="29">
        <f t="shared" ca="1" si="304"/>
        <v>0</v>
      </c>
      <c r="Q1317" s="12">
        <f t="shared" ca="1" si="305"/>
        <v>-392400</v>
      </c>
      <c r="R1317" s="10">
        <f t="shared" ca="1" si="306"/>
        <v>0</v>
      </c>
      <c r="S1317" s="10">
        <f t="shared" ca="1" si="296"/>
        <v>-0.6240207098576197</v>
      </c>
      <c r="T1317" s="14">
        <f t="shared" ca="1" si="297"/>
        <v>-0.21040259105843609</v>
      </c>
      <c r="U1317" s="12">
        <f t="shared" ca="1" si="307"/>
        <v>7900</v>
      </c>
      <c r="V1317" s="14">
        <f t="shared" ca="1" si="308"/>
        <v>-5067.0886075949365</v>
      </c>
      <c r="W1317" s="12">
        <f t="shared" ca="1" si="298"/>
        <v>-3367.0886075949365</v>
      </c>
      <c r="X1317" s="7">
        <f ca="1">AVERAGE(E1317:OFFSET(F1317,-$X$5+1,0))</f>
        <v>10495.2</v>
      </c>
      <c r="Y1317" s="7">
        <f ca="1">AVERAGE(E1317:OFFSET(F1317,-$Y$5+1,0))</f>
        <v>10654.35</v>
      </c>
      <c r="Z1317" s="7">
        <f t="shared" ca="1" si="300"/>
        <v>0</v>
      </c>
    </row>
    <row r="1318" spans="1:26">
      <c r="A1318" s="3" t="s">
        <v>88</v>
      </c>
      <c r="B1318" s="4">
        <v>43605</v>
      </c>
      <c r="C1318" s="3">
        <v>10442</v>
      </c>
      <c r="D1318" s="3">
        <v>10485</v>
      </c>
      <c r="E1318" s="3">
        <v>10405</v>
      </c>
      <c r="F1318" s="3">
        <v>10433</v>
      </c>
      <c r="G1318" s="3">
        <v>138410</v>
      </c>
      <c r="H1318" s="3">
        <v>1.0449999999999999</v>
      </c>
      <c r="I1318" s="2">
        <f t="shared" si="309"/>
        <v>0</v>
      </c>
      <c r="J1318" s="10">
        <f t="shared" si="311"/>
        <v>31</v>
      </c>
      <c r="K1318" s="10">
        <f t="shared" si="310"/>
        <v>-9</v>
      </c>
      <c r="L1318" s="10">
        <f t="shared" ca="1" si="299"/>
        <v>0</v>
      </c>
      <c r="M1318" s="10">
        <f t="shared" ca="1" si="301"/>
        <v>0</v>
      </c>
      <c r="N1318" s="30">
        <f t="shared" ca="1" si="302"/>
        <v>0</v>
      </c>
      <c r="O1318" s="10">
        <f t="shared" ca="1" si="303"/>
        <v>0</v>
      </c>
      <c r="P1318" s="29">
        <f t="shared" ca="1" si="304"/>
        <v>0</v>
      </c>
      <c r="Q1318" s="12">
        <f t="shared" ca="1" si="305"/>
        <v>-392400</v>
      </c>
      <c r="R1318" s="10">
        <f t="shared" ca="1" si="306"/>
        <v>0</v>
      </c>
      <c r="S1318" s="10">
        <f t="shared" ca="1" si="296"/>
        <v>-0.6240207098576197</v>
      </c>
      <c r="T1318" s="14">
        <f t="shared" ca="1" si="297"/>
        <v>-0.21069270201339219</v>
      </c>
      <c r="U1318" s="12">
        <f t="shared" ca="1" si="307"/>
        <v>7900</v>
      </c>
      <c r="V1318" s="14">
        <f t="shared" ca="1" si="308"/>
        <v>-5067.0886075949365</v>
      </c>
      <c r="W1318" s="12">
        <f t="shared" ca="1" si="298"/>
        <v>-3367.0886075949365</v>
      </c>
      <c r="X1318" s="7">
        <f ca="1">AVERAGE(E1318:OFFSET(F1318,-$X$5+1,0))</f>
        <v>10464.9</v>
      </c>
      <c r="Y1318" s="7">
        <f ca="1">AVERAGE(E1318:OFFSET(F1318,-$Y$5+1,0))</f>
        <v>10612.35</v>
      </c>
      <c r="Z1318" s="7">
        <f t="shared" ca="1" si="300"/>
        <v>0</v>
      </c>
    </row>
    <row r="1319" spans="1:26">
      <c r="A1319" s="3" t="s">
        <v>88</v>
      </c>
      <c r="B1319" s="4">
        <v>43606</v>
      </c>
      <c r="C1319" s="3">
        <v>10398</v>
      </c>
      <c r="D1319" s="3">
        <v>10502</v>
      </c>
      <c r="E1319" s="3">
        <v>10378</v>
      </c>
      <c r="F1319" s="3">
        <v>10487</v>
      </c>
      <c r="G1319" s="3">
        <v>139337</v>
      </c>
      <c r="H1319" s="3">
        <v>1.0449999999999999</v>
      </c>
      <c r="I1319" s="2">
        <f t="shared" si="309"/>
        <v>0</v>
      </c>
      <c r="J1319" s="10">
        <f t="shared" si="311"/>
        <v>-35</v>
      </c>
      <c r="K1319" s="10">
        <f t="shared" si="310"/>
        <v>89</v>
      </c>
      <c r="L1319" s="10">
        <f t="shared" ca="1" si="299"/>
        <v>0</v>
      </c>
      <c r="M1319" s="10">
        <f t="shared" ca="1" si="301"/>
        <v>0</v>
      </c>
      <c r="N1319" s="30">
        <f t="shared" ca="1" si="302"/>
        <v>0</v>
      </c>
      <c r="O1319" s="10">
        <f t="shared" ca="1" si="303"/>
        <v>0</v>
      </c>
      <c r="P1319" s="29">
        <f t="shared" ca="1" si="304"/>
        <v>0</v>
      </c>
      <c r="Q1319" s="12">
        <f t="shared" ca="1" si="305"/>
        <v>-392400</v>
      </c>
      <c r="R1319" s="10">
        <f t="shared" ca="1" si="306"/>
        <v>0</v>
      </c>
      <c r="S1319" s="10">
        <f t="shared" ca="1" si="296"/>
        <v>-0.6240207098576197</v>
      </c>
      <c r="T1319" s="14">
        <f t="shared" ca="1" si="297"/>
        <v>-0.21076713751966214</v>
      </c>
      <c r="U1319" s="12">
        <f t="shared" ca="1" si="307"/>
        <v>7900</v>
      </c>
      <c r="V1319" s="14">
        <f t="shared" ca="1" si="308"/>
        <v>-5067.0886075949365</v>
      </c>
      <c r="W1319" s="12">
        <f t="shared" ca="1" si="298"/>
        <v>-3367.0886075949365</v>
      </c>
      <c r="X1319" s="7">
        <f ca="1">AVERAGE(E1319:OFFSET(F1319,-$X$5+1,0))</f>
        <v>10458.299999999999</v>
      </c>
      <c r="Y1319" s="7">
        <f ca="1">AVERAGE(E1319:OFFSET(F1319,-$Y$5+1,0))</f>
        <v>10562.1</v>
      </c>
      <c r="Z1319" s="7">
        <f t="shared" ca="1" si="300"/>
        <v>0</v>
      </c>
    </row>
    <row r="1320" spans="1:26">
      <c r="A1320" s="3" t="s">
        <v>88</v>
      </c>
      <c r="B1320" s="4">
        <v>43607</v>
      </c>
      <c r="C1320" s="3">
        <v>10471</v>
      </c>
      <c r="D1320" s="3">
        <v>10515</v>
      </c>
      <c r="E1320" s="3">
        <v>10453</v>
      </c>
      <c r="F1320" s="3">
        <v>10480</v>
      </c>
      <c r="G1320" s="3">
        <v>116942</v>
      </c>
      <c r="H1320" s="3">
        <v>1.0449999999999999</v>
      </c>
      <c r="I1320" s="2">
        <f t="shared" si="309"/>
        <v>0</v>
      </c>
      <c r="J1320" s="10">
        <f t="shared" si="311"/>
        <v>-16</v>
      </c>
      <c r="K1320" s="10">
        <f t="shared" si="310"/>
        <v>9</v>
      </c>
      <c r="L1320" s="10">
        <f t="shared" ca="1" si="299"/>
        <v>0</v>
      </c>
      <c r="M1320" s="10">
        <f t="shared" ca="1" si="301"/>
        <v>0</v>
      </c>
      <c r="N1320" s="30">
        <f t="shared" ca="1" si="302"/>
        <v>0</v>
      </c>
      <c r="O1320" s="10">
        <f t="shared" ca="1" si="303"/>
        <v>0</v>
      </c>
      <c r="P1320" s="29">
        <f t="shared" ca="1" si="304"/>
        <v>0</v>
      </c>
      <c r="Q1320" s="12">
        <f t="shared" ca="1" si="305"/>
        <v>-392400</v>
      </c>
      <c r="R1320" s="10">
        <f t="shared" ca="1" si="306"/>
        <v>0</v>
      </c>
      <c r="S1320" s="10">
        <f t="shared" ca="1" si="296"/>
        <v>-0.6240207098576197</v>
      </c>
      <c r="T1320" s="14">
        <f t="shared" ca="1" si="297"/>
        <v>-0.21076713751966214</v>
      </c>
      <c r="U1320" s="12">
        <f t="shared" ca="1" si="307"/>
        <v>7900</v>
      </c>
      <c r="V1320" s="14">
        <f t="shared" ca="1" si="308"/>
        <v>-5067.0886075949365</v>
      </c>
      <c r="W1320" s="12">
        <f t="shared" ca="1" si="298"/>
        <v>-3367.0886075949365</v>
      </c>
      <c r="X1320" s="7">
        <f ca="1">AVERAGE(E1320:OFFSET(F1320,-$X$5+1,0))</f>
        <v>10442.4</v>
      </c>
      <c r="Y1320" s="7">
        <f ca="1">AVERAGE(E1320:OFFSET(F1320,-$Y$5+1,0))</f>
        <v>10522.05</v>
      </c>
      <c r="Z1320" s="7">
        <f t="shared" ca="1" si="300"/>
        <v>0</v>
      </c>
    </row>
    <row r="1321" spans="1:26">
      <c r="A1321" s="3" t="s">
        <v>88</v>
      </c>
      <c r="B1321" s="4">
        <v>43608</v>
      </c>
      <c r="C1321" s="3">
        <v>10422</v>
      </c>
      <c r="D1321" s="3">
        <v>10424</v>
      </c>
      <c r="E1321" s="3">
        <v>10285</v>
      </c>
      <c r="F1321" s="3">
        <v>10310</v>
      </c>
      <c r="G1321" s="3">
        <v>140826</v>
      </c>
      <c r="H1321" s="3">
        <v>1.0449999999999999</v>
      </c>
      <c r="I1321" s="2">
        <f t="shared" si="309"/>
        <v>0</v>
      </c>
      <c r="J1321" s="10">
        <f t="shared" si="311"/>
        <v>-58</v>
      </c>
      <c r="K1321" s="10">
        <f t="shared" si="310"/>
        <v>-112</v>
      </c>
      <c r="L1321" s="10">
        <f t="shared" ca="1" si="299"/>
        <v>0</v>
      </c>
      <c r="M1321" s="10">
        <f t="shared" ca="1" si="301"/>
        <v>0</v>
      </c>
      <c r="N1321" s="30">
        <f t="shared" ca="1" si="302"/>
        <v>0</v>
      </c>
      <c r="O1321" s="10">
        <f t="shared" ca="1" si="303"/>
        <v>0</v>
      </c>
      <c r="P1321" s="29">
        <f t="shared" ca="1" si="304"/>
        <v>0</v>
      </c>
      <c r="Q1321" s="12">
        <f t="shared" ca="1" si="305"/>
        <v>-392400</v>
      </c>
      <c r="R1321" s="10">
        <f t="shared" ca="1" si="306"/>
        <v>0</v>
      </c>
      <c r="S1321" s="10">
        <f t="shared" ca="1" si="296"/>
        <v>-0.6240207098576197</v>
      </c>
      <c r="T1321" s="14">
        <f t="shared" ca="1" si="297"/>
        <v>-0.21076713751966214</v>
      </c>
      <c r="U1321" s="12">
        <f t="shared" ca="1" si="307"/>
        <v>7900</v>
      </c>
      <c r="V1321" s="14">
        <f t="shared" ca="1" si="308"/>
        <v>-5067.0886075949365</v>
      </c>
      <c r="W1321" s="12">
        <f t="shared" ca="1" si="298"/>
        <v>-3367.0886075949365</v>
      </c>
      <c r="X1321" s="7">
        <f ca="1">AVERAGE(E1321:OFFSET(F1321,-$X$5+1,0))</f>
        <v>10404.799999999999</v>
      </c>
      <c r="Y1321" s="7">
        <f ca="1">AVERAGE(E1321:OFFSET(F1321,-$Y$5+1,0))</f>
        <v>10478.700000000001</v>
      </c>
      <c r="Z1321" s="7">
        <f t="shared" ca="1" si="300"/>
        <v>0</v>
      </c>
    </row>
    <row r="1322" spans="1:26">
      <c r="A1322" s="3" t="s">
        <v>88</v>
      </c>
      <c r="B1322" s="4">
        <v>43609</v>
      </c>
      <c r="C1322" s="3">
        <v>10316</v>
      </c>
      <c r="D1322" s="3">
        <v>10386</v>
      </c>
      <c r="E1322" s="3">
        <v>10315</v>
      </c>
      <c r="F1322" s="3">
        <v>10344</v>
      </c>
      <c r="G1322" s="3">
        <v>110221</v>
      </c>
      <c r="H1322" s="3">
        <v>1.0449999999999999</v>
      </c>
      <c r="I1322" s="2">
        <f t="shared" si="309"/>
        <v>0</v>
      </c>
      <c r="J1322" s="10">
        <f t="shared" si="311"/>
        <v>6</v>
      </c>
      <c r="K1322" s="10">
        <f t="shared" si="310"/>
        <v>28</v>
      </c>
      <c r="L1322" s="10">
        <f t="shared" ca="1" si="299"/>
        <v>0</v>
      </c>
      <c r="M1322" s="10">
        <f t="shared" ca="1" si="301"/>
        <v>0</v>
      </c>
      <c r="N1322" s="30">
        <f t="shared" ca="1" si="302"/>
        <v>0</v>
      </c>
      <c r="O1322" s="10">
        <f t="shared" ca="1" si="303"/>
        <v>0</v>
      </c>
      <c r="P1322" s="29">
        <f t="shared" ca="1" si="304"/>
        <v>0</v>
      </c>
      <c r="Q1322" s="12">
        <f t="shared" ca="1" si="305"/>
        <v>-392400</v>
      </c>
      <c r="R1322" s="10">
        <f t="shared" ca="1" si="306"/>
        <v>0</v>
      </c>
      <c r="S1322" s="10">
        <f t="shared" ca="1" si="296"/>
        <v>-0.6240207098576197</v>
      </c>
      <c r="T1322" s="14">
        <f t="shared" ca="1" si="297"/>
        <v>-0.21076713751966214</v>
      </c>
      <c r="U1322" s="12">
        <f t="shared" ca="1" si="307"/>
        <v>7900</v>
      </c>
      <c r="V1322" s="14">
        <f t="shared" ca="1" si="308"/>
        <v>-5067.0886075949365</v>
      </c>
      <c r="W1322" s="12">
        <f t="shared" ca="1" si="298"/>
        <v>-3367.0886075949365</v>
      </c>
      <c r="X1322" s="7">
        <f ca="1">AVERAGE(E1322:OFFSET(F1322,-$X$5+1,0))</f>
        <v>10389</v>
      </c>
      <c r="Y1322" s="7">
        <f ca="1">AVERAGE(E1322:OFFSET(F1322,-$Y$5+1,0))</f>
        <v>10442.1</v>
      </c>
      <c r="Z1322" s="7">
        <f t="shared" ca="1" si="300"/>
        <v>0</v>
      </c>
    </row>
    <row r="1323" spans="1:26">
      <c r="A1323" s="3" t="s">
        <v>88</v>
      </c>
      <c r="B1323" s="4">
        <v>43612</v>
      </c>
      <c r="C1323" s="3">
        <v>10350</v>
      </c>
      <c r="D1323" s="3">
        <v>10390</v>
      </c>
      <c r="E1323" s="3">
        <v>10284</v>
      </c>
      <c r="F1323" s="3">
        <v>10333</v>
      </c>
      <c r="G1323" s="3">
        <v>103116</v>
      </c>
      <c r="H1323" s="3">
        <v>1.0449999999999999</v>
      </c>
      <c r="I1323" s="2">
        <f t="shared" si="309"/>
        <v>0</v>
      </c>
      <c r="J1323" s="10">
        <f t="shared" si="311"/>
        <v>6</v>
      </c>
      <c r="K1323" s="10">
        <f t="shared" si="310"/>
        <v>-17</v>
      </c>
      <c r="L1323" s="10">
        <f t="shared" ca="1" si="299"/>
        <v>0</v>
      </c>
      <c r="M1323" s="10">
        <f t="shared" ca="1" si="301"/>
        <v>0</v>
      </c>
      <c r="N1323" s="30">
        <f t="shared" ca="1" si="302"/>
        <v>0</v>
      </c>
      <c r="O1323" s="10">
        <f t="shared" ca="1" si="303"/>
        <v>0</v>
      </c>
      <c r="P1323" s="29">
        <f t="shared" ca="1" si="304"/>
        <v>0</v>
      </c>
      <c r="Q1323" s="12">
        <f t="shared" ca="1" si="305"/>
        <v>-392400</v>
      </c>
      <c r="R1323" s="10">
        <f t="shared" ca="1" si="306"/>
        <v>0</v>
      </c>
      <c r="S1323" s="10">
        <f t="shared" ca="1" si="296"/>
        <v>-0.6240207098576197</v>
      </c>
      <c r="T1323" s="14">
        <f t="shared" ca="1" si="297"/>
        <v>-0.21076713751966214</v>
      </c>
      <c r="U1323" s="12">
        <f t="shared" ca="1" si="307"/>
        <v>7900</v>
      </c>
      <c r="V1323" s="14">
        <f t="shared" ca="1" si="308"/>
        <v>-5067.0886075949365</v>
      </c>
      <c r="W1323" s="12">
        <f t="shared" ca="1" si="298"/>
        <v>-3367.0886075949365</v>
      </c>
      <c r="X1323" s="7">
        <f ca="1">AVERAGE(E1323:OFFSET(F1323,-$X$5+1,0))</f>
        <v>10366.9</v>
      </c>
      <c r="Y1323" s="7">
        <f ca="1">AVERAGE(E1323:OFFSET(F1323,-$Y$5+1,0))</f>
        <v>10415.9</v>
      </c>
      <c r="Z1323" s="7">
        <f t="shared" ca="1" si="300"/>
        <v>0</v>
      </c>
    </row>
    <row r="1324" spans="1:26">
      <c r="A1324" s="3" t="s">
        <v>88</v>
      </c>
      <c r="B1324" s="4">
        <v>43613</v>
      </c>
      <c r="C1324" s="3">
        <v>10369</v>
      </c>
      <c r="D1324" s="3">
        <v>10374</v>
      </c>
      <c r="E1324" s="3">
        <v>10309</v>
      </c>
      <c r="F1324" s="3">
        <v>10340</v>
      </c>
      <c r="G1324" s="3">
        <v>87667</v>
      </c>
      <c r="H1324" s="3">
        <v>1.0449999999999999</v>
      </c>
      <c r="I1324" s="2">
        <f t="shared" si="309"/>
        <v>0</v>
      </c>
      <c r="J1324" s="10">
        <f t="shared" si="311"/>
        <v>36</v>
      </c>
      <c r="K1324" s="10">
        <f t="shared" si="310"/>
        <v>-29</v>
      </c>
      <c r="L1324" s="10">
        <f t="shared" ca="1" si="299"/>
        <v>0</v>
      </c>
      <c r="M1324" s="10">
        <f t="shared" ca="1" si="301"/>
        <v>0</v>
      </c>
      <c r="N1324" s="30">
        <f t="shared" ca="1" si="302"/>
        <v>0</v>
      </c>
      <c r="O1324" s="10">
        <f t="shared" ca="1" si="303"/>
        <v>0</v>
      </c>
      <c r="P1324" s="29">
        <f t="shared" ca="1" si="304"/>
        <v>0</v>
      </c>
      <c r="Q1324" s="12">
        <f t="shared" ca="1" si="305"/>
        <v>-392400</v>
      </c>
      <c r="R1324" s="10">
        <f t="shared" ca="1" si="306"/>
        <v>0</v>
      </c>
      <c r="S1324" s="10">
        <f t="shared" ref="S1324:S1387" ca="1" si="312">100*SUM(P1085:P1324)/SUM(N1085:N1324)</f>
        <v>-0.47210300429184548</v>
      </c>
      <c r="T1324" s="14">
        <f t="shared" ca="1" si="297"/>
        <v>-0.19231715841161012</v>
      </c>
      <c r="U1324" s="12">
        <f t="shared" ca="1" si="307"/>
        <v>7900</v>
      </c>
      <c r="V1324" s="14">
        <f t="shared" ca="1" si="308"/>
        <v>-5067.0886075949365</v>
      </c>
      <c r="W1324" s="12">
        <f t="shared" ca="1" si="298"/>
        <v>-3367.0886075949365</v>
      </c>
      <c r="X1324" s="7">
        <f ca="1">AVERAGE(E1324:OFFSET(F1324,-$X$5+1,0))</f>
        <v>10345.299999999999</v>
      </c>
      <c r="Y1324" s="7">
        <f ca="1">AVERAGE(E1324:OFFSET(F1324,-$Y$5+1,0))</f>
        <v>10401.799999999999</v>
      </c>
      <c r="Z1324" s="7">
        <f t="shared" ca="1" si="300"/>
        <v>0</v>
      </c>
    </row>
    <row r="1325" spans="1:26">
      <c r="A1325" s="3" t="s">
        <v>88</v>
      </c>
      <c r="B1325" s="4">
        <v>43614</v>
      </c>
      <c r="C1325" s="3">
        <v>10220</v>
      </c>
      <c r="D1325" s="3">
        <v>10295</v>
      </c>
      <c r="E1325" s="3">
        <v>10218</v>
      </c>
      <c r="F1325" s="3">
        <v>10291</v>
      </c>
      <c r="G1325" s="3">
        <v>94603</v>
      </c>
      <c r="H1325" s="3">
        <v>1.0449999999999999</v>
      </c>
      <c r="I1325" s="2">
        <f t="shared" si="309"/>
        <v>0</v>
      </c>
      <c r="J1325" s="10">
        <f t="shared" si="311"/>
        <v>-120</v>
      </c>
      <c r="K1325" s="10">
        <f t="shared" si="310"/>
        <v>71</v>
      </c>
      <c r="L1325" s="10">
        <f t="shared" ca="1" si="299"/>
        <v>0</v>
      </c>
      <c r="M1325" s="10">
        <f t="shared" ca="1" si="301"/>
        <v>0</v>
      </c>
      <c r="N1325" s="30">
        <f t="shared" ca="1" si="302"/>
        <v>0</v>
      </c>
      <c r="O1325" s="10">
        <f t="shared" ca="1" si="303"/>
        <v>0</v>
      </c>
      <c r="P1325" s="29">
        <f t="shared" ca="1" si="304"/>
        <v>0</v>
      </c>
      <c r="Q1325" s="12">
        <f t="shared" ca="1" si="305"/>
        <v>-392400</v>
      </c>
      <c r="R1325" s="10">
        <f t="shared" ca="1" si="306"/>
        <v>0</v>
      </c>
      <c r="S1325" s="10">
        <f t="shared" ca="1" si="312"/>
        <v>-0.4939028544178759</v>
      </c>
      <c r="T1325" s="14">
        <f t="shared" ref="T1325:T1388" ca="1" si="313">(S1325-AVERAGE(H1056:H1325))/(_xlfn.STDEV.S(R1056:R1325)*SQRT(240))</f>
        <v>-0.19616650421708701</v>
      </c>
      <c r="U1325" s="12">
        <f t="shared" ca="1" si="307"/>
        <v>7900</v>
      </c>
      <c r="V1325" s="14">
        <f t="shared" ca="1" si="308"/>
        <v>-5067.0886075949365</v>
      </c>
      <c r="W1325" s="12">
        <f t="shared" ref="W1325:W1388" ca="1" si="314">MAX(V1086:V1325)</f>
        <v>-3367.0886075949365</v>
      </c>
      <c r="X1325" s="7">
        <f ca="1">AVERAGE(E1325:OFFSET(F1325,-$X$5+1,0))</f>
        <v>10302.9</v>
      </c>
      <c r="Y1325" s="7">
        <f ca="1">AVERAGE(E1325:OFFSET(F1325,-$Y$5+1,0))</f>
        <v>10372.65</v>
      </c>
      <c r="Z1325" s="7">
        <f t="shared" ca="1" si="300"/>
        <v>0</v>
      </c>
    </row>
    <row r="1326" spans="1:26">
      <c r="A1326" s="3" t="s">
        <v>88</v>
      </c>
      <c r="B1326" s="4">
        <v>43615</v>
      </c>
      <c r="C1326" s="3">
        <v>10311</v>
      </c>
      <c r="D1326" s="3">
        <v>10382</v>
      </c>
      <c r="E1326" s="3">
        <v>10279</v>
      </c>
      <c r="F1326" s="3">
        <v>10367</v>
      </c>
      <c r="G1326" s="3">
        <v>118886</v>
      </c>
      <c r="H1326" s="3">
        <v>1.0449999999999999</v>
      </c>
      <c r="I1326" s="2">
        <f t="shared" si="309"/>
        <v>0</v>
      </c>
      <c r="J1326" s="10">
        <f t="shared" si="311"/>
        <v>20</v>
      </c>
      <c r="K1326" s="10">
        <f t="shared" si="310"/>
        <v>56</v>
      </c>
      <c r="L1326" s="10">
        <f t="shared" ca="1" si="299"/>
        <v>0</v>
      </c>
      <c r="M1326" s="10">
        <f t="shared" ca="1" si="301"/>
        <v>0</v>
      </c>
      <c r="N1326" s="30">
        <f t="shared" ca="1" si="302"/>
        <v>0</v>
      </c>
      <c r="O1326" s="10">
        <f t="shared" ca="1" si="303"/>
        <v>0</v>
      </c>
      <c r="P1326" s="29">
        <f t="shared" ca="1" si="304"/>
        <v>0</v>
      </c>
      <c r="Q1326" s="12">
        <f t="shared" ca="1" si="305"/>
        <v>-392400</v>
      </c>
      <c r="R1326" s="10">
        <f t="shared" ca="1" si="306"/>
        <v>0</v>
      </c>
      <c r="S1326" s="10">
        <f t="shared" ca="1" si="312"/>
        <v>-0.45507187138088423</v>
      </c>
      <c r="T1326" s="14">
        <f t="shared" ca="1" si="313"/>
        <v>-0.19272596984432014</v>
      </c>
      <c r="U1326" s="12">
        <f t="shared" ca="1" si="307"/>
        <v>7900</v>
      </c>
      <c r="V1326" s="14">
        <f t="shared" ca="1" si="308"/>
        <v>-5067.0886075949365</v>
      </c>
      <c r="W1326" s="12">
        <f t="shared" ca="1" si="314"/>
        <v>-3367.0886075949365</v>
      </c>
      <c r="X1326" s="7">
        <f ca="1">AVERAGE(E1326:OFFSET(F1326,-$X$5+1,0))</f>
        <v>10308</v>
      </c>
      <c r="Y1326" s="7">
        <f ca="1">AVERAGE(E1326:OFFSET(F1326,-$Y$5+1,0))</f>
        <v>10356.4</v>
      </c>
      <c r="Z1326" s="7">
        <f t="shared" ca="1" si="300"/>
        <v>0</v>
      </c>
    </row>
    <row r="1327" spans="1:26">
      <c r="A1327" s="3" t="s">
        <v>88</v>
      </c>
      <c r="B1327" s="4">
        <v>43616</v>
      </c>
      <c r="C1327" s="3">
        <v>10332</v>
      </c>
      <c r="D1327" s="3">
        <v>10493</v>
      </c>
      <c r="E1327" s="3">
        <v>10330</v>
      </c>
      <c r="F1327" s="3">
        <v>10455</v>
      </c>
      <c r="G1327" s="3">
        <v>132616</v>
      </c>
      <c r="H1327" s="3">
        <v>1.0449999999999999</v>
      </c>
      <c r="I1327" s="2">
        <f t="shared" si="309"/>
        <v>0</v>
      </c>
      <c r="J1327" s="10">
        <f t="shared" si="311"/>
        <v>-35</v>
      </c>
      <c r="K1327" s="10">
        <f t="shared" si="310"/>
        <v>123</v>
      </c>
      <c r="L1327" s="10">
        <f t="shared" ca="1" si="299"/>
        <v>0</v>
      </c>
      <c r="M1327" s="10">
        <f t="shared" ca="1" si="301"/>
        <v>0</v>
      </c>
      <c r="N1327" s="30">
        <f t="shared" ca="1" si="302"/>
        <v>0</v>
      </c>
      <c r="O1327" s="10">
        <f t="shared" ca="1" si="303"/>
        <v>0</v>
      </c>
      <c r="P1327" s="29">
        <f t="shared" ca="1" si="304"/>
        <v>0</v>
      </c>
      <c r="Q1327" s="12">
        <f t="shared" ca="1" si="305"/>
        <v>-392400</v>
      </c>
      <c r="R1327" s="10">
        <f t="shared" ca="1" si="306"/>
        <v>0</v>
      </c>
      <c r="S1327" s="10">
        <f t="shared" ca="1" si="312"/>
        <v>-0.45507187138088423</v>
      </c>
      <c r="T1327" s="14">
        <f t="shared" ca="1" si="313"/>
        <v>-0.19302722643567294</v>
      </c>
      <c r="U1327" s="12">
        <f t="shared" ca="1" si="307"/>
        <v>7900</v>
      </c>
      <c r="V1327" s="14">
        <f t="shared" ca="1" si="308"/>
        <v>-5067.0886075949365</v>
      </c>
      <c r="W1327" s="12">
        <f t="shared" ca="1" si="314"/>
        <v>-3367.0886075949365</v>
      </c>
      <c r="X1327" s="7">
        <f ca="1">AVERAGE(E1327:OFFSET(F1327,-$X$5+1,0))</f>
        <v>10320.6</v>
      </c>
      <c r="Y1327" s="7">
        <f ca="1">AVERAGE(E1327:OFFSET(F1327,-$Y$5+1,0))</f>
        <v>10354.799999999999</v>
      </c>
      <c r="Z1327" s="7">
        <f t="shared" ca="1" si="300"/>
        <v>0</v>
      </c>
    </row>
    <row r="1328" spans="1:26">
      <c r="A1328" s="3" t="s">
        <v>88</v>
      </c>
      <c r="B1328" s="4">
        <v>43619</v>
      </c>
      <c r="C1328" s="3">
        <v>10431</v>
      </c>
      <c r="D1328" s="3">
        <v>10477</v>
      </c>
      <c r="E1328" s="3">
        <v>10366</v>
      </c>
      <c r="F1328" s="3">
        <v>10471</v>
      </c>
      <c r="G1328" s="3">
        <v>129111</v>
      </c>
      <c r="H1328" s="3">
        <v>1.0449999999999999</v>
      </c>
      <c r="I1328" s="2">
        <f t="shared" si="309"/>
        <v>0</v>
      </c>
      <c r="J1328" s="10">
        <f t="shared" si="311"/>
        <v>-24</v>
      </c>
      <c r="K1328" s="10">
        <f t="shared" si="310"/>
        <v>40</v>
      </c>
      <c r="L1328" s="10">
        <f t="shared" ca="1" si="299"/>
        <v>0</v>
      </c>
      <c r="M1328" s="10">
        <f t="shared" ca="1" si="301"/>
        <v>0</v>
      </c>
      <c r="N1328" s="30">
        <f t="shared" ca="1" si="302"/>
        <v>0</v>
      </c>
      <c r="O1328" s="10">
        <f t="shared" ca="1" si="303"/>
        <v>0</v>
      </c>
      <c r="P1328" s="29">
        <f t="shared" ca="1" si="304"/>
        <v>0</v>
      </c>
      <c r="Q1328" s="12">
        <f t="shared" ca="1" si="305"/>
        <v>-392400</v>
      </c>
      <c r="R1328" s="10">
        <f t="shared" ca="1" si="306"/>
        <v>0</v>
      </c>
      <c r="S1328" s="10">
        <f t="shared" ca="1" si="312"/>
        <v>-0.45507187138088423</v>
      </c>
      <c r="T1328" s="14">
        <f t="shared" ca="1" si="313"/>
        <v>-0.19348113736070402</v>
      </c>
      <c r="U1328" s="12">
        <f t="shared" ca="1" si="307"/>
        <v>7900</v>
      </c>
      <c r="V1328" s="14">
        <f t="shared" ca="1" si="308"/>
        <v>-5067.0886075949365</v>
      </c>
      <c r="W1328" s="12">
        <f t="shared" ca="1" si="314"/>
        <v>-3367.0886075949365</v>
      </c>
      <c r="X1328" s="7">
        <f ca="1">AVERAGE(E1328:OFFSET(F1328,-$X$5+1,0))</f>
        <v>10342.6</v>
      </c>
      <c r="Y1328" s="7">
        <f ca="1">AVERAGE(E1328:OFFSET(F1328,-$Y$5+1,0))</f>
        <v>10354.75</v>
      </c>
      <c r="Z1328" s="7">
        <f t="shared" ca="1" si="300"/>
        <v>0</v>
      </c>
    </row>
    <row r="1329" spans="1:26">
      <c r="A1329" s="3" t="s">
        <v>88</v>
      </c>
      <c r="B1329" s="4">
        <v>43620</v>
      </c>
      <c r="C1329" s="3">
        <v>10461</v>
      </c>
      <c r="D1329" s="3">
        <v>10483</v>
      </c>
      <c r="E1329" s="3">
        <v>10401</v>
      </c>
      <c r="F1329" s="3">
        <v>10416</v>
      </c>
      <c r="G1329" s="3">
        <v>91946</v>
      </c>
      <c r="H1329" s="3">
        <v>1.0449999999999999</v>
      </c>
      <c r="I1329" s="2">
        <f t="shared" si="309"/>
        <v>0</v>
      </c>
      <c r="J1329" s="10">
        <f t="shared" si="311"/>
        <v>-10</v>
      </c>
      <c r="K1329" s="10">
        <f t="shared" si="310"/>
        <v>-45</v>
      </c>
      <c r="L1329" s="10">
        <f t="shared" ca="1" si="299"/>
        <v>1</v>
      </c>
      <c r="M1329" s="10">
        <f t="shared" ca="1" si="301"/>
        <v>0</v>
      </c>
      <c r="N1329" s="30">
        <f t="shared" ca="1" si="302"/>
        <v>0</v>
      </c>
      <c r="O1329" s="10">
        <f t="shared" ca="1" si="303"/>
        <v>0</v>
      </c>
      <c r="P1329" s="29">
        <f t="shared" ca="1" si="304"/>
        <v>0</v>
      </c>
      <c r="Q1329" s="12">
        <f t="shared" ca="1" si="305"/>
        <v>-392400</v>
      </c>
      <c r="R1329" s="10">
        <f t="shared" ca="1" si="306"/>
        <v>0</v>
      </c>
      <c r="S1329" s="10">
        <f t="shared" ca="1" si="312"/>
        <v>-0.45507187138088423</v>
      </c>
      <c r="T1329" s="14">
        <f t="shared" ca="1" si="313"/>
        <v>-0.19431902188811476</v>
      </c>
      <c r="U1329" s="12">
        <f t="shared" ca="1" si="307"/>
        <v>7900</v>
      </c>
      <c r="V1329" s="14">
        <f t="shared" ca="1" si="308"/>
        <v>-5067.0886075949365</v>
      </c>
      <c r="W1329" s="12">
        <f t="shared" ca="1" si="314"/>
        <v>-3367.0886075949365</v>
      </c>
      <c r="X1329" s="7">
        <f ca="1">AVERAGE(E1329:OFFSET(F1329,-$X$5+1,0))</f>
        <v>10359.4</v>
      </c>
      <c r="Y1329" s="7">
        <f ca="1">AVERAGE(E1329:OFFSET(F1329,-$Y$5+1,0))</f>
        <v>10352.35</v>
      </c>
      <c r="Z1329" s="7">
        <f t="shared" ca="1" si="300"/>
        <v>1</v>
      </c>
    </row>
    <row r="1330" spans="1:26">
      <c r="A1330" s="3" t="s">
        <v>88</v>
      </c>
      <c r="B1330" s="4">
        <v>43621</v>
      </c>
      <c r="C1330" s="3">
        <v>10495</v>
      </c>
      <c r="D1330" s="3">
        <v>10510</v>
      </c>
      <c r="E1330" s="3">
        <v>10439</v>
      </c>
      <c r="F1330" s="3">
        <v>10456</v>
      </c>
      <c r="G1330" s="3">
        <v>101638</v>
      </c>
      <c r="H1330" s="3">
        <v>1.0449999999999999</v>
      </c>
      <c r="I1330" s="2">
        <f t="shared" si="309"/>
        <v>0</v>
      </c>
      <c r="J1330" s="10">
        <f t="shared" si="311"/>
        <v>79</v>
      </c>
      <c r="K1330" s="10">
        <f t="shared" si="310"/>
        <v>-39</v>
      </c>
      <c r="L1330" s="10">
        <f t="shared" ca="1" si="299"/>
        <v>0</v>
      </c>
      <c r="M1330" s="10">
        <f t="shared" ca="1" si="301"/>
        <v>1</v>
      </c>
      <c r="N1330" s="30">
        <f t="shared" ca="1" si="302"/>
        <v>2099000</v>
      </c>
      <c r="O1330" s="10">
        <f t="shared" ca="1" si="303"/>
        <v>2099000</v>
      </c>
      <c r="P1330" s="29">
        <f t="shared" ca="1" si="304"/>
        <v>-8300</v>
      </c>
      <c r="Q1330" s="12">
        <f t="shared" ca="1" si="305"/>
        <v>-400700</v>
      </c>
      <c r="R1330" s="10">
        <f t="shared" ca="1" si="306"/>
        <v>-0.39542639352072417</v>
      </c>
      <c r="S1330" s="10">
        <f t="shared" ca="1" si="312"/>
        <v>-0.44760996543092146</v>
      </c>
      <c r="T1330" s="14">
        <f t="shared" ca="1" si="313"/>
        <v>-0.1941895802986674</v>
      </c>
      <c r="U1330" s="12">
        <f t="shared" ca="1" si="307"/>
        <v>7900</v>
      </c>
      <c r="V1330" s="14">
        <f t="shared" ca="1" si="308"/>
        <v>-5172.1518987341769</v>
      </c>
      <c r="W1330" s="12">
        <f t="shared" ca="1" si="314"/>
        <v>-3367.0886075949365</v>
      </c>
      <c r="X1330" s="7">
        <f ca="1">AVERAGE(E1330:OFFSET(F1330,-$X$5+1,0))</f>
        <v>10398</v>
      </c>
      <c r="Y1330" s="7">
        <f ca="1">AVERAGE(E1330:OFFSET(F1330,-$Y$5+1,0))</f>
        <v>10350.450000000001</v>
      </c>
      <c r="Z1330" s="7">
        <f t="shared" ca="1" si="300"/>
        <v>0</v>
      </c>
    </row>
    <row r="1331" spans="1:26">
      <c r="A1331" s="3" t="s">
        <v>88</v>
      </c>
      <c r="B1331" s="4">
        <v>43622</v>
      </c>
      <c r="C1331" s="3">
        <v>10433</v>
      </c>
      <c r="D1331" s="3">
        <v>10437</v>
      </c>
      <c r="E1331" s="3">
        <v>10351</v>
      </c>
      <c r="F1331" s="3">
        <v>10360</v>
      </c>
      <c r="G1331" s="3">
        <v>112358</v>
      </c>
      <c r="H1331" s="3">
        <v>1.0449999999999999</v>
      </c>
      <c r="I1331" s="2">
        <f t="shared" si="309"/>
        <v>0</v>
      </c>
      <c r="J1331" s="10">
        <f t="shared" si="311"/>
        <v>-23</v>
      </c>
      <c r="K1331" s="10">
        <f t="shared" si="310"/>
        <v>-73</v>
      </c>
      <c r="L1331" s="10">
        <f t="shared" ca="1" si="299"/>
        <v>0</v>
      </c>
      <c r="M1331" s="10">
        <f t="shared" ca="1" si="301"/>
        <v>1</v>
      </c>
      <c r="N1331" s="30">
        <f t="shared" ca="1" si="302"/>
        <v>0</v>
      </c>
      <c r="O1331" s="10">
        <f t="shared" ca="1" si="303"/>
        <v>2099000</v>
      </c>
      <c r="P1331" s="29">
        <f t="shared" ca="1" si="304"/>
        <v>-19200</v>
      </c>
      <c r="Q1331" s="12">
        <f t="shared" ca="1" si="305"/>
        <v>-419900</v>
      </c>
      <c r="R1331" s="10">
        <f t="shared" ca="1" si="306"/>
        <v>-0.91472129585516915</v>
      </c>
      <c r="S1331" s="10">
        <f t="shared" ca="1" si="312"/>
        <v>-0.56204553582071759</v>
      </c>
      <c r="T1331" s="14">
        <f t="shared" ca="1" si="313"/>
        <v>-0.20812904370400798</v>
      </c>
      <c r="U1331" s="12">
        <f t="shared" ca="1" si="307"/>
        <v>7900</v>
      </c>
      <c r="V1331" s="14">
        <f t="shared" ca="1" si="308"/>
        <v>-5415.1898734177212</v>
      </c>
      <c r="W1331" s="12">
        <f t="shared" ca="1" si="314"/>
        <v>-3367.0886075949365</v>
      </c>
      <c r="X1331" s="7">
        <f ca="1">AVERAGE(E1331:OFFSET(F1331,-$X$5+1,0))</f>
        <v>10404.5</v>
      </c>
      <c r="Y1331" s="7">
        <f ca="1">AVERAGE(E1331:OFFSET(F1331,-$Y$5+1,0))</f>
        <v>10356.25</v>
      </c>
      <c r="Z1331" s="7">
        <f t="shared" ca="1" si="300"/>
        <v>0</v>
      </c>
    </row>
    <row r="1332" spans="1:26">
      <c r="A1332" s="3" t="s">
        <v>88</v>
      </c>
      <c r="B1332" s="4">
        <v>43626</v>
      </c>
      <c r="C1332" s="3">
        <v>10477</v>
      </c>
      <c r="D1332" s="3">
        <v>10546</v>
      </c>
      <c r="E1332" s="3">
        <v>10442</v>
      </c>
      <c r="F1332" s="3">
        <v>10539</v>
      </c>
      <c r="G1332" s="3">
        <v>122498</v>
      </c>
      <c r="H1332" s="3">
        <v>1.0449999999999999</v>
      </c>
      <c r="I1332" s="2">
        <f t="shared" si="309"/>
        <v>0</v>
      </c>
      <c r="J1332" s="10">
        <f t="shared" si="311"/>
        <v>117</v>
      </c>
      <c r="K1332" s="10">
        <f t="shared" si="310"/>
        <v>62</v>
      </c>
      <c r="L1332" s="10">
        <f t="shared" ca="1" si="299"/>
        <v>0</v>
      </c>
      <c r="M1332" s="10">
        <f t="shared" ca="1" si="301"/>
        <v>1</v>
      </c>
      <c r="N1332" s="30">
        <f t="shared" ca="1" si="302"/>
        <v>0</v>
      </c>
      <c r="O1332" s="10">
        <f t="shared" ca="1" si="303"/>
        <v>2099000</v>
      </c>
      <c r="P1332" s="29">
        <f t="shared" ca="1" si="304"/>
        <v>35800</v>
      </c>
      <c r="Q1332" s="12">
        <f t="shared" ca="1" si="305"/>
        <v>-384100</v>
      </c>
      <c r="R1332" s="10">
        <f t="shared" ca="1" si="306"/>
        <v>1.7055740828966175</v>
      </c>
      <c r="S1332" s="10">
        <f t="shared" ca="1" si="312"/>
        <v>-0.34867087853141016</v>
      </c>
      <c r="T1332" s="14">
        <f t="shared" ca="1" si="313"/>
        <v>-0.1777982379578929</v>
      </c>
      <c r="U1332" s="12">
        <f t="shared" ca="1" si="307"/>
        <v>7900</v>
      </c>
      <c r="V1332" s="14">
        <f t="shared" ca="1" si="308"/>
        <v>-4962.0253164556962</v>
      </c>
      <c r="W1332" s="12">
        <f t="shared" ca="1" si="314"/>
        <v>-3367.0886075949365</v>
      </c>
      <c r="X1332" s="7">
        <f ca="1">AVERAGE(E1332:OFFSET(F1332,-$X$5+1,0))</f>
        <v>10424.1</v>
      </c>
      <c r="Y1332" s="7">
        <f ca="1">AVERAGE(E1332:OFFSET(F1332,-$Y$5+1,0))</f>
        <v>10372.35</v>
      </c>
      <c r="Z1332" s="7">
        <f t="shared" ca="1" si="300"/>
        <v>0</v>
      </c>
    </row>
    <row r="1333" spans="1:26">
      <c r="A1333" s="3" t="s">
        <v>88</v>
      </c>
      <c r="B1333" s="4">
        <v>43627</v>
      </c>
      <c r="C1333" s="3">
        <v>10555</v>
      </c>
      <c r="D1333" s="3">
        <v>10618</v>
      </c>
      <c r="E1333" s="3">
        <v>10533</v>
      </c>
      <c r="F1333" s="3">
        <v>10592</v>
      </c>
      <c r="G1333" s="3">
        <v>102065</v>
      </c>
      <c r="H1333" s="3">
        <v>1.0449999999999999</v>
      </c>
      <c r="I1333" s="2">
        <f t="shared" si="309"/>
        <v>0</v>
      </c>
      <c r="J1333" s="10">
        <f t="shared" si="311"/>
        <v>16</v>
      </c>
      <c r="K1333" s="10">
        <f t="shared" si="310"/>
        <v>37</v>
      </c>
      <c r="L1333" s="10">
        <f t="shared" ca="1" si="299"/>
        <v>0</v>
      </c>
      <c r="M1333" s="10">
        <f t="shared" ca="1" si="301"/>
        <v>1</v>
      </c>
      <c r="N1333" s="30">
        <f t="shared" ca="1" si="302"/>
        <v>0</v>
      </c>
      <c r="O1333" s="10">
        <f t="shared" ca="1" si="303"/>
        <v>2099000</v>
      </c>
      <c r="P1333" s="29">
        <f t="shared" ca="1" si="304"/>
        <v>10600</v>
      </c>
      <c r="Q1333" s="12">
        <f t="shared" ca="1" si="305"/>
        <v>-373500</v>
      </c>
      <c r="R1333" s="10">
        <f t="shared" ca="1" si="306"/>
        <v>0.505002382086708</v>
      </c>
      <c r="S1333" s="10">
        <f t="shared" ca="1" si="312"/>
        <v>-0.28549290737871019</v>
      </c>
      <c r="T1333" s="14">
        <f t="shared" ca="1" si="313"/>
        <v>-0.16942552100220462</v>
      </c>
      <c r="U1333" s="12">
        <f t="shared" ca="1" si="307"/>
        <v>7900</v>
      </c>
      <c r="V1333" s="14">
        <f t="shared" ca="1" si="308"/>
        <v>-4827.8481012658231</v>
      </c>
      <c r="W1333" s="12">
        <f t="shared" ca="1" si="314"/>
        <v>-3367.0886075949365</v>
      </c>
      <c r="X1333" s="7">
        <f ca="1">AVERAGE(E1333:OFFSET(F1333,-$X$5+1,0))</f>
        <v>10452.9</v>
      </c>
      <c r="Y1333" s="7">
        <f ca="1">AVERAGE(E1333:OFFSET(F1333,-$Y$5+1,0))</f>
        <v>10397.75</v>
      </c>
      <c r="Z1333" s="7">
        <f t="shared" ca="1" si="300"/>
        <v>0</v>
      </c>
    </row>
    <row r="1334" spans="1:26">
      <c r="A1334" s="3" t="s">
        <v>88</v>
      </c>
      <c r="B1334" s="4">
        <v>43628</v>
      </c>
      <c r="C1334" s="3">
        <v>10587</v>
      </c>
      <c r="D1334" s="3">
        <v>10611</v>
      </c>
      <c r="E1334" s="3">
        <v>10564</v>
      </c>
      <c r="F1334" s="3">
        <v>10592</v>
      </c>
      <c r="G1334" s="3">
        <v>88158</v>
      </c>
      <c r="H1334" s="3">
        <v>1.0449999999999999</v>
      </c>
      <c r="I1334" s="2">
        <f t="shared" si="309"/>
        <v>0</v>
      </c>
      <c r="J1334" s="10">
        <f t="shared" si="311"/>
        <v>-5</v>
      </c>
      <c r="K1334" s="10">
        <f t="shared" si="310"/>
        <v>5</v>
      </c>
      <c r="L1334" s="10">
        <f t="shared" ca="1" si="299"/>
        <v>0</v>
      </c>
      <c r="M1334" s="10">
        <f t="shared" ca="1" si="301"/>
        <v>1</v>
      </c>
      <c r="N1334" s="30">
        <f t="shared" ca="1" si="302"/>
        <v>0</v>
      </c>
      <c r="O1334" s="10">
        <f t="shared" ca="1" si="303"/>
        <v>2099000</v>
      </c>
      <c r="P1334" s="29">
        <f t="shared" ca="1" si="304"/>
        <v>0</v>
      </c>
      <c r="Q1334" s="12">
        <f t="shared" ca="1" si="305"/>
        <v>-373500</v>
      </c>
      <c r="R1334" s="10">
        <f t="shared" ca="1" si="306"/>
        <v>0</v>
      </c>
      <c r="S1334" s="10">
        <f t="shared" ca="1" si="312"/>
        <v>-0.36476338061747526</v>
      </c>
      <c r="T1334" s="14">
        <f t="shared" ca="1" si="313"/>
        <v>-0.18006528459018115</v>
      </c>
      <c r="U1334" s="12">
        <f t="shared" ca="1" si="307"/>
        <v>7900</v>
      </c>
      <c r="V1334" s="14">
        <f t="shared" ca="1" si="308"/>
        <v>-4827.8481012658231</v>
      </c>
      <c r="W1334" s="12">
        <f t="shared" ca="1" si="314"/>
        <v>-3367.0886075949365</v>
      </c>
      <c r="X1334" s="7">
        <f ca="1">AVERAGE(E1334:OFFSET(F1334,-$X$5+1,0))</f>
        <v>10486.8</v>
      </c>
      <c r="Y1334" s="7">
        <f ca="1">AVERAGE(E1334:OFFSET(F1334,-$Y$5+1,0))</f>
        <v>10423.1</v>
      </c>
      <c r="Z1334" s="7">
        <f t="shared" ca="1" si="300"/>
        <v>0</v>
      </c>
    </row>
    <row r="1335" spans="1:26">
      <c r="A1335" s="3" t="s">
        <v>88</v>
      </c>
      <c r="B1335" s="4">
        <v>43629</v>
      </c>
      <c r="C1335" s="3">
        <v>10561</v>
      </c>
      <c r="D1335" s="3">
        <v>10589</v>
      </c>
      <c r="E1335" s="3">
        <v>10497</v>
      </c>
      <c r="F1335" s="3">
        <v>10529</v>
      </c>
      <c r="G1335" s="3">
        <v>115701</v>
      </c>
      <c r="H1335" s="3">
        <v>1.0449999999999999</v>
      </c>
      <c r="I1335" s="2">
        <f t="shared" si="309"/>
        <v>0</v>
      </c>
      <c r="J1335" s="10">
        <f t="shared" si="311"/>
        <v>-31</v>
      </c>
      <c r="K1335" s="10">
        <f t="shared" si="310"/>
        <v>-32</v>
      </c>
      <c r="L1335" s="10">
        <f t="shared" ca="1" si="299"/>
        <v>0</v>
      </c>
      <c r="M1335" s="10">
        <f t="shared" ca="1" si="301"/>
        <v>1</v>
      </c>
      <c r="N1335" s="30">
        <f t="shared" ca="1" si="302"/>
        <v>0</v>
      </c>
      <c r="O1335" s="10">
        <f t="shared" ca="1" si="303"/>
        <v>2099000</v>
      </c>
      <c r="P1335" s="29">
        <f t="shared" ca="1" si="304"/>
        <v>-12600</v>
      </c>
      <c r="Q1335" s="12">
        <f t="shared" ca="1" si="305"/>
        <v>-386100</v>
      </c>
      <c r="R1335" s="10">
        <f t="shared" ca="1" si="306"/>
        <v>-0.60028585040495475</v>
      </c>
      <c r="S1335" s="10">
        <f t="shared" ca="1" si="312"/>
        <v>-0.40112051496006673</v>
      </c>
      <c r="T1335" s="14">
        <f t="shared" ca="1" si="313"/>
        <v>-0.18425189612811213</v>
      </c>
      <c r="U1335" s="12">
        <f t="shared" ca="1" si="307"/>
        <v>7900</v>
      </c>
      <c r="V1335" s="14">
        <f t="shared" ca="1" si="308"/>
        <v>-4987.341772151899</v>
      </c>
      <c r="W1335" s="12">
        <f t="shared" ca="1" si="314"/>
        <v>-3367.0886075949365</v>
      </c>
      <c r="X1335" s="7">
        <f ca="1">AVERAGE(E1335:OFFSET(F1335,-$X$5+1,0))</f>
        <v>10499.9</v>
      </c>
      <c r="Y1335" s="7">
        <f ca="1">AVERAGE(E1335:OFFSET(F1335,-$Y$5+1,0))</f>
        <v>10448.950000000001</v>
      </c>
      <c r="Z1335" s="7">
        <f t="shared" ca="1" si="300"/>
        <v>0</v>
      </c>
    </row>
    <row r="1336" spans="1:26">
      <c r="A1336" s="3" t="s">
        <v>88</v>
      </c>
      <c r="B1336" s="4">
        <v>43630</v>
      </c>
      <c r="C1336" s="3">
        <v>10534</v>
      </c>
      <c r="D1336" s="3">
        <v>10558</v>
      </c>
      <c r="E1336" s="3">
        <v>10516</v>
      </c>
      <c r="F1336" s="3">
        <v>10529</v>
      </c>
      <c r="G1336" s="3">
        <v>87499</v>
      </c>
      <c r="H1336" s="3">
        <v>1.0449999999999999</v>
      </c>
      <c r="I1336" s="2">
        <f t="shared" si="309"/>
        <v>0</v>
      </c>
      <c r="J1336" s="10">
        <f t="shared" si="311"/>
        <v>5</v>
      </c>
      <c r="K1336" s="10">
        <f t="shared" si="310"/>
        <v>-5</v>
      </c>
      <c r="L1336" s="10">
        <f t="shared" ca="1" si="299"/>
        <v>0</v>
      </c>
      <c r="M1336" s="10">
        <f t="shared" ca="1" si="301"/>
        <v>1</v>
      </c>
      <c r="N1336" s="30">
        <f t="shared" ca="1" si="302"/>
        <v>0</v>
      </c>
      <c r="O1336" s="10">
        <f t="shared" ca="1" si="303"/>
        <v>2099000</v>
      </c>
      <c r="P1336" s="29">
        <f t="shared" ca="1" si="304"/>
        <v>0</v>
      </c>
      <c r="Q1336" s="12">
        <f t="shared" ca="1" si="305"/>
        <v>-386100</v>
      </c>
      <c r="R1336" s="10">
        <f t="shared" ca="1" si="306"/>
        <v>0</v>
      </c>
      <c r="S1336" s="10">
        <f t="shared" ca="1" si="312"/>
        <v>-0.40112051496006673</v>
      </c>
      <c r="T1336" s="14">
        <f t="shared" ca="1" si="313"/>
        <v>-0.18425189612811213</v>
      </c>
      <c r="U1336" s="12">
        <f t="shared" ca="1" si="307"/>
        <v>7900</v>
      </c>
      <c r="V1336" s="14">
        <f t="shared" ca="1" si="308"/>
        <v>-4987.341772151899</v>
      </c>
      <c r="W1336" s="12">
        <f t="shared" ca="1" si="314"/>
        <v>-3367.0886075949365</v>
      </c>
      <c r="X1336" s="7">
        <f ca="1">AVERAGE(E1336:OFFSET(F1336,-$X$5+1,0))</f>
        <v>10533.3</v>
      </c>
      <c r="Y1336" s="7">
        <f ca="1">AVERAGE(E1336:OFFSET(F1336,-$Y$5+1,0))</f>
        <v>10468.9</v>
      </c>
      <c r="Z1336" s="7">
        <f t="shared" ca="1" si="300"/>
        <v>0</v>
      </c>
    </row>
    <row r="1337" spans="1:26">
      <c r="A1337" s="3" t="s">
        <v>88</v>
      </c>
      <c r="B1337" s="4">
        <v>43633</v>
      </c>
      <c r="C1337" s="3">
        <v>10477</v>
      </c>
      <c r="D1337" s="3">
        <v>10565</v>
      </c>
      <c r="E1337" s="3">
        <v>10460</v>
      </c>
      <c r="F1337" s="3">
        <v>10545</v>
      </c>
      <c r="G1337" s="3">
        <v>126622</v>
      </c>
      <c r="H1337" s="3">
        <v>1.0449999999999999</v>
      </c>
      <c r="I1337" s="2">
        <f t="shared" si="309"/>
        <v>0</v>
      </c>
      <c r="J1337" s="10">
        <f t="shared" si="311"/>
        <v>-52</v>
      </c>
      <c r="K1337" s="10">
        <f t="shared" si="310"/>
        <v>68</v>
      </c>
      <c r="L1337" s="10">
        <f t="shared" ca="1" si="299"/>
        <v>0</v>
      </c>
      <c r="M1337" s="10">
        <f t="shared" ca="1" si="301"/>
        <v>1</v>
      </c>
      <c r="N1337" s="30">
        <f t="shared" ca="1" si="302"/>
        <v>0</v>
      </c>
      <c r="O1337" s="10">
        <f t="shared" ca="1" si="303"/>
        <v>2099000</v>
      </c>
      <c r="P1337" s="29">
        <f t="shared" ca="1" si="304"/>
        <v>3200</v>
      </c>
      <c r="Q1337" s="12">
        <f t="shared" ca="1" si="305"/>
        <v>-382900</v>
      </c>
      <c r="R1337" s="10">
        <f t="shared" ca="1" si="306"/>
        <v>0.15245354930919486</v>
      </c>
      <c r="S1337" s="10">
        <f t="shared" ca="1" si="312"/>
        <v>-0.38204791989510073</v>
      </c>
      <c r="T1337" s="14">
        <f t="shared" ca="1" si="313"/>
        <v>-0.18178474144398657</v>
      </c>
      <c r="U1337" s="12">
        <f t="shared" ca="1" si="307"/>
        <v>7900</v>
      </c>
      <c r="V1337" s="14">
        <f t="shared" ca="1" si="308"/>
        <v>-4946.835443037975</v>
      </c>
      <c r="W1337" s="12">
        <f t="shared" ca="1" si="314"/>
        <v>-3367.0886075949365</v>
      </c>
      <c r="X1337" s="7">
        <f ca="1">AVERAGE(E1337:OFFSET(F1337,-$X$5+1,0))</f>
        <v>10535.7</v>
      </c>
      <c r="Y1337" s="7">
        <f ca="1">AVERAGE(E1337:OFFSET(F1337,-$Y$5+1,0))</f>
        <v>10479.9</v>
      </c>
      <c r="Z1337" s="7">
        <f t="shared" ca="1" si="300"/>
        <v>0</v>
      </c>
    </row>
    <row r="1338" spans="1:26">
      <c r="A1338" s="3" t="s">
        <v>88</v>
      </c>
      <c r="B1338" s="4">
        <v>43634</v>
      </c>
      <c r="C1338" s="3">
        <v>10539</v>
      </c>
      <c r="D1338" s="3">
        <v>10576</v>
      </c>
      <c r="E1338" s="3">
        <v>10526</v>
      </c>
      <c r="F1338" s="3">
        <v>10553</v>
      </c>
      <c r="G1338" s="3">
        <v>89907</v>
      </c>
      <c r="H1338" s="3">
        <v>1.0449999999999999</v>
      </c>
      <c r="I1338" s="2">
        <f t="shared" si="309"/>
        <v>0</v>
      </c>
      <c r="J1338" s="10">
        <f t="shared" si="311"/>
        <v>-6</v>
      </c>
      <c r="K1338" s="10">
        <f t="shared" si="310"/>
        <v>14</v>
      </c>
      <c r="L1338" s="10">
        <f t="shared" ca="1" si="299"/>
        <v>0</v>
      </c>
      <c r="M1338" s="10">
        <f t="shared" ca="1" si="301"/>
        <v>1</v>
      </c>
      <c r="N1338" s="30">
        <f t="shared" ca="1" si="302"/>
        <v>0</v>
      </c>
      <c r="O1338" s="10">
        <f t="shared" ca="1" si="303"/>
        <v>2099000</v>
      </c>
      <c r="P1338" s="29">
        <f t="shared" ca="1" si="304"/>
        <v>1600</v>
      </c>
      <c r="Q1338" s="12">
        <f t="shared" ca="1" si="305"/>
        <v>-381300</v>
      </c>
      <c r="R1338" s="10">
        <f t="shared" ca="1" si="306"/>
        <v>7.6226774654597429E-2</v>
      </c>
      <c r="S1338" s="10">
        <f t="shared" ca="1" si="312"/>
        <v>-0.3725116223626177</v>
      </c>
      <c r="T1338" s="14">
        <f t="shared" ca="1" si="313"/>
        <v>-0.18055922189170878</v>
      </c>
      <c r="U1338" s="12">
        <f t="shared" ca="1" si="307"/>
        <v>7900</v>
      </c>
      <c r="V1338" s="14">
        <f t="shared" ca="1" si="308"/>
        <v>-4926.5822784810125</v>
      </c>
      <c r="W1338" s="12">
        <f t="shared" ca="1" si="314"/>
        <v>-3367.0886075949365</v>
      </c>
      <c r="X1338" s="7">
        <f ca="1">AVERAGE(E1338:OFFSET(F1338,-$X$5+1,0))</f>
        <v>10531.1</v>
      </c>
      <c r="Y1338" s="7">
        <f ca="1">AVERAGE(E1338:OFFSET(F1338,-$Y$5+1,0))</f>
        <v>10492</v>
      </c>
      <c r="Z1338" s="7">
        <f t="shared" ca="1" si="300"/>
        <v>0</v>
      </c>
    </row>
    <row r="1339" spans="1:26">
      <c r="A1339" s="3" t="s">
        <v>88</v>
      </c>
      <c r="B1339" s="4">
        <v>43635</v>
      </c>
      <c r="C1339" s="3">
        <v>10680</v>
      </c>
      <c r="D1339" s="3">
        <v>10800</v>
      </c>
      <c r="E1339" s="3">
        <v>10667</v>
      </c>
      <c r="F1339" s="3">
        <v>10770</v>
      </c>
      <c r="G1339" s="3">
        <v>82967</v>
      </c>
      <c r="H1339" s="3">
        <v>1.0449999999999999</v>
      </c>
      <c r="I1339" s="2">
        <f t="shared" si="309"/>
        <v>1</v>
      </c>
      <c r="J1339" s="10">
        <f t="shared" si="311"/>
        <v>127</v>
      </c>
      <c r="K1339" s="10">
        <f t="shared" si="310"/>
        <v>90</v>
      </c>
      <c r="L1339" s="10">
        <f t="shared" ca="1" si="299"/>
        <v>0</v>
      </c>
      <c r="M1339" s="10">
        <f t="shared" si="301"/>
        <v>0</v>
      </c>
      <c r="N1339" s="30">
        <f t="shared" si="302"/>
        <v>0</v>
      </c>
      <c r="O1339" s="10">
        <f t="shared" si="303"/>
        <v>0</v>
      </c>
      <c r="P1339" s="29">
        <f t="shared" ca="1" si="304"/>
        <v>24900</v>
      </c>
      <c r="Q1339" s="12">
        <f t="shared" ca="1" si="305"/>
        <v>-356400</v>
      </c>
      <c r="R1339" s="10">
        <f t="shared" ca="1" si="306"/>
        <v>1.1862791805621724</v>
      </c>
      <c r="S1339" s="10">
        <f t="shared" ca="1" si="312"/>
        <v>-0.22410299201335082</v>
      </c>
      <c r="T1339" s="14">
        <f t="shared" ca="1" si="313"/>
        <v>-0.15999729470563542</v>
      </c>
      <c r="U1339" s="12">
        <f t="shared" ca="1" si="307"/>
        <v>7900</v>
      </c>
      <c r="V1339" s="14">
        <f t="shared" ca="1" si="308"/>
        <v>-4611.3924050632913</v>
      </c>
      <c r="W1339" s="12">
        <f t="shared" ca="1" si="314"/>
        <v>-3367.0886075949365</v>
      </c>
      <c r="X1339" s="7">
        <f ca="1">AVERAGE(E1339:OFFSET(F1339,-$X$5+1,0))</f>
        <v>10559.2</v>
      </c>
      <c r="Y1339" s="7">
        <f ca="1">AVERAGE(E1339:OFFSET(F1339,-$Y$5+1,0))</f>
        <v>10523</v>
      </c>
      <c r="Z1339" s="7">
        <f t="shared" ca="1" si="300"/>
        <v>0</v>
      </c>
    </row>
    <row r="1340" spans="1:26">
      <c r="A1340" s="3" t="s">
        <v>89</v>
      </c>
      <c r="B1340" s="4">
        <v>43636</v>
      </c>
      <c r="C1340" s="3">
        <v>10575</v>
      </c>
      <c r="D1340" s="3">
        <v>10605</v>
      </c>
      <c r="E1340" s="3">
        <v>10558</v>
      </c>
      <c r="F1340" s="3">
        <v>10591</v>
      </c>
      <c r="G1340" s="3">
        <v>82664</v>
      </c>
      <c r="H1340" s="3">
        <v>1.0449999999999999</v>
      </c>
      <c r="I1340" s="2">
        <f t="shared" si="309"/>
        <v>0</v>
      </c>
      <c r="J1340" s="10">
        <f t="shared" si="311"/>
        <v>-195</v>
      </c>
      <c r="K1340" s="10">
        <f t="shared" si="310"/>
        <v>16</v>
      </c>
      <c r="L1340" s="10">
        <f t="shared" ca="1" si="299"/>
        <v>0</v>
      </c>
      <c r="M1340" s="10">
        <f t="shared" ca="1" si="301"/>
        <v>0</v>
      </c>
      <c r="N1340" s="30">
        <f t="shared" ca="1" si="302"/>
        <v>0</v>
      </c>
      <c r="O1340" s="10">
        <f t="shared" ca="1" si="303"/>
        <v>0</v>
      </c>
      <c r="P1340" s="29">
        <f t="shared" ca="1" si="304"/>
        <v>0</v>
      </c>
      <c r="Q1340" s="12">
        <f t="shared" ca="1" si="305"/>
        <v>-356400</v>
      </c>
      <c r="R1340" s="10">
        <f t="shared" ca="1" si="306"/>
        <v>0</v>
      </c>
      <c r="S1340" s="10">
        <f t="shared" ca="1" si="312"/>
        <v>-0.22410299201335082</v>
      </c>
      <c r="T1340" s="14">
        <f t="shared" ca="1" si="313"/>
        <v>-0.15999729470563542</v>
      </c>
      <c r="U1340" s="12">
        <f t="shared" ca="1" si="307"/>
        <v>7900</v>
      </c>
      <c r="V1340" s="14">
        <f t="shared" ca="1" si="308"/>
        <v>-4611.3924050632913</v>
      </c>
      <c r="W1340" s="12">
        <f t="shared" ca="1" si="314"/>
        <v>-3367.0886075949365</v>
      </c>
      <c r="X1340" s="7">
        <f ca="1">AVERAGE(E1340:OFFSET(F1340,-$X$5+1,0))</f>
        <v>10571.5</v>
      </c>
      <c r="Y1340" s="7">
        <f ca="1">AVERAGE(E1340:OFFSET(F1340,-$Y$5+1,0))</f>
        <v>10535.7</v>
      </c>
      <c r="Z1340" s="7">
        <f t="shared" ca="1" si="300"/>
        <v>0</v>
      </c>
    </row>
    <row r="1341" spans="1:26">
      <c r="A1341" s="3" t="s">
        <v>89</v>
      </c>
      <c r="B1341" s="4">
        <v>43637</v>
      </c>
      <c r="C1341" s="3">
        <v>10628</v>
      </c>
      <c r="D1341" s="3">
        <v>10641</v>
      </c>
      <c r="E1341" s="3">
        <v>10564</v>
      </c>
      <c r="F1341" s="3">
        <v>10585</v>
      </c>
      <c r="G1341" s="3">
        <v>96638</v>
      </c>
      <c r="H1341" s="3">
        <v>1.0449999999999999</v>
      </c>
      <c r="I1341" s="2">
        <f t="shared" si="309"/>
        <v>0</v>
      </c>
      <c r="J1341" s="10">
        <f t="shared" si="311"/>
        <v>37</v>
      </c>
      <c r="K1341" s="10">
        <f t="shared" si="310"/>
        <v>-43</v>
      </c>
      <c r="L1341" s="10">
        <f t="shared" ref="L1341:L1404" ca="1" si="315">Z1341</f>
        <v>0</v>
      </c>
      <c r="M1341" s="10">
        <f t="shared" ca="1" si="301"/>
        <v>0</v>
      </c>
      <c r="N1341" s="30">
        <f t="shared" ca="1" si="302"/>
        <v>0</v>
      </c>
      <c r="O1341" s="10">
        <f t="shared" ca="1" si="303"/>
        <v>0</v>
      </c>
      <c r="P1341" s="29">
        <f t="shared" ca="1" si="304"/>
        <v>0</v>
      </c>
      <c r="Q1341" s="12">
        <f t="shared" ca="1" si="305"/>
        <v>-356400</v>
      </c>
      <c r="R1341" s="10">
        <f t="shared" ca="1" si="306"/>
        <v>0</v>
      </c>
      <c r="S1341" s="10">
        <f t="shared" ca="1" si="312"/>
        <v>-0.22410299201335082</v>
      </c>
      <c r="T1341" s="14">
        <f t="shared" ca="1" si="313"/>
        <v>-0.15999729470563542</v>
      </c>
      <c r="U1341" s="12">
        <f t="shared" ca="1" si="307"/>
        <v>7900</v>
      </c>
      <c r="V1341" s="14">
        <f t="shared" ca="1" si="308"/>
        <v>-4611.3924050632913</v>
      </c>
      <c r="W1341" s="12">
        <f t="shared" ca="1" si="314"/>
        <v>-3367.0886075949365</v>
      </c>
      <c r="X1341" s="7">
        <f ca="1">AVERAGE(E1341:OFFSET(F1341,-$X$5+1,0))</f>
        <v>10581.9</v>
      </c>
      <c r="Y1341" s="7">
        <f ca="1">AVERAGE(E1341:OFFSET(F1341,-$Y$5+1,0))</f>
        <v>10557.6</v>
      </c>
      <c r="Z1341" s="7">
        <f t="shared" ref="Z1341:Z1404" ca="1" si="316">IF(AND(X1340&lt;=Y1340,X1341&gt;Y1341),1,IF(AND(X1340&gt;Y1340,X1341&lt;=Y1341),-1,0))</f>
        <v>0</v>
      </c>
    </row>
    <row r="1342" spans="1:26">
      <c r="A1342" s="3" t="s">
        <v>89</v>
      </c>
      <c r="B1342" s="4">
        <v>43640</v>
      </c>
      <c r="C1342" s="3">
        <v>10605</v>
      </c>
      <c r="D1342" s="3">
        <v>10647</v>
      </c>
      <c r="E1342" s="3">
        <v>10553</v>
      </c>
      <c r="F1342" s="3">
        <v>10623</v>
      </c>
      <c r="G1342" s="3">
        <v>91686</v>
      </c>
      <c r="H1342" s="3">
        <v>1.0449999999999999</v>
      </c>
      <c r="I1342" s="2">
        <f t="shared" si="309"/>
        <v>0</v>
      </c>
      <c r="J1342" s="10">
        <f t="shared" si="311"/>
        <v>20</v>
      </c>
      <c r="K1342" s="10">
        <f t="shared" si="310"/>
        <v>18</v>
      </c>
      <c r="L1342" s="10">
        <f t="shared" ca="1" si="315"/>
        <v>0</v>
      </c>
      <c r="M1342" s="10">
        <f t="shared" ref="M1342:M1405" ca="1" si="317">IF(I1342=1,0,IF(M1341+L1341&gt;=$M$5,$M$5,IF(M1341+L1341&lt;=$M$7,$M$7,M1341+L1341)))</f>
        <v>0</v>
      </c>
      <c r="N1342" s="30">
        <f t="shared" ref="N1342:N1405" ca="1" si="318">IF(M1342=0,0,IF(M1342&gt;M1341,(C1342+N1341*M1341)*$S$5,0))</f>
        <v>0</v>
      </c>
      <c r="O1342" s="10">
        <f t="shared" ref="O1342:O1405" ca="1" si="319">IF(M1342=0,0,IF(M1342=M1341,O1341,((M1342-M1341)*C1342+N1341*M1341)*$S$5/M1342))</f>
        <v>0</v>
      </c>
      <c r="P1342" s="29">
        <f t="shared" ref="P1342:P1405" ca="1" si="320">IF(M1341=M1342,(M1341*J1342+M1342*K1342)*$S$5,(M1341*J1342+M1342*K1342)*$S$5-$S$6)</f>
        <v>0</v>
      </c>
      <c r="Q1342" s="12">
        <f t="shared" ref="Q1342:Q1405" ca="1" si="321">P1342+Q1341</f>
        <v>-356400</v>
      </c>
      <c r="R1342" s="10">
        <f t="shared" ref="R1342:R1405" ca="1" si="322">IF(P1342=0,0,IF(O1342=0,100*P1342/O1341,100*P1342/O1342))</f>
        <v>0</v>
      </c>
      <c r="S1342" s="10">
        <f t="shared" ca="1" si="312"/>
        <v>-0.22410299201335082</v>
      </c>
      <c r="T1342" s="14">
        <f t="shared" ca="1" si="313"/>
        <v>-0.15999729470563542</v>
      </c>
      <c r="U1342" s="12">
        <f t="shared" ref="U1342:U1405" ca="1" si="323">IF(Q1342&gt;U1341,Q1342,U1341)</f>
        <v>7900</v>
      </c>
      <c r="V1342" s="14">
        <f t="shared" ref="V1342:V1405" ca="1" si="324">IF(U1342=0,0,100*(Q1342-U1342)/U1342)</f>
        <v>-4611.3924050632913</v>
      </c>
      <c r="W1342" s="12">
        <f t="shared" ca="1" si="314"/>
        <v>-3367.0886075949365</v>
      </c>
      <c r="X1342" s="7">
        <f ca="1">AVERAGE(E1342:OFFSET(F1342,-$X$5+1,0))</f>
        <v>10599</v>
      </c>
      <c r="Y1342" s="7">
        <f ca="1">AVERAGE(E1342:OFFSET(F1342,-$Y$5+1,0))</f>
        <v>10567.35</v>
      </c>
      <c r="Z1342" s="7">
        <f t="shared" ca="1" si="316"/>
        <v>0</v>
      </c>
    </row>
    <row r="1343" spans="1:26">
      <c r="A1343" s="3" t="s">
        <v>89</v>
      </c>
      <c r="B1343" s="4">
        <v>43641</v>
      </c>
      <c r="C1343" s="3">
        <v>10620</v>
      </c>
      <c r="D1343" s="3">
        <v>10630</v>
      </c>
      <c r="E1343" s="3">
        <v>10523</v>
      </c>
      <c r="F1343" s="3">
        <v>10540</v>
      </c>
      <c r="G1343" s="3">
        <v>99176</v>
      </c>
      <c r="H1343" s="3">
        <v>1.0449999999999999</v>
      </c>
      <c r="I1343" s="2">
        <f t="shared" si="309"/>
        <v>0</v>
      </c>
      <c r="J1343" s="10">
        <f t="shared" si="311"/>
        <v>-3</v>
      </c>
      <c r="K1343" s="10">
        <f t="shared" si="310"/>
        <v>-80</v>
      </c>
      <c r="L1343" s="10">
        <f t="shared" ca="1" si="315"/>
        <v>0</v>
      </c>
      <c r="M1343" s="10">
        <f t="shared" ca="1" si="317"/>
        <v>0</v>
      </c>
      <c r="N1343" s="30">
        <f t="shared" ca="1" si="318"/>
        <v>0</v>
      </c>
      <c r="O1343" s="10">
        <f t="shared" ca="1" si="319"/>
        <v>0</v>
      </c>
      <c r="P1343" s="29">
        <f t="shared" ca="1" si="320"/>
        <v>0</v>
      </c>
      <c r="Q1343" s="12">
        <f t="shared" ca="1" si="321"/>
        <v>-356400</v>
      </c>
      <c r="R1343" s="10">
        <f t="shared" ca="1" si="322"/>
        <v>0</v>
      </c>
      <c r="S1343" s="10">
        <f t="shared" ca="1" si="312"/>
        <v>-0.22410299201335082</v>
      </c>
      <c r="T1343" s="14">
        <f t="shared" ca="1" si="313"/>
        <v>-0.15999729470563542</v>
      </c>
      <c r="U1343" s="12">
        <f t="shared" ca="1" si="323"/>
        <v>7900</v>
      </c>
      <c r="V1343" s="14">
        <f t="shared" ca="1" si="324"/>
        <v>-4611.3924050632913</v>
      </c>
      <c r="W1343" s="12">
        <f t="shared" ca="1" si="314"/>
        <v>-3367.0886075949365</v>
      </c>
      <c r="X1343" s="7">
        <f ca="1">AVERAGE(E1343:OFFSET(F1343,-$X$5+1,0))</f>
        <v>10597.4</v>
      </c>
      <c r="Y1343" s="7">
        <f ca="1">AVERAGE(E1343:OFFSET(F1343,-$Y$5+1,0))</f>
        <v>10564.25</v>
      </c>
      <c r="Z1343" s="7">
        <f t="shared" ca="1" si="316"/>
        <v>0</v>
      </c>
    </row>
    <row r="1344" spans="1:26">
      <c r="A1344" s="3" t="s">
        <v>89</v>
      </c>
      <c r="B1344" s="4">
        <v>43642</v>
      </c>
      <c r="C1344" s="3">
        <v>10525</v>
      </c>
      <c r="D1344" s="3">
        <v>10541</v>
      </c>
      <c r="E1344" s="3">
        <v>10499</v>
      </c>
      <c r="F1344" s="3">
        <v>10503</v>
      </c>
      <c r="G1344" s="3">
        <v>84635</v>
      </c>
      <c r="H1344" s="3">
        <v>1.0449999999999999</v>
      </c>
      <c r="I1344" s="2">
        <f t="shared" si="309"/>
        <v>0</v>
      </c>
      <c r="J1344" s="10">
        <f t="shared" si="311"/>
        <v>-15</v>
      </c>
      <c r="K1344" s="10">
        <f t="shared" si="310"/>
        <v>-22</v>
      </c>
      <c r="L1344" s="10">
        <f t="shared" ca="1" si="315"/>
        <v>-1</v>
      </c>
      <c r="M1344" s="10">
        <f t="shared" ca="1" si="317"/>
        <v>0</v>
      </c>
      <c r="N1344" s="30">
        <f t="shared" ca="1" si="318"/>
        <v>0</v>
      </c>
      <c r="O1344" s="10">
        <f t="shared" ca="1" si="319"/>
        <v>0</v>
      </c>
      <c r="P1344" s="29">
        <f t="shared" ca="1" si="320"/>
        <v>0</v>
      </c>
      <c r="Q1344" s="12">
        <f t="shared" ca="1" si="321"/>
        <v>-356400</v>
      </c>
      <c r="R1344" s="10">
        <f t="shared" ca="1" si="322"/>
        <v>0</v>
      </c>
      <c r="S1344" s="10">
        <f t="shared" ca="1" si="312"/>
        <v>-0.22410299201335082</v>
      </c>
      <c r="T1344" s="14">
        <f t="shared" ca="1" si="313"/>
        <v>-0.15999729470563542</v>
      </c>
      <c r="U1344" s="12">
        <f t="shared" ca="1" si="323"/>
        <v>7900</v>
      </c>
      <c r="V1344" s="14">
        <f t="shared" ca="1" si="324"/>
        <v>-4611.3924050632913</v>
      </c>
      <c r="W1344" s="12">
        <f t="shared" ca="1" si="314"/>
        <v>-3367.0886075949365</v>
      </c>
      <c r="X1344" s="7">
        <f ca="1">AVERAGE(E1344:OFFSET(F1344,-$X$5+1,0))</f>
        <v>10553.9</v>
      </c>
      <c r="Y1344" s="7">
        <f ca="1">AVERAGE(E1344:OFFSET(F1344,-$Y$5+1,0))</f>
        <v>10556.55</v>
      </c>
      <c r="Z1344" s="7">
        <f t="shared" ca="1" si="316"/>
        <v>-1</v>
      </c>
    </row>
    <row r="1345" spans="1:26">
      <c r="A1345" s="3" t="s">
        <v>89</v>
      </c>
      <c r="B1345" s="4">
        <v>43643</v>
      </c>
      <c r="C1345" s="3">
        <v>10535</v>
      </c>
      <c r="D1345" s="3">
        <v>10642</v>
      </c>
      <c r="E1345" s="3">
        <v>10532</v>
      </c>
      <c r="F1345" s="3">
        <v>10622</v>
      </c>
      <c r="G1345" s="3">
        <v>107467</v>
      </c>
      <c r="H1345" s="3">
        <v>1.0449999999999999</v>
      </c>
      <c r="I1345" s="2">
        <f t="shared" si="309"/>
        <v>0</v>
      </c>
      <c r="J1345" s="10">
        <f t="shared" si="311"/>
        <v>32</v>
      </c>
      <c r="K1345" s="10">
        <f t="shared" si="310"/>
        <v>87</v>
      </c>
      <c r="L1345" s="10">
        <f t="shared" ca="1" si="315"/>
        <v>0</v>
      </c>
      <c r="M1345" s="10">
        <f t="shared" ca="1" si="317"/>
        <v>-1</v>
      </c>
      <c r="N1345" s="30">
        <f t="shared" ca="1" si="318"/>
        <v>0</v>
      </c>
      <c r="O1345" s="10">
        <f t="shared" ca="1" si="319"/>
        <v>2107000</v>
      </c>
      <c r="P1345" s="29">
        <f t="shared" ca="1" si="320"/>
        <v>-17900</v>
      </c>
      <c r="Q1345" s="12">
        <f t="shared" ca="1" si="321"/>
        <v>-374300</v>
      </c>
      <c r="R1345" s="10">
        <f t="shared" ca="1" si="322"/>
        <v>-0.84954912197437116</v>
      </c>
      <c r="S1345" s="10">
        <f t="shared" ca="1" si="312"/>
        <v>-0.33079032065800451</v>
      </c>
      <c r="T1345" s="14">
        <f t="shared" ca="1" si="313"/>
        <v>-0.17259303498086839</v>
      </c>
      <c r="U1345" s="12">
        <f t="shared" ca="1" si="323"/>
        <v>7900</v>
      </c>
      <c r="V1345" s="14">
        <f t="shared" ca="1" si="324"/>
        <v>-4837.9746835443038</v>
      </c>
      <c r="W1345" s="12">
        <f t="shared" ca="1" si="314"/>
        <v>-3367.0886075949365</v>
      </c>
      <c r="X1345" s="7">
        <f ca="1">AVERAGE(E1345:OFFSET(F1345,-$X$5+1,0))</f>
        <v>10554.4</v>
      </c>
      <c r="Y1345" s="7">
        <f ca="1">AVERAGE(E1345:OFFSET(F1345,-$Y$5+1,0))</f>
        <v>10562.95</v>
      </c>
      <c r="Z1345" s="7">
        <f t="shared" ca="1" si="316"/>
        <v>0</v>
      </c>
    </row>
    <row r="1346" spans="1:26">
      <c r="A1346" s="3" t="s">
        <v>89</v>
      </c>
      <c r="B1346" s="4">
        <v>43644</v>
      </c>
      <c r="C1346" s="3">
        <v>10621</v>
      </c>
      <c r="D1346" s="3">
        <v>10627</v>
      </c>
      <c r="E1346" s="3">
        <v>10550</v>
      </c>
      <c r="F1346" s="3">
        <v>10580</v>
      </c>
      <c r="G1346" s="3">
        <v>82329</v>
      </c>
      <c r="H1346" s="3">
        <v>1.0449999999999999</v>
      </c>
      <c r="I1346" s="2">
        <f t="shared" si="309"/>
        <v>0</v>
      </c>
      <c r="J1346" s="10">
        <f t="shared" si="311"/>
        <v>-1</v>
      </c>
      <c r="K1346" s="10">
        <f t="shared" si="310"/>
        <v>-41</v>
      </c>
      <c r="L1346" s="10">
        <f t="shared" ca="1" si="315"/>
        <v>0</v>
      </c>
      <c r="M1346" s="10">
        <f t="shared" ca="1" si="317"/>
        <v>-1</v>
      </c>
      <c r="N1346" s="30">
        <f t="shared" ca="1" si="318"/>
        <v>0</v>
      </c>
      <c r="O1346" s="10">
        <f t="shared" ca="1" si="319"/>
        <v>2107000</v>
      </c>
      <c r="P1346" s="29">
        <f t="shared" ca="1" si="320"/>
        <v>8400</v>
      </c>
      <c r="Q1346" s="12">
        <f t="shared" ca="1" si="321"/>
        <v>-365900</v>
      </c>
      <c r="R1346" s="10">
        <f t="shared" ca="1" si="322"/>
        <v>0.39867109634551495</v>
      </c>
      <c r="S1346" s="10">
        <f t="shared" ca="1" si="312"/>
        <v>-0.28072475861246871</v>
      </c>
      <c r="T1346" s="14">
        <f t="shared" ca="1" si="313"/>
        <v>-0.16611437954768576</v>
      </c>
      <c r="U1346" s="12">
        <f t="shared" ca="1" si="323"/>
        <v>7900</v>
      </c>
      <c r="V1346" s="14">
        <f t="shared" ca="1" si="324"/>
        <v>-4731.6455696202529</v>
      </c>
      <c r="W1346" s="12">
        <f t="shared" ca="1" si="314"/>
        <v>-3367.0886075949365</v>
      </c>
      <c r="X1346" s="7">
        <f ca="1">AVERAGE(E1346:OFFSET(F1346,-$X$5+1,0))</f>
        <v>10552.5</v>
      </c>
      <c r="Y1346" s="7">
        <f ca="1">AVERAGE(E1346:OFFSET(F1346,-$Y$5+1,0))</f>
        <v>10567.2</v>
      </c>
      <c r="Z1346" s="7">
        <f t="shared" ca="1" si="316"/>
        <v>0</v>
      </c>
    </row>
    <row r="1347" spans="1:26">
      <c r="A1347" s="3" t="s">
        <v>89</v>
      </c>
      <c r="B1347" s="4">
        <v>43647</v>
      </c>
      <c r="C1347" s="3">
        <v>10707</v>
      </c>
      <c r="D1347" s="3">
        <v>10780</v>
      </c>
      <c r="E1347" s="3">
        <v>10693</v>
      </c>
      <c r="F1347" s="3">
        <v>10767</v>
      </c>
      <c r="G1347" s="3">
        <v>97751</v>
      </c>
      <c r="H1347" s="3">
        <v>1.0449999999999999</v>
      </c>
      <c r="I1347" s="2">
        <f t="shared" si="309"/>
        <v>0</v>
      </c>
      <c r="J1347" s="10">
        <f t="shared" si="311"/>
        <v>127</v>
      </c>
      <c r="K1347" s="10">
        <f t="shared" si="310"/>
        <v>60</v>
      </c>
      <c r="L1347" s="10">
        <f t="shared" ca="1" si="315"/>
        <v>0</v>
      </c>
      <c r="M1347" s="10">
        <f t="shared" ca="1" si="317"/>
        <v>-1</v>
      </c>
      <c r="N1347" s="30">
        <f t="shared" ca="1" si="318"/>
        <v>0</v>
      </c>
      <c r="O1347" s="10">
        <f t="shared" ca="1" si="319"/>
        <v>2107000</v>
      </c>
      <c r="P1347" s="29">
        <f t="shared" ca="1" si="320"/>
        <v>-37400</v>
      </c>
      <c r="Q1347" s="12">
        <f t="shared" ca="1" si="321"/>
        <v>-403300</v>
      </c>
      <c r="R1347" s="10">
        <f t="shared" ca="1" si="322"/>
        <v>-1.7750355956336024</v>
      </c>
      <c r="S1347" s="10">
        <f t="shared" ca="1" si="312"/>
        <v>-0.57801104219207966</v>
      </c>
      <c r="T1347" s="14">
        <f t="shared" ca="1" si="313"/>
        <v>-0.19909694051347829</v>
      </c>
      <c r="U1347" s="12">
        <f t="shared" ca="1" si="323"/>
        <v>7900</v>
      </c>
      <c r="V1347" s="14">
        <f t="shared" ca="1" si="324"/>
        <v>-5205.0632911392404</v>
      </c>
      <c r="W1347" s="12">
        <f t="shared" ca="1" si="314"/>
        <v>-3367.0886075949365</v>
      </c>
      <c r="X1347" s="7">
        <f ca="1">AVERAGE(E1347:OFFSET(F1347,-$X$5+1,0))</f>
        <v>10580.9</v>
      </c>
      <c r="Y1347" s="7">
        <f ca="1">AVERAGE(E1347:OFFSET(F1347,-$Y$5+1,0))</f>
        <v>10589.95</v>
      </c>
      <c r="Z1347" s="7">
        <f t="shared" ca="1" si="316"/>
        <v>0</v>
      </c>
    </row>
    <row r="1348" spans="1:26">
      <c r="A1348" s="3" t="s">
        <v>89</v>
      </c>
      <c r="B1348" s="4">
        <v>43648</v>
      </c>
      <c r="C1348" s="3">
        <v>10738</v>
      </c>
      <c r="D1348" s="3">
        <v>10766</v>
      </c>
      <c r="E1348" s="3">
        <v>10729</v>
      </c>
      <c r="F1348" s="3">
        <v>10749</v>
      </c>
      <c r="G1348" s="3">
        <v>61053</v>
      </c>
      <c r="H1348" s="3">
        <v>1.0449999999999999</v>
      </c>
      <c r="I1348" s="2">
        <f t="shared" ref="I1348:I1411" si="325">IF(A1348=A1349,0,1)</f>
        <v>0</v>
      </c>
      <c r="J1348" s="10">
        <f t="shared" si="311"/>
        <v>-29</v>
      </c>
      <c r="K1348" s="10">
        <f t="shared" ref="K1348:K1411" si="326">F1348-C1348</f>
        <v>11</v>
      </c>
      <c r="L1348" s="10">
        <f t="shared" ca="1" si="315"/>
        <v>1</v>
      </c>
      <c r="M1348" s="10">
        <f t="shared" ca="1" si="317"/>
        <v>-1</v>
      </c>
      <c r="N1348" s="30">
        <f t="shared" ca="1" si="318"/>
        <v>0</v>
      </c>
      <c r="O1348" s="10">
        <f t="shared" ca="1" si="319"/>
        <v>2107000</v>
      </c>
      <c r="P1348" s="29">
        <f t="shared" ca="1" si="320"/>
        <v>3600</v>
      </c>
      <c r="Q1348" s="12">
        <f t="shared" ca="1" si="321"/>
        <v>-399700</v>
      </c>
      <c r="R1348" s="10">
        <f t="shared" ca="1" si="322"/>
        <v>0.17085904129093499</v>
      </c>
      <c r="S1348" s="10">
        <f t="shared" ca="1" si="312"/>
        <v>-0.61004703155885764</v>
      </c>
      <c r="T1348" s="14">
        <f t="shared" ca="1" si="313"/>
        <v>-0.20297814347262866</v>
      </c>
      <c r="U1348" s="12">
        <f t="shared" ca="1" si="323"/>
        <v>7900</v>
      </c>
      <c r="V1348" s="14">
        <f t="shared" ca="1" si="324"/>
        <v>-5159.493670886076</v>
      </c>
      <c r="W1348" s="12">
        <f t="shared" ca="1" si="314"/>
        <v>-3367.0886075949365</v>
      </c>
      <c r="X1348" s="7">
        <f ca="1">AVERAGE(E1348:OFFSET(F1348,-$X$5+1,0))</f>
        <v>10622.4</v>
      </c>
      <c r="Y1348" s="7">
        <f ca="1">AVERAGE(E1348:OFFSET(F1348,-$Y$5+1,0))</f>
        <v>10609.9</v>
      </c>
      <c r="Z1348" s="7">
        <f t="shared" ca="1" si="316"/>
        <v>1</v>
      </c>
    </row>
    <row r="1349" spans="1:26">
      <c r="A1349" s="3" t="s">
        <v>89</v>
      </c>
      <c r="B1349" s="4">
        <v>43649</v>
      </c>
      <c r="C1349" s="3">
        <v>10733</v>
      </c>
      <c r="D1349" s="3">
        <v>10741</v>
      </c>
      <c r="E1349" s="3">
        <v>10202</v>
      </c>
      <c r="F1349" s="3">
        <v>10641</v>
      </c>
      <c r="G1349" s="3">
        <v>110757</v>
      </c>
      <c r="H1349" s="3">
        <v>1.0449999999999999</v>
      </c>
      <c r="I1349" s="2">
        <f t="shared" si="325"/>
        <v>0</v>
      </c>
      <c r="J1349" s="10">
        <f t="shared" ref="J1349:J1412" si="327">C1349-F1348</f>
        <v>-16</v>
      </c>
      <c r="K1349" s="10">
        <f t="shared" si="326"/>
        <v>-92</v>
      </c>
      <c r="L1349" s="10">
        <f t="shared" ca="1" si="315"/>
        <v>0</v>
      </c>
      <c r="M1349" s="10">
        <f t="shared" ca="1" si="317"/>
        <v>0</v>
      </c>
      <c r="N1349" s="30">
        <f t="shared" ca="1" si="318"/>
        <v>0</v>
      </c>
      <c r="O1349" s="10">
        <f t="shared" ca="1" si="319"/>
        <v>0</v>
      </c>
      <c r="P1349" s="29">
        <f t="shared" ca="1" si="320"/>
        <v>2700</v>
      </c>
      <c r="Q1349" s="12">
        <f t="shared" ca="1" si="321"/>
        <v>-397000</v>
      </c>
      <c r="R1349" s="10">
        <f t="shared" ca="1" si="322"/>
        <v>0.12814428096820124</v>
      </c>
      <c r="S1349" s="10">
        <f t="shared" ca="1" si="312"/>
        <v>-0.59164337809283618</v>
      </c>
      <c r="T1349" s="14">
        <f t="shared" ca="1" si="313"/>
        <v>-0.20069255115831919</v>
      </c>
      <c r="U1349" s="12">
        <f t="shared" ca="1" si="323"/>
        <v>7900</v>
      </c>
      <c r="V1349" s="14">
        <f t="shared" ca="1" si="324"/>
        <v>-5125.3164556962029</v>
      </c>
      <c r="W1349" s="12">
        <f t="shared" ca="1" si="314"/>
        <v>-3367.0886075949365</v>
      </c>
      <c r="X1349" s="7">
        <f ca="1">AVERAGE(E1349:OFFSET(F1349,-$X$5+1,0))</f>
        <v>10606.5</v>
      </c>
      <c r="Y1349" s="7">
        <f ca="1">AVERAGE(E1349:OFFSET(F1349,-$Y$5+1,0))</f>
        <v>10580.2</v>
      </c>
      <c r="Z1349" s="7">
        <f t="shared" ca="1" si="316"/>
        <v>0</v>
      </c>
    </row>
    <row r="1350" spans="1:26">
      <c r="A1350" s="3" t="s">
        <v>89</v>
      </c>
      <c r="B1350" s="4">
        <v>43650</v>
      </c>
      <c r="C1350" s="3">
        <v>10691</v>
      </c>
      <c r="D1350" s="3">
        <v>10729</v>
      </c>
      <c r="E1350" s="3">
        <v>10677</v>
      </c>
      <c r="F1350" s="3">
        <v>10710</v>
      </c>
      <c r="G1350" s="3">
        <v>77799</v>
      </c>
      <c r="H1350" s="3">
        <v>1.0449999999999999</v>
      </c>
      <c r="I1350" s="2">
        <f t="shared" si="325"/>
        <v>0</v>
      </c>
      <c r="J1350" s="10">
        <f t="shared" si="327"/>
        <v>50</v>
      </c>
      <c r="K1350" s="10">
        <f t="shared" si="326"/>
        <v>19</v>
      </c>
      <c r="L1350" s="10">
        <f t="shared" ca="1" si="315"/>
        <v>0</v>
      </c>
      <c r="M1350" s="10">
        <f t="shared" ca="1" si="317"/>
        <v>0</v>
      </c>
      <c r="N1350" s="30">
        <f t="shared" ca="1" si="318"/>
        <v>0</v>
      </c>
      <c r="O1350" s="10">
        <f t="shared" ca="1" si="319"/>
        <v>0</v>
      </c>
      <c r="P1350" s="29">
        <f t="shared" ca="1" si="320"/>
        <v>0</v>
      </c>
      <c r="Q1350" s="12">
        <f t="shared" ca="1" si="321"/>
        <v>-397000</v>
      </c>
      <c r="R1350" s="10">
        <f t="shared" ca="1" si="322"/>
        <v>0</v>
      </c>
      <c r="S1350" s="10">
        <f t="shared" ca="1" si="312"/>
        <v>-0.70202559484915616</v>
      </c>
      <c r="T1350" s="14">
        <f t="shared" ca="1" si="313"/>
        <v>-0.21422811362712715</v>
      </c>
      <c r="U1350" s="12">
        <f t="shared" ca="1" si="323"/>
        <v>7900</v>
      </c>
      <c r="V1350" s="14">
        <f t="shared" ca="1" si="324"/>
        <v>-5125.3164556962029</v>
      </c>
      <c r="W1350" s="12">
        <f t="shared" ca="1" si="314"/>
        <v>-3367.0886075949365</v>
      </c>
      <c r="X1350" s="7">
        <f ca="1">AVERAGE(E1350:OFFSET(F1350,-$X$5+1,0))</f>
        <v>10629.8</v>
      </c>
      <c r="Y1350" s="7">
        <f ca="1">AVERAGE(E1350:OFFSET(F1350,-$Y$5+1,0))</f>
        <v>10592.1</v>
      </c>
      <c r="Z1350" s="7">
        <f t="shared" ca="1" si="316"/>
        <v>0</v>
      </c>
    </row>
    <row r="1351" spans="1:26">
      <c r="A1351" s="3" t="s">
        <v>89</v>
      </c>
      <c r="B1351" s="4">
        <v>43651</v>
      </c>
      <c r="C1351" s="3">
        <v>10713</v>
      </c>
      <c r="D1351" s="3">
        <v>10749</v>
      </c>
      <c r="E1351" s="3">
        <v>10682</v>
      </c>
      <c r="F1351" s="3">
        <v>10718</v>
      </c>
      <c r="G1351" s="3">
        <v>77791</v>
      </c>
      <c r="H1351" s="3">
        <v>1.0449999999999999</v>
      </c>
      <c r="I1351" s="2">
        <f t="shared" si="325"/>
        <v>0</v>
      </c>
      <c r="J1351" s="10">
        <f t="shared" si="327"/>
        <v>3</v>
      </c>
      <c r="K1351" s="10">
        <f t="shared" si="326"/>
        <v>5</v>
      </c>
      <c r="L1351" s="10">
        <f t="shared" ca="1" si="315"/>
        <v>0</v>
      </c>
      <c r="M1351" s="10">
        <f t="shared" ca="1" si="317"/>
        <v>0</v>
      </c>
      <c r="N1351" s="30">
        <f t="shared" ca="1" si="318"/>
        <v>0</v>
      </c>
      <c r="O1351" s="10">
        <f t="shared" ca="1" si="319"/>
        <v>0</v>
      </c>
      <c r="P1351" s="29">
        <f t="shared" ca="1" si="320"/>
        <v>0</v>
      </c>
      <c r="Q1351" s="12">
        <f t="shared" ca="1" si="321"/>
        <v>-397000</v>
      </c>
      <c r="R1351" s="10">
        <f t="shared" ca="1" si="322"/>
        <v>0</v>
      </c>
      <c r="S1351" s="10">
        <f t="shared" ca="1" si="312"/>
        <v>-0.7346964795129648</v>
      </c>
      <c r="T1351" s="14">
        <f t="shared" ca="1" si="313"/>
        <v>-0.21823436402934945</v>
      </c>
      <c r="U1351" s="12">
        <f t="shared" ca="1" si="323"/>
        <v>7900</v>
      </c>
      <c r="V1351" s="14">
        <f t="shared" ca="1" si="324"/>
        <v>-5125.3164556962029</v>
      </c>
      <c r="W1351" s="12">
        <f t="shared" ca="1" si="314"/>
        <v>-3367.0886075949365</v>
      </c>
      <c r="X1351" s="7">
        <f ca="1">AVERAGE(E1351:OFFSET(F1351,-$X$5+1,0))</f>
        <v>10656.8</v>
      </c>
      <c r="Y1351" s="7">
        <f ca="1">AVERAGE(E1351:OFFSET(F1351,-$Y$5+1,0))</f>
        <v>10604.65</v>
      </c>
      <c r="Z1351" s="7">
        <f t="shared" ca="1" si="316"/>
        <v>0</v>
      </c>
    </row>
    <row r="1352" spans="1:26">
      <c r="A1352" s="3" t="s">
        <v>89</v>
      </c>
      <c r="B1352" s="4">
        <v>43654</v>
      </c>
      <c r="C1352" s="3">
        <v>10655</v>
      </c>
      <c r="D1352" s="3">
        <v>10711</v>
      </c>
      <c r="E1352" s="3">
        <v>10630</v>
      </c>
      <c r="F1352" s="3">
        <v>10665</v>
      </c>
      <c r="G1352" s="3">
        <v>105869</v>
      </c>
      <c r="H1352" s="3">
        <v>1.0449999999999999</v>
      </c>
      <c r="I1352" s="2">
        <f t="shared" si="325"/>
        <v>0</v>
      </c>
      <c r="J1352" s="10">
        <f t="shared" si="327"/>
        <v>-63</v>
      </c>
      <c r="K1352" s="10">
        <f t="shared" si="326"/>
        <v>10</v>
      </c>
      <c r="L1352" s="10">
        <f t="shared" ca="1" si="315"/>
        <v>0</v>
      </c>
      <c r="M1352" s="10">
        <f t="shared" ca="1" si="317"/>
        <v>0</v>
      </c>
      <c r="N1352" s="30">
        <f t="shared" ca="1" si="318"/>
        <v>0</v>
      </c>
      <c r="O1352" s="10">
        <f t="shared" ca="1" si="319"/>
        <v>0</v>
      </c>
      <c r="P1352" s="29">
        <f t="shared" ca="1" si="320"/>
        <v>0</v>
      </c>
      <c r="Q1352" s="12">
        <f t="shared" ca="1" si="321"/>
        <v>-397000</v>
      </c>
      <c r="R1352" s="10">
        <f t="shared" ca="1" si="322"/>
        <v>0</v>
      </c>
      <c r="S1352" s="10">
        <f t="shared" ca="1" si="312"/>
        <v>-0.95977974161997726</v>
      </c>
      <c r="T1352" s="14">
        <f t="shared" ca="1" si="313"/>
        <v>-0.24583508309860216</v>
      </c>
      <c r="U1352" s="12">
        <f t="shared" ca="1" si="323"/>
        <v>7900</v>
      </c>
      <c r="V1352" s="14">
        <f t="shared" ca="1" si="324"/>
        <v>-5125.3164556962029</v>
      </c>
      <c r="W1352" s="12">
        <f t="shared" ca="1" si="314"/>
        <v>-3367.0886075949365</v>
      </c>
      <c r="X1352" s="7">
        <f ca="1">AVERAGE(E1352:OFFSET(F1352,-$X$5+1,0))</f>
        <v>10640.3</v>
      </c>
      <c r="Y1352" s="7">
        <f ca="1">AVERAGE(E1352:OFFSET(F1352,-$Y$5+1,0))</f>
        <v>10610.6</v>
      </c>
      <c r="Z1352" s="7">
        <f t="shared" ca="1" si="316"/>
        <v>0</v>
      </c>
    </row>
    <row r="1353" spans="1:26">
      <c r="A1353" s="3" t="s">
        <v>89</v>
      </c>
      <c r="B1353" s="4">
        <v>43655</v>
      </c>
      <c r="C1353" s="3">
        <v>10688</v>
      </c>
      <c r="D1353" s="3">
        <v>10699</v>
      </c>
      <c r="E1353" s="3">
        <v>10631</v>
      </c>
      <c r="F1353" s="3">
        <v>10650</v>
      </c>
      <c r="G1353" s="3">
        <v>79635</v>
      </c>
      <c r="H1353" s="3">
        <v>1.0449999999999999</v>
      </c>
      <c r="I1353" s="2">
        <f t="shared" si="325"/>
        <v>0</v>
      </c>
      <c r="J1353" s="10">
        <f t="shared" si="327"/>
        <v>23</v>
      </c>
      <c r="K1353" s="10">
        <f t="shared" si="326"/>
        <v>-38</v>
      </c>
      <c r="L1353" s="10">
        <f t="shared" ca="1" si="315"/>
        <v>-1</v>
      </c>
      <c r="M1353" s="10">
        <f t="shared" ca="1" si="317"/>
        <v>0</v>
      </c>
      <c r="N1353" s="30">
        <f t="shared" ca="1" si="318"/>
        <v>0</v>
      </c>
      <c r="O1353" s="10">
        <f t="shared" ca="1" si="319"/>
        <v>0</v>
      </c>
      <c r="P1353" s="29">
        <f t="shared" ca="1" si="320"/>
        <v>0</v>
      </c>
      <c r="Q1353" s="12">
        <f t="shared" ca="1" si="321"/>
        <v>-397000</v>
      </c>
      <c r="R1353" s="10">
        <f t="shared" ca="1" si="322"/>
        <v>0</v>
      </c>
      <c r="S1353" s="10">
        <f t="shared" ca="1" si="312"/>
        <v>-0.89624367045957753</v>
      </c>
      <c r="T1353" s="14">
        <f t="shared" ca="1" si="313"/>
        <v>-0.23804400510174739</v>
      </c>
      <c r="U1353" s="12">
        <f t="shared" ca="1" si="323"/>
        <v>7900</v>
      </c>
      <c r="V1353" s="14">
        <f t="shared" ca="1" si="324"/>
        <v>-5125.3164556962029</v>
      </c>
      <c r="W1353" s="12">
        <f t="shared" ca="1" si="314"/>
        <v>-3367.0886075949365</v>
      </c>
      <c r="X1353" s="7">
        <f ca="1">AVERAGE(E1353:OFFSET(F1353,-$X$5+1,0))</f>
        <v>10620.6</v>
      </c>
      <c r="Y1353" s="7">
        <f ca="1">AVERAGE(E1353:OFFSET(F1353,-$Y$5+1,0))</f>
        <v>10621.5</v>
      </c>
      <c r="Z1353" s="7">
        <f t="shared" ca="1" si="316"/>
        <v>-1</v>
      </c>
    </row>
    <row r="1354" spans="1:26">
      <c r="A1354" s="3" t="s">
        <v>89</v>
      </c>
      <c r="B1354" s="4">
        <v>43656</v>
      </c>
      <c r="C1354" s="3">
        <v>10699</v>
      </c>
      <c r="D1354" s="3">
        <v>10741</v>
      </c>
      <c r="E1354" s="3">
        <v>10689</v>
      </c>
      <c r="F1354" s="3">
        <v>10731</v>
      </c>
      <c r="G1354" s="3">
        <v>99635</v>
      </c>
      <c r="H1354" s="3">
        <v>1.0449999999999999</v>
      </c>
      <c r="I1354" s="2">
        <f t="shared" si="325"/>
        <v>0</v>
      </c>
      <c r="J1354" s="10">
        <f t="shared" si="327"/>
        <v>49</v>
      </c>
      <c r="K1354" s="10">
        <f t="shared" si="326"/>
        <v>32</v>
      </c>
      <c r="L1354" s="10">
        <f t="shared" ca="1" si="315"/>
        <v>1</v>
      </c>
      <c r="M1354" s="10">
        <f t="shared" ca="1" si="317"/>
        <v>-1</v>
      </c>
      <c r="N1354" s="30">
        <f t="shared" ca="1" si="318"/>
        <v>0</v>
      </c>
      <c r="O1354" s="10">
        <f t="shared" ca="1" si="319"/>
        <v>2139800</v>
      </c>
      <c r="P1354" s="29">
        <f t="shared" ca="1" si="320"/>
        <v>-6900</v>
      </c>
      <c r="Q1354" s="12">
        <f t="shared" ca="1" si="321"/>
        <v>-403900</v>
      </c>
      <c r="R1354" s="10">
        <f t="shared" ca="1" si="322"/>
        <v>-0.3224600429946724</v>
      </c>
      <c r="S1354" s="10">
        <f t="shared" ca="1" si="312"/>
        <v>-0.87217697683821405</v>
      </c>
      <c r="T1354" s="14">
        <f t="shared" ca="1" si="313"/>
        <v>-0.23653196449785616</v>
      </c>
      <c r="U1354" s="12">
        <f t="shared" ca="1" si="323"/>
        <v>7900</v>
      </c>
      <c r="V1354" s="14">
        <f t="shared" ca="1" si="324"/>
        <v>-5212.658227848101</v>
      </c>
      <c r="W1354" s="12">
        <f t="shared" ca="1" si="314"/>
        <v>-3367.0886075949365</v>
      </c>
      <c r="X1354" s="7">
        <f ca="1">AVERAGE(E1354:OFFSET(F1354,-$X$5+1,0))</f>
        <v>10678.3</v>
      </c>
      <c r="Y1354" s="7">
        <f ca="1">AVERAGE(E1354:OFFSET(F1354,-$Y$5+1,0))</f>
        <v>10642.4</v>
      </c>
      <c r="Z1354" s="7">
        <f t="shared" ca="1" si="316"/>
        <v>1</v>
      </c>
    </row>
    <row r="1355" spans="1:26">
      <c r="A1355" s="3" t="s">
        <v>89</v>
      </c>
      <c r="B1355" s="4">
        <v>43657</v>
      </c>
      <c r="C1355" s="3">
        <v>10801</v>
      </c>
      <c r="D1355" s="3">
        <v>10833</v>
      </c>
      <c r="E1355" s="3">
        <v>10772</v>
      </c>
      <c r="F1355" s="3">
        <v>10814</v>
      </c>
      <c r="G1355" s="3">
        <v>86527</v>
      </c>
      <c r="H1355" s="3">
        <v>1.0449999999999999</v>
      </c>
      <c r="I1355" s="2">
        <f t="shared" si="325"/>
        <v>0</v>
      </c>
      <c r="J1355" s="10">
        <f t="shared" si="327"/>
        <v>70</v>
      </c>
      <c r="K1355" s="10">
        <f t="shared" si="326"/>
        <v>13</v>
      </c>
      <c r="L1355" s="10">
        <f t="shared" ca="1" si="315"/>
        <v>0</v>
      </c>
      <c r="M1355" s="10">
        <f t="shared" ca="1" si="317"/>
        <v>0</v>
      </c>
      <c r="N1355" s="30">
        <f t="shared" ca="1" si="318"/>
        <v>0</v>
      </c>
      <c r="O1355" s="10">
        <f t="shared" ca="1" si="319"/>
        <v>0</v>
      </c>
      <c r="P1355" s="29">
        <f t="shared" ca="1" si="320"/>
        <v>-14500</v>
      </c>
      <c r="Q1355" s="12">
        <f t="shared" ca="1" si="321"/>
        <v>-418400</v>
      </c>
      <c r="R1355" s="10">
        <f t="shared" ca="1" si="322"/>
        <v>-0.67763342368445645</v>
      </c>
      <c r="S1355" s="10">
        <f t="shared" ca="1" si="312"/>
        <v>-1.1243959259901037</v>
      </c>
      <c r="T1355" s="14">
        <f t="shared" ca="1" si="313"/>
        <v>-0.26690855596287333</v>
      </c>
      <c r="U1355" s="12">
        <f t="shared" ca="1" si="323"/>
        <v>7900</v>
      </c>
      <c r="V1355" s="14">
        <f t="shared" ca="1" si="324"/>
        <v>-5396.2025316455693</v>
      </c>
      <c r="W1355" s="12">
        <f t="shared" ca="1" si="314"/>
        <v>-3367.0886075949365</v>
      </c>
      <c r="X1355" s="7">
        <f ca="1">AVERAGE(E1355:OFFSET(F1355,-$X$5+1,0))</f>
        <v>10698.2</v>
      </c>
      <c r="Y1355" s="7">
        <f ca="1">AVERAGE(E1355:OFFSET(F1355,-$Y$5+1,0))</f>
        <v>10664</v>
      </c>
      <c r="Z1355" s="7">
        <f t="shared" ca="1" si="316"/>
        <v>0</v>
      </c>
    </row>
    <row r="1356" spans="1:26">
      <c r="A1356" s="3" t="s">
        <v>89</v>
      </c>
      <c r="B1356" s="4">
        <v>43658</v>
      </c>
      <c r="C1356" s="3">
        <v>10789</v>
      </c>
      <c r="D1356" s="3">
        <v>10830</v>
      </c>
      <c r="E1356" s="3">
        <v>10788</v>
      </c>
      <c r="F1356" s="3">
        <v>10810</v>
      </c>
      <c r="G1356" s="3">
        <v>77492</v>
      </c>
      <c r="H1356" s="3">
        <v>1.0449999999999999</v>
      </c>
      <c r="I1356" s="2">
        <f t="shared" si="325"/>
        <v>0</v>
      </c>
      <c r="J1356" s="10">
        <f t="shared" si="327"/>
        <v>-25</v>
      </c>
      <c r="K1356" s="10">
        <f t="shared" si="326"/>
        <v>21</v>
      </c>
      <c r="L1356" s="10">
        <f t="shared" ca="1" si="315"/>
        <v>0</v>
      </c>
      <c r="M1356" s="10">
        <f t="shared" ca="1" si="317"/>
        <v>0</v>
      </c>
      <c r="N1356" s="30">
        <f t="shared" ca="1" si="318"/>
        <v>0</v>
      </c>
      <c r="O1356" s="10">
        <f t="shared" ca="1" si="319"/>
        <v>0</v>
      </c>
      <c r="P1356" s="29">
        <f t="shared" ca="1" si="320"/>
        <v>0</v>
      </c>
      <c r="Q1356" s="12">
        <f t="shared" ca="1" si="321"/>
        <v>-418400</v>
      </c>
      <c r="R1356" s="10">
        <f t="shared" ca="1" si="322"/>
        <v>0</v>
      </c>
      <c r="S1356" s="10">
        <f t="shared" ca="1" si="312"/>
        <v>-1.1243959259901037</v>
      </c>
      <c r="T1356" s="14">
        <f t="shared" ca="1" si="313"/>
        <v>-0.26701293813605026</v>
      </c>
      <c r="U1356" s="12">
        <f t="shared" ca="1" si="323"/>
        <v>7900</v>
      </c>
      <c r="V1356" s="14">
        <f t="shared" ca="1" si="324"/>
        <v>-5396.2025316455693</v>
      </c>
      <c r="W1356" s="12">
        <f t="shared" ca="1" si="314"/>
        <v>-3367.0886075949365</v>
      </c>
      <c r="X1356" s="7">
        <f ca="1">AVERAGE(E1356:OFFSET(F1356,-$X$5+1,0))</f>
        <v>10718</v>
      </c>
      <c r="Y1356" s="7">
        <f ca="1">AVERAGE(E1356:OFFSET(F1356,-$Y$5+1,0))</f>
        <v>10687.4</v>
      </c>
      <c r="Z1356" s="7">
        <f t="shared" ca="1" si="316"/>
        <v>0</v>
      </c>
    </row>
    <row r="1357" spans="1:26">
      <c r="A1357" s="3" t="s">
        <v>89</v>
      </c>
      <c r="B1357" s="4">
        <v>43661</v>
      </c>
      <c r="C1357" s="3">
        <v>10808</v>
      </c>
      <c r="D1357" s="3">
        <v>10860</v>
      </c>
      <c r="E1357" s="3">
        <v>10730</v>
      </c>
      <c r="F1357" s="3">
        <v>10849</v>
      </c>
      <c r="G1357" s="3">
        <v>142849</v>
      </c>
      <c r="H1357" s="3">
        <v>1.0449999999999999</v>
      </c>
      <c r="I1357" s="2">
        <f t="shared" si="325"/>
        <v>0</v>
      </c>
      <c r="J1357" s="10">
        <f t="shared" si="327"/>
        <v>-2</v>
      </c>
      <c r="K1357" s="10">
        <f t="shared" si="326"/>
        <v>41</v>
      </c>
      <c r="L1357" s="10">
        <f t="shared" ca="1" si="315"/>
        <v>0</v>
      </c>
      <c r="M1357" s="10">
        <f t="shared" ca="1" si="317"/>
        <v>0</v>
      </c>
      <c r="N1357" s="30">
        <f t="shared" ca="1" si="318"/>
        <v>0</v>
      </c>
      <c r="O1357" s="10">
        <f t="shared" ca="1" si="319"/>
        <v>0</v>
      </c>
      <c r="P1357" s="29">
        <f t="shared" ca="1" si="320"/>
        <v>0</v>
      </c>
      <c r="Q1357" s="12">
        <f t="shared" ca="1" si="321"/>
        <v>-418400</v>
      </c>
      <c r="R1357" s="10">
        <f t="shared" ca="1" si="322"/>
        <v>0</v>
      </c>
      <c r="S1357" s="10">
        <f t="shared" ca="1" si="312"/>
        <v>-1.1243959259901037</v>
      </c>
      <c r="T1357" s="14">
        <f t="shared" ca="1" si="313"/>
        <v>-0.26701293813605026</v>
      </c>
      <c r="U1357" s="12">
        <f t="shared" ca="1" si="323"/>
        <v>7900</v>
      </c>
      <c r="V1357" s="14">
        <f t="shared" ca="1" si="324"/>
        <v>-5396.2025316455693</v>
      </c>
      <c r="W1357" s="12">
        <f t="shared" ca="1" si="314"/>
        <v>-3367.0886075949365</v>
      </c>
      <c r="X1357" s="7">
        <f ca="1">AVERAGE(E1357:OFFSET(F1357,-$X$5+1,0))</f>
        <v>10746.4</v>
      </c>
      <c r="Y1357" s="7">
        <f ca="1">AVERAGE(E1357:OFFSET(F1357,-$Y$5+1,0))</f>
        <v>10693.35</v>
      </c>
      <c r="Z1357" s="7">
        <f t="shared" ca="1" si="316"/>
        <v>0</v>
      </c>
    </row>
    <row r="1358" spans="1:26">
      <c r="A1358" s="3" t="s">
        <v>89</v>
      </c>
      <c r="B1358" s="4">
        <v>43662</v>
      </c>
      <c r="C1358" s="3">
        <v>10863</v>
      </c>
      <c r="D1358" s="3">
        <v>10892</v>
      </c>
      <c r="E1358" s="3">
        <v>10851</v>
      </c>
      <c r="F1358" s="3">
        <v>10876</v>
      </c>
      <c r="G1358" s="3">
        <v>94778</v>
      </c>
      <c r="H1358" s="3">
        <v>1.0449999999999999</v>
      </c>
      <c r="I1358" s="2">
        <f t="shared" si="325"/>
        <v>0</v>
      </c>
      <c r="J1358" s="10">
        <f t="shared" si="327"/>
        <v>14</v>
      </c>
      <c r="K1358" s="10">
        <f t="shared" si="326"/>
        <v>13</v>
      </c>
      <c r="L1358" s="10">
        <f t="shared" ca="1" si="315"/>
        <v>0</v>
      </c>
      <c r="M1358" s="10">
        <f t="shared" ca="1" si="317"/>
        <v>0</v>
      </c>
      <c r="N1358" s="30">
        <f t="shared" ca="1" si="318"/>
        <v>0</v>
      </c>
      <c r="O1358" s="10">
        <f t="shared" ca="1" si="319"/>
        <v>0</v>
      </c>
      <c r="P1358" s="29">
        <f t="shared" ca="1" si="320"/>
        <v>0</v>
      </c>
      <c r="Q1358" s="12">
        <f t="shared" ca="1" si="321"/>
        <v>-418400</v>
      </c>
      <c r="R1358" s="10">
        <f t="shared" ca="1" si="322"/>
        <v>0</v>
      </c>
      <c r="S1358" s="10">
        <f t="shared" ca="1" si="312"/>
        <v>-1.1243959259901037</v>
      </c>
      <c r="T1358" s="14">
        <f t="shared" ca="1" si="313"/>
        <v>-0.26701293813605026</v>
      </c>
      <c r="U1358" s="12">
        <f t="shared" ca="1" si="323"/>
        <v>7900</v>
      </c>
      <c r="V1358" s="14">
        <f t="shared" ca="1" si="324"/>
        <v>-5396.2025316455693</v>
      </c>
      <c r="W1358" s="12">
        <f t="shared" ca="1" si="314"/>
        <v>-3367.0886075949365</v>
      </c>
      <c r="X1358" s="7">
        <f ca="1">AVERAGE(E1358:OFFSET(F1358,-$X$5+1,0))</f>
        <v>10791</v>
      </c>
      <c r="Y1358" s="7">
        <f ca="1">AVERAGE(E1358:OFFSET(F1358,-$Y$5+1,0))</f>
        <v>10705.8</v>
      </c>
      <c r="Z1358" s="7">
        <f t="shared" ca="1" si="316"/>
        <v>0</v>
      </c>
    </row>
    <row r="1359" spans="1:26">
      <c r="A1359" s="3" t="s">
        <v>89</v>
      </c>
      <c r="B1359" s="4">
        <v>43663</v>
      </c>
      <c r="C1359" s="3">
        <v>10837</v>
      </c>
      <c r="D1359" s="3">
        <v>10855</v>
      </c>
      <c r="E1359" s="3">
        <v>10805</v>
      </c>
      <c r="F1359" s="3">
        <v>10831</v>
      </c>
      <c r="G1359" s="3">
        <v>73472</v>
      </c>
      <c r="H1359" s="3">
        <v>1.0449999999999999</v>
      </c>
      <c r="I1359" s="2">
        <f t="shared" si="325"/>
        <v>1</v>
      </c>
      <c r="J1359" s="10">
        <f t="shared" si="327"/>
        <v>-39</v>
      </c>
      <c r="K1359" s="10">
        <f t="shared" si="326"/>
        <v>-6</v>
      </c>
      <c r="L1359" s="10">
        <f t="shared" ca="1" si="315"/>
        <v>0</v>
      </c>
      <c r="M1359" s="10">
        <f t="shared" si="317"/>
        <v>0</v>
      </c>
      <c r="N1359" s="30">
        <f t="shared" si="318"/>
        <v>0</v>
      </c>
      <c r="O1359" s="10">
        <f t="shared" si="319"/>
        <v>0</v>
      </c>
      <c r="P1359" s="29">
        <f t="shared" ca="1" si="320"/>
        <v>0</v>
      </c>
      <c r="Q1359" s="12">
        <f t="shared" ca="1" si="321"/>
        <v>-418400</v>
      </c>
      <c r="R1359" s="10">
        <f t="shared" ca="1" si="322"/>
        <v>0</v>
      </c>
      <c r="S1359" s="10">
        <f t="shared" ca="1" si="312"/>
        <v>-1.1243959259901037</v>
      </c>
      <c r="T1359" s="14">
        <f t="shared" ca="1" si="313"/>
        <v>-0.26701293813605026</v>
      </c>
      <c r="U1359" s="12">
        <f t="shared" ca="1" si="323"/>
        <v>7900</v>
      </c>
      <c r="V1359" s="14">
        <f t="shared" ca="1" si="324"/>
        <v>-5396.2025316455693</v>
      </c>
      <c r="W1359" s="12">
        <f t="shared" ca="1" si="314"/>
        <v>-3367.0886075949365</v>
      </c>
      <c r="X1359" s="7">
        <f ca="1">AVERAGE(E1359:OFFSET(F1359,-$X$5+1,0))</f>
        <v>10812.6</v>
      </c>
      <c r="Y1359" s="7">
        <f ca="1">AVERAGE(E1359:OFFSET(F1359,-$Y$5+1,0))</f>
        <v>10745.45</v>
      </c>
      <c r="Z1359" s="7">
        <f t="shared" ca="1" si="316"/>
        <v>0</v>
      </c>
    </row>
    <row r="1360" spans="1:26">
      <c r="A1360" s="3" t="s">
        <v>90</v>
      </c>
      <c r="B1360" s="4">
        <v>43664</v>
      </c>
      <c r="C1360" s="3">
        <v>10625</v>
      </c>
      <c r="D1360" s="3">
        <v>10676</v>
      </c>
      <c r="E1360" s="3">
        <v>10623</v>
      </c>
      <c r="F1360" s="3">
        <v>10651</v>
      </c>
      <c r="G1360" s="3">
        <v>78967</v>
      </c>
      <c r="H1360" s="3">
        <v>1.0449999999999999</v>
      </c>
      <c r="I1360" s="2">
        <f t="shared" si="325"/>
        <v>0</v>
      </c>
      <c r="J1360" s="10">
        <f t="shared" si="327"/>
        <v>-206</v>
      </c>
      <c r="K1360" s="10">
        <f t="shared" si="326"/>
        <v>26</v>
      </c>
      <c r="L1360" s="10">
        <f t="shared" ca="1" si="315"/>
        <v>0</v>
      </c>
      <c r="M1360" s="10">
        <f t="shared" ca="1" si="317"/>
        <v>0</v>
      </c>
      <c r="N1360" s="30">
        <f t="shared" ca="1" si="318"/>
        <v>0</v>
      </c>
      <c r="O1360" s="10">
        <f t="shared" ca="1" si="319"/>
        <v>0</v>
      </c>
      <c r="P1360" s="29">
        <f t="shared" ca="1" si="320"/>
        <v>0</v>
      </c>
      <c r="Q1360" s="12">
        <f t="shared" ca="1" si="321"/>
        <v>-418400</v>
      </c>
      <c r="R1360" s="10">
        <f t="shared" ca="1" si="322"/>
        <v>0</v>
      </c>
      <c r="S1360" s="10">
        <f t="shared" ca="1" si="312"/>
        <v>-1.1243959259901037</v>
      </c>
      <c r="T1360" s="14">
        <f t="shared" ca="1" si="313"/>
        <v>-0.26701293813605026</v>
      </c>
      <c r="U1360" s="12">
        <f t="shared" ca="1" si="323"/>
        <v>7900</v>
      </c>
      <c r="V1360" s="14">
        <f t="shared" ca="1" si="324"/>
        <v>-5396.2025316455693</v>
      </c>
      <c r="W1360" s="12">
        <f t="shared" ca="1" si="314"/>
        <v>-3367.0886075949365</v>
      </c>
      <c r="X1360" s="7">
        <f ca="1">AVERAGE(E1360:OFFSET(F1360,-$X$5+1,0))</f>
        <v>10781.4</v>
      </c>
      <c r="Y1360" s="7">
        <f ca="1">AVERAGE(E1360:OFFSET(F1360,-$Y$5+1,0))</f>
        <v>10739.8</v>
      </c>
      <c r="Z1360" s="7">
        <f t="shared" ca="1" si="316"/>
        <v>0</v>
      </c>
    </row>
    <row r="1361" spans="1:26">
      <c r="A1361" s="3" t="s">
        <v>90</v>
      </c>
      <c r="B1361" s="4">
        <v>43665</v>
      </c>
      <c r="C1361" s="3">
        <v>10757</v>
      </c>
      <c r="D1361" s="3">
        <v>10792</v>
      </c>
      <c r="E1361" s="3">
        <v>10727</v>
      </c>
      <c r="F1361" s="3">
        <v>10744</v>
      </c>
      <c r="G1361" s="3">
        <v>96597</v>
      </c>
      <c r="H1361" s="3">
        <v>1.0449999999999999</v>
      </c>
      <c r="I1361" s="2">
        <f t="shared" si="325"/>
        <v>0</v>
      </c>
      <c r="J1361" s="10">
        <f t="shared" si="327"/>
        <v>106</v>
      </c>
      <c r="K1361" s="10">
        <f t="shared" si="326"/>
        <v>-13</v>
      </c>
      <c r="L1361" s="10">
        <f t="shared" ca="1" si="315"/>
        <v>0</v>
      </c>
      <c r="M1361" s="10">
        <f t="shared" ca="1" si="317"/>
        <v>0</v>
      </c>
      <c r="N1361" s="30">
        <f t="shared" ca="1" si="318"/>
        <v>0</v>
      </c>
      <c r="O1361" s="10">
        <f t="shared" ca="1" si="319"/>
        <v>0</v>
      </c>
      <c r="P1361" s="29">
        <f t="shared" ca="1" si="320"/>
        <v>0</v>
      </c>
      <c r="Q1361" s="12">
        <f t="shared" ca="1" si="321"/>
        <v>-418400</v>
      </c>
      <c r="R1361" s="10">
        <f t="shared" ca="1" si="322"/>
        <v>0</v>
      </c>
      <c r="S1361" s="10">
        <f t="shared" ca="1" si="312"/>
        <v>-1.1243959259901037</v>
      </c>
      <c r="T1361" s="14">
        <f t="shared" ca="1" si="313"/>
        <v>-0.26701293813605026</v>
      </c>
      <c r="U1361" s="12">
        <f t="shared" ca="1" si="323"/>
        <v>7900</v>
      </c>
      <c r="V1361" s="14">
        <f t="shared" ca="1" si="324"/>
        <v>-5396.2025316455693</v>
      </c>
      <c r="W1361" s="12">
        <f t="shared" ca="1" si="314"/>
        <v>-3367.0886075949365</v>
      </c>
      <c r="X1361" s="7">
        <f ca="1">AVERAGE(E1361:OFFSET(F1361,-$X$5+1,0))</f>
        <v>10768.7</v>
      </c>
      <c r="Y1361" s="7">
        <f ca="1">AVERAGE(E1361:OFFSET(F1361,-$Y$5+1,0))</f>
        <v>10743.35</v>
      </c>
      <c r="Z1361" s="7">
        <f t="shared" ca="1" si="316"/>
        <v>0</v>
      </c>
    </row>
    <row r="1362" spans="1:26">
      <c r="A1362" s="3" t="s">
        <v>90</v>
      </c>
      <c r="B1362" s="4">
        <v>43668</v>
      </c>
      <c r="C1362" s="3">
        <v>10735</v>
      </c>
      <c r="D1362" s="3">
        <v>10798</v>
      </c>
      <c r="E1362" s="3">
        <v>10729</v>
      </c>
      <c r="F1362" s="3">
        <v>10794</v>
      </c>
      <c r="G1362" s="3">
        <v>78276</v>
      </c>
      <c r="H1362" s="3">
        <v>1.0449999999999999</v>
      </c>
      <c r="I1362" s="2">
        <f t="shared" si="325"/>
        <v>0</v>
      </c>
      <c r="J1362" s="10">
        <f t="shared" si="327"/>
        <v>-9</v>
      </c>
      <c r="K1362" s="10">
        <f t="shared" si="326"/>
        <v>59</v>
      </c>
      <c r="L1362" s="10">
        <f t="shared" ca="1" si="315"/>
        <v>0</v>
      </c>
      <c r="M1362" s="10">
        <f t="shared" ca="1" si="317"/>
        <v>0</v>
      </c>
      <c r="N1362" s="30">
        <f t="shared" ca="1" si="318"/>
        <v>0</v>
      </c>
      <c r="O1362" s="10">
        <f t="shared" ca="1" si="319"/>
        <v>0</v>
      </c>
      <c r="P1362" s="29">
        <f t="shared" ca="1" si="320"/>
        <v>0</v>
      </c>
      <c r="Q1362" s="12">
        <f t="shared" ca="1" si="321"/>
        <v>-418400</v>
      </c>
      <c r="R1362" s="10">
        <f t="shared" ca="1" si="322"/>
        <v>0</v>
      </c>
      <c r="S1362" s="10">
        <f t="shared" ca="1" si="312"/>
        <v>-1.1243959259901037</v>
      </c>
      <c r="T1362" s="14">
        <f t="shared" ca="1" si="313"/>
        <v>-0.26701293813605026</v>
      </c>
      <c r="U1362" s="12">
        <f t="shared" ca="1" si="323"/>
        <v>7900</v>
      </c>
      <c r="V1362" s="14">
        <f t="shared" ca="1" si="324"/>
        <v>-5396.2025316455693</v>
      </c>
      <c r="W1362" s="12">
        <f t="shared" ca="1" si="314"/>
        <v>-3367.0886075949365</v>
      </c>
      <c r="X1362" s="7">
        <f ca="1">AVERAGE(E1362:OFFSET(F1362,-$X$5+1,0))</f>
        <v>10763.1</v>
      </c>
      <c r="Y1362" s="7">
        <f ca="1">AVERAGE(E1362:OFFSET(F1362,-$Y$5+1,0))</f>
        <v>10754.75</v>
      </c>
      <c r="Z1362" s="7">
        <f t="shared" ca="1" si="316"/>
        <v>0</v>
      </c>
    </row>
    <row r="1363" spans="1:26">
      <c r="A1363" s="3" t="s">
        <v>90</v>
      </c>
      <c r="B1363" s="4">
        <v>43669</v>
      </c>
      <c r="C1363" s="3">
        <v>10822</v>
      </c>
      <c r="D1363" s="3">
        <v>10836</v>
      </c>
      <c r="E1363" s="3">
        <v>10785</v>
      </c>
      <c r="F1363" s="3">
        <v>10803</v>
      </c>
      <c r="G1363" s="3">
        <v>76794</v>
      </c>
      <c r="H1363" s="3">
        <v>1.0449999999999999</v>
      </c>
      <c r="I1363" s="2">
        <f t="shared" si="325"/>
        <v>0</v>
      </c>
      <c r="J1363" s="10">
        <f t="shared" si="327"/>
        <v>28</v>
      </c>
      <c r="K1363" s="10">
        <f t="shared" si="326"/>
        <v>-19</v>
      </c>
      <c r="L1363" s="10">
        <f t="shared" ca="1" si="315"/>
        <v>-1</v>
      </c>
      <c r="M1363" s="10">
        <f t="shared" ca="1" si="317"/>
        <v>0</v>
      </c>
      <c r="N1363" s="30">
        <f t="shared" ca="1" si="318"/>
        <v>0</v>
      </c>
      <c r="O1363" s="10">
        <f t="shared" ca="1" si="319"/>
        <v>0</v>
      </c>
      <c r="P1363" s="29">
        <f t="shared" ca="1" si="320"/>
        <v>0</v>
      </c>
      <c r="Q1363" s="12">
        <f t="shared" ca="1" si="321"/>
        <v>-418400</v>
      </c>
      <c r="R1363" s="10">
        <f t="shared" ca="1" si="322"/>
        <v>0</v>
      </c>
      <c r="S1363" s="10">
        <f t="shared" ca="1" si="312"/>
        <v>-1.1243959259901037</v>
      </c>
      <c r="T1363" s="14">
        <f t="shared" ca="1" si="313"/>
        <v>-0.26701293813605026</v>
      </c>
      <c r="U1363" s="12">
        <f t="shared" ca="1" si="323"/>
        <v>7900</v>
      </c>
      <c r="V1363" s="14">
        <f t="shared" ca="1" si="324"/>
        <v>-5396.2025316455693</v>
      </c>
      <c r="W1363" s="12">
        <f t="shared" ca="1" si="314"/>
        <v>-3367.0886075949365</v>
      </c>
      <c r="X1363" s="7">
        <f ca="1">AVERAGE(E1363:OFFSET(F1363,-$X$5+1,0))</f>
        <v>10749.2</v>
      </c>
      <c r="Y1363" s="7">
        <f ca="1">AVERAGE(E1363:OFFSET(F1363,-$Y$5+1,0))</f>
        <v>10770.1</v>
      </c>
      <c r="Z1363" s="7">
        <f t="shared" ca="1" si="316"/>
        <v>-1</v>
      </c>
    </row>
    <row r="1364" spans="1:26">
      <c r="A1364" s="3" t="s">
        <v>90</v>
      </c>
      <c r="B1364" s="4">
        <v>43670</v>
      </c>
      <c r="C1364" s="3">
        <v>10817</v>
      </c>
      <c r="D1364" s="3">
        <v>10835</v>
      </c>
      <c r="E1364" s="3">
        <v>10792</v>
      </c>
      <c r="F1364" s="3">
        <v>10804</v>
      </c>
      <c r="G1364" s="3">
        <v>66376</v>
      </c>
      <c r="H1364" s="3">
        <v>1.0449999999999999</v>
      </c>
      <c r="I1364" s="2">
        <f t="shared" si="325"/>
        <v>0</v>
      </c>
      <c r="J1364" s="10">
        <f t="shared" si="327"/>
        <v>14</v>
      </c>
      <c r="K1364" s="10">
        <f t="shared" si="326"/>
        <v>-13</v>
      </c>
      <c r="L1364" s="10">
        <f t="shared" ca="1" si="315"/>
        <v>0</v>
      </c>
      <c r="M1364" s="10">
        <f t="shared" ca="1" si="317"/>
        <v>-1</v>
      </c>
      <c r="N1364" s="30">
        <f t="shared" ca="1" si="318"/>
        <v>0</v>
      </c>
      <c r="O1364" s="10">
        <f t="shared" ca="1" si="319"/>
        <v>2163400</v>
      </c>
      <c r="P1364" s="29">
        <f t="shared" ca="1" si="320"/>
        <v>2100</v>
      </c>
      <c r="Q1364" s="12">
        <f t="shared" ca="1" si="321"/>
        <v>-416300</v>
      </c>
      <c r="R1364" s="10">
        <f t="shared" ca="1" si="322"/>
        <v>9.7069427752611626E-2</v>
      </c>
      <c r="S1364" s="10">
        <f t="shared" ca="1" si="312"/>
        <v>-1.1041799033481585</v>
      </c>
      <c r="T1364" s="14">
        <f t="shared" ca="1" si="313"/>
        <v>-0.26520504356491831</v>
      </c>
      <c r="U1364" s="12">
        <f t="shared" ca="1" si="323"/>
        <v>7900</v>
      </c>
      <c r="V1364" s="14">
        <f t="shared" ca="1" si="324"/>
        <v>-5369.6202531645567</v>
      </c>
      <c r="W1364" s="12">
        <f t="shared" ca="1" si="314"/>
        <v>-3367.0886075949365</v>
      </c>
      <c r="X1364" s="7">
        <f ca="1">AVERAGE(E1364:OFFSET(F1364,-$X$5+1,0))</f>
        <v>10745.2</v>
      </c>
      <c r="Y1364" s="7">
        <f ca="1">AVERAGE(E1364:OFFSET(F1364,-$Y$5+1,0))</f>
        <v>10778.9</v>
      </c>
      <c r="Z1364" s="7">
        <f t="shared" ca="1" si="316"/>
        <v>0</v>
      </c>
    </row>
    <row r="1365" spans="1:26">
      <c r="A1365" s="3" t="s">
        <v>90</v>
      </c>
      <c r="B1365" s="4">
        <v>43671</v>
      </c>
      <c r="C1365" s="3">
        <v>10825</v>
      </c>
      <c r="D1365" s="3">
        <v>10831</v>
      </c>
      <c r="E1365" s="3">
        <v>10769</v>
      </c>
      <c r="F1365" s="3">
        <v>10822</v>
      </c>
      <c r="G1365" s="3">
        <v>73933</v>
      </c>
      <c r="H1365" s="3">
        <v>1.0449999999999999</v>
      </c>
      <c r="I1365" s="2">
        <f t="shared" si="325"/>
        <v>0</v>
      </c>
      <c r="J1365" s="10">
        <f t="shared" si="327"/>
        <v>21</v>
      </c>
      <c r="K1365" s="10">
        <f t="shared" si="326"/>
        <v>-3</v>
      </c>
      <c r="L1365" s="10">
        <f t="shared" ca="1" si="315"/>
        <v>0</v>
      </c>
      <c r="M1365" s="10">
        <f t="shared" ca="1" si="317"/>
        <v>-1</v>
      </c>
      <c r="N1365" s="30">
        <f t="shared" ca="1" si="318"/>
        <v>0</v>
      </c>
      <c r="O1365" s="10">
        <f t="shared" ca="1" si="319"/>
        <v>2163400</v>
      </c>
      <c r="P1365" s="29">
        <f t="shared" ca="1" si="320"/>
        <v>-3600</v>
      </c>
      <c r="Q1365" s="12">
        <f t="shared" ca="1" si="321"/>
        <v>-419900</v>
      </c>
      <c r="R1365" s="10">
        <f t="shared" ca="1" si="322"/>
        <v>-0.16640473329019137</v>
      </c>
      <c r="S1365" s="10">
        <f t="shared" ca="1" si="312"/>
        <v>-1.1388359421629219</v>
      </c>
      <c r="T1365" s="14">
        <f t="shared" ca="1" si="313"/>
        <v>-0.26958302638521031</v>
      </c>
      <c r="U1365" s="12">
        <f t="shared" ca="1" si="323"/>
        <v>7900</v>
      </c>
      <c r="V1365" s="14">
        <f t="shared" ca="1" si="324"/>
        <v>-5415.1898734177212</v>
      </c>
      <c r="W1365" s="12">
        <f t="shared" ca="1" si="314"/>
        <v>-3367.0886075949365</v>
      </c>
      <c r="X1365" s="7">
        <f ca="1">AVERAGE(E1365:OFFSET(F1365,-$X$5+1,0))</f>
        <v>10776.9</v>
      </c>
      <c r="Y1365" s="7">
        <f ca="1">AVERAGE(E1365:OFFSET(F1365,-$Y$5+1,0))</f>
        <v>10779.15</v>
      </c>
      <c r="Z1365" s="7">
        <f t="shared" ca="1" si="316"/>
        <v>0</v>
      </c>
    </row>
    <row r="1366" spans="1:26">
      <c r="A1366" s="3" t="s">
        <v>90</v>
      </c>
      <c r="B1366" s="4">
        <v>43672</v>
      </c>
      <c r="C1366" s="3">
        <v>10781</v>
      </c>
      <c r="D1366" s="3">
        <v>10795</v>
      </c>
      <c r="E1366" s="3">
        <v>10765</v>
      </c>
      <c r="F1366" s="3">
        <v>10787</v>
      </c>
      <c r="G1366" s="3">
        <v>53262</v>
      </c>
      <c r="H1366" s="3">
        <v>1.0449999999999999</v>
      </c>
      <c r="I1366" s="2">
        <f t="shared" si="325"/>
        <v>0</v>
      </c>
      <c r="J1366" s="10">
        <f t="shared" si="327"/>
        <v>-41</v>
      </c>
      <c r="K1366" s="10">
        <f t="shared" si="326"/>
        <v>6</v>
      </c>
      <c r="L1366" s="10">
        <f t="shared" ca="1" si="315"/>
        <v>1</v>
      </c>
      <c r="M1366" s="10">
        <f t="shared" ca="1" si="317"/>
        <v>-1</v>
      </c>
      <c r="N1366" s="30">
        <f t="shared" ca="1" si="318"/>
        <v>0</v>
      </c>
      <c r="O1366" s="10">
        <f t="shared" ca="1" si="319"/>
        <v>2163400</v>
      </c>
      <c r="P1366" s="29">
        <f t="shared" ca="1" si="320"/>
        <v>7000</v>
      </c>
      <c r="Q1366" s="12">
        <f t="shared" ca="1" si="321"/>
        <v>-412900</v>
      </c>
      <c r="R1366" s="10">
        <f t="shared" ca="1" si="322"/>
        <v>0.32356475917537209</v>
      </c>
      <c r="S1366" s="10">
        <f t="shared" ca="1" si="312"/>
        <v>-1.071449200023104</v>
      </c>
      <c r="T1366" s="14">
        <f t="shared" ca="1" si="313"/>
        <v>-0.26105730038106684</v>
      </c>
      <c r="U1366" s="12">
        <f t="shared" ca="1" si="323"/>
        <v>7900</v>
      </c>
      <c r="V1366" s="14">
        <f t="shared" ca="1" si="324"/>
        <v>-5326.5822784810125</v>
      </c>
      <c r="W1366" s="12">
        <f t="shared" ca="1" si="314"/>
        <v>-3367.0886075949365</v>
      </c>
      <c r="X1366" s="7">
        <f ca="1">AVERAGE(E1366:OFFSET(F1366,-$X$5+1,0))</f>
        <v>10785</v>
      </c>
      <c r="Y1366" s="7">
        <f ca="1">AVERAGE(E1366:OFFSET(F1366,-$Y$5+1,0))</f>
        <v>10776.85</v>
      </c>
      <c r="Z1366" s="7">
        <f t="shared" ca="1" si="316"/>
        <v>1</v>
      </c>
    </row>
    <row r="1367" spans="1:26">
      <c r="A1367" s="3" t="s">
        <v>90</v>
      </c>
      <c r="B1367" s="4">
        <v>43675</v>
      </c>
      <c r="C1367" s="3">
        <v>10779</v>
      </c>
      <c r="D1367" s="3">
        <v>10802</v>
      </c>
      <c r="E1367" s="3">
        <v>10744</v>
      </c>
      <c r="F1367" s="3">
        <v>10782</v>
      </c>
      <c r="G1367" s="3">
        <v>83205</v>
      </c>
      <c r="H1367" s="3">
        <v>1.0449999999999999</v>
      </c>
      <c r="I1367" s="2">
        <f t="shared" si="325"/>
        <v>0</v>
      </c>
      <c r="J1367" s="10">
        <f t="shared" si="327"/>
        <v>-8</v>
      </c>
      <c r="K1367" s="10">
        <f t="shared" si="326"/>
        <v>3</v>
      </c>
      <c r="L1367" s="10">
        <f t="shared" ca="1" si="315"/>
        <v>0</v>
      </c>
      <c r="M1367" s="10">
        <f t="shared" ca="1" si="317"/>
        <v>0</v>
      </c>
      <c r="N1367" s="30">
        <f t="shared" ca="1" si="318"/>
        <v>0</v>
      </c>
      <c r="O1367" s="10">
        <f t="shared" ca="1" si="319"/>
        <v>0</v>
      </c>
      <c r="P1367" s="29">
        <f t="shared" ca="1" si="320"/>
        <v>1100</v>
      </c>
      <c r="Q1367" s="12">
        <f t="shared" ca="1" si="321"/>
        <v>-411800</v>
      </c>
      <c r="R1367" s="10">
        <f t="shared" ca="1" si="322"/>
        <v>5.084589072755847E-2</v>
      </c>
      <c r="S1367" s="10">
        <f t="shared" ca="1" si="312"/>
        <v>-1.0608598548297041</v>
      </c>
      <c r="T1367" s="14">
        <f t="shared" ca="1" si="313"/>
        <v>-0.25974335246982921</v>
      </c>
      <c r="U1367" s="12">
        <f t="shared" ca="1" si="323"/>
        <v>7900</v>
      </c>
      <c r="V1367" s="14">
        <f t="shared" ca="1" si="324"/>
        <v>-5312.658227848101</v>
      </c>
      <c r="W1367" s="12">
        <f t="shared" ca="1" si="314"/>
        <v>-3367.0886075949365</v>
      </c>
      <c r="X1367" s="7">
        <f ca="1">AVERAGE(E1367:OFFSET(F1367,-$X$5+1,0))</f>
        <v>10785.3</v>
      </c>
      <c r="Y1367" s="7">
        <f ca="1">AVERAGE(E1367:OFFSET(F1367,-$Y$5+1,0))</f>
        <v>10774.2</v>
      </c>
      <c r="Z1367" s="7">
        <f t="shared" ca="1" si="316"/>
        <v>0</v>
      </c>
    </row>
    <row r="1368" spans="1:26">
      <c r="A1368" s="3" t="s">
        <v>90</v>
      </c>
      <c r="B1368" s="4">
        <v>43676</v>
      </c>
      <c r="C1368" s="3">
        <v>10819</v>
      </c>
      <c r="D1368" s="3">
        <v>10836</v>
      </c>
      <c r="E1368" s="3">
        <v>10751</v>
      </c>
      <c r="F1368" s="3">
        <v>10752</v>
      </c>
      <c r="G1368" s="3">
        <v>91827</v>
      </c>
      <c r="H1368" s="3">
        <v>1.0449999999999999</v>
      </c>
      <c r="I1368" s="2">
        <f t="shared" si="325"/>
        <v>0</v>
      </c>
      <c r="J1368" s="10">
        <f t="shared" si="327"/>
        <v>37</v>
      </c>
      <c r="K1368" s="10">
        <f t="shared" si="326"/>
        <v>-67</v>
      </c>
      <c r="L1368" s="10">
        <f t="shared" ca="1" si="315"/>
        <v>0</v>
      </c>
      <c r="M1368" s="10">
        <f t="shared" ca="1" si="317"/>
        <v>0</v>
      </c>
      <c r="N1368" s="30">
        <f t="shared" ca="1" si="318"/>
        <v>0</v>
      </c>
      <c r="O1368" s="10">
        <f t="shared" ca="1" si="319"/>
        <v>0</v>
      </c>
      <c r="P1368" s="29">
        <f t="shared" ca="1" si="320"/>
        <v>0</v>
      </c>
      <c r="Q1368" s="12">
        <f t="shared" ca="1" si="321"/>
        <v>-411800</v>
      </c>
      <c r="R1368" s="10">
        <f t="shared" ca="1" si="322"/>
        <v>0</v>
      </c>
      <c r="S1368" s="10">
        <f t="shared" ca="1" si="312"/>
        <v>-1.0608598548297041</v>
      </c>
      <c r="T1368" s="14">
        <f t="shared" ca="1" si="313"/>
        <v>-0.25974335246982921</v>
      </c>
      <c r="U1368" s="12">
        <f t="shared" ca="1" si="323"/>
        <v>7900</v>
      </c>
      <c r="V1368" s="14">
        <f t="shared" ca="1" si="324"/>
        <v>-5312.658227848101</v>
      </c>
      <c r="W1368" s="12">
        <f t="shared" ca="1" si="314"/>
        <v>-3367.0886075949365</v>
      </c>
      <c r="X1368" s="7">
        <f ca="1">AVERAGE(E1368:OFFSET(F1368,-$X$5+1,0))</f>
        <v>10776.8</v>
      </c>
      <c r="Y1368" s="7">
        <f ca="1">AVERAGE(E1368:OFFSET(F1368,-$Y$5+1,0))</f>
        <v>10763</v>
      </c>
      <c r="Z1368" s="7">
        <f t="shared" ca="1" si="316"/>
        <v>0</v>
      </c>
    </row>
    <row r="1369" spans="1:26">
      <c r="A1369" s="3" t="s">
        <v>90</v>
      </c>
      <c r="B1369" s="4">
        <v>43677</v>
      </c>
      <c r="C1369" s="3">
        <v>10721</v>
      </c>
      <c r="D1369" s="3">
        <v>10743</v>
      </c>
      <c r="E1369" s="3">
        <v>10674</v>
      </c>
      <c r="F1369" s="3">
        <v>10737</v>
      </c>
      <c r="G1369" s="3">
        <v>103963</v>
      </c>
      <c r="H1369" s="3">
        <v>1.0449999999999999</v>
      </c>
      <c r="I1369" s="2">
        <f t="shared" si="325"/>
        <v>0</v>
      </c>
      <c r="J1369" s="10">
        <f t="shared" si="327"/>
        <v>-31</v>
      </c>
      <c r="K1369" s="10">
        <f t="shared" si="326"/>
        <v>16</v>
      </c>
      <c r="L1369" s="10">
        <f t="shared" ca="1" si="315"/>
        <v>0</v>
      </c>
      <c r="M1369" s="10">
        <f t="shared" ca="1" si="317"/>
        <v>0</v>
      </c>
      <c r="N1369" s="30">
        <f t="shared" ca="1" si="318"/>
        <v>0</v>
      </c>
      <c r="O1369" s="10">
        <f t="shared" ca="1" si="319"/>
        <v>0</v>
      </c>
      <c r="P1369" s="29">
        <f t="shared" ca="1" si="320"/>
        <v>0</v>
      </c>
      <c r="Q1369" s="12">
        <f t="shared" ca="1" si="321"/>
        <v>-411800</v>
      </c>
      <c r="R1369" s="10">
        <f t="shared" ca="1" si="322"/>
        <v>0</v>
      </c>
      <c r="S1369" s="10">
        <f t="shared" ca="1" si="312"/>
        <v>-1.0608598548297041</v>
      </c>
      <c r="T1369" s="14">
        <f t="shared" ca="1" si="313"/>
        <v>-0.25974335246982921</v>
      </c>
      <c r="U1369" s="12">
        <f t="shared" ca="1" si="323"/>
        <v>7900</v>
      </c>
      <c r="V1369" s="14">
        <f t="shared" ca="1" si="324"/>
        <v>-5312.658227848101</v>
      </c>
      <c r="W1369" s="12">
        <f t="shared" ca="1" si="314"/>
        <v>-3367.0886075949365</v>
      </c>
      <c r="X1369" s="7">
        <f ca="1">AVERAGE(E1369:OFFSET(F1369,-$X$5+1,0))</f>
        <v>10758.3</v>
      </c>
      <c r="Y1369" s="7">
        <f ca="1">AVERAGE(E1369:OFFSET(F1369,-$Y$5+1,0))</f>
        <v>10751.75</v>
      </c>
      <c r="Z1369" s="7">
        <f t="shared" ca="1" si="316"/>
        <v>0</v>
      </c>
    </row>
    <row r="1370" spans="1:26">
      <c r="A1370" s="3" t="s">
        <v>90</v>
      </c>
      <c r="B1370" s="4">
        <v>43678</v>
      </c>
      <c r="C1370" s="3">
        <v>10635</v>
      </c>
      <c r="D1370" s="3">
        <v>10697</v>
      </c>
      <c r="E1370" s="3">
        <v>10623</v>
      </c>
      <c r="F1370" s="3">
        <v>10644</v>
      </c>
      <c r="G1370" s="3">
        <v>109370</v>
      </c>
      <c r="H1370" s="3">
        <v>1.0449999999999999</v>
      </c>
      <c r="I1370" s="2">
        <f t="shared" si="325"/>
        <v>0</v>
      </c>
      <c r="J1370" s="10">
        <f t="shared" si="327"/>
        <v>-102</v>
      </c>
      <c r="K1370" s="10">
        <f t="shared" si="326"/>
        <v>9</v>
      </c>
      <c r="L1370" s="10">
        <f t="shared" ca="1" si="315"/>
        <v>-1</v>
      </c>
      <c r="M1370" s="10">
        <f t="shared" ca="1" si="317"/>
        <v>0</v>
      </c>
      <c r="N1370" s="30">
        <f t="shared" ca="1" si="318"/>
        <v>0</v>
      </c>
      <c r="O1370" s="10">
        <f t="shared" ca="1" si="319"/>
        <v>0</v>
      </c>
      <c r="P1370" s="29">
        <f t="shared" ca="1" si="320"/>
        <v>0</v>
      </c>
      <c r="Q1370" s="12">
        <f t="shared" ca="1" si="321"/>
        <v>-411800</v>
      </c>
      <c r="R1370" s="10">
        <f t="shared" ca="1" si="322"/>
        <v>0</v>
      </c>
      <c r="S1370" s="10">
        <f t="shared" ca="1" si="312"/>
        <v>-1.0608598548297041</v>
      </c>
      <c r="T1370" s="14">
        <f t="shared" ca="1" si="313"/>
        <v>-0.25974335246982921</v>
      </c>
      <c r="U1370" s="12">
        <f t="shared" ca="1" si="323"/>
        <v>7900</v>
      </c>
      <c r="V1370" s="14">
        <f t="shared" ca="1" si="324"/>
        <v>-5312.658227848101</v>
      </c>
      <c r="W1370" s="12">
        <f t="shared" ca="1" si="314"/>
        <v>-3367.0886075949365</v>
      </c>
      <c r="X1370" s="7">
        <f ca="1">AVERAGE(E1370:OFFSET(F1370,-$X$5+1,0))</f>
        <v>10725.9</v>
      </c>
      <c r="Y1370" s="7">
        <f ca="1">AVERAGE(E1370:OFFSET(F1370,-$Y$5+1,0))</f>
        <v>10751.4</v>
      </c>
      <c r="Z1370" s="7">
        <f t="shared" ca="1" si="316"/>
        <v>-1</v>
      </c>
    </row>
    <row r="1371" spans="1:26">
      <c r="A1371" s="3" t="s">
        <v>90</v>
      </c>
      <c r="B1371" s="4">
        <v>43679</v>
      </c>
      <c r="C1371" s="3">
        <v>10518</v>
      </c>
      <c r="D1371" s="3">
        <v>10535</v>
      </c>
      <c r="E1371" s="3">
        <v>10441</v>
      </c>
      <c r="F1371" s="3">
        <v>10469</v>
      </c>
      <c r="G1371" s="3">
        <v>142909</v>
      </c>
      <c r="H1371" s="3">
        <v>1.0449999999999999</v>
      </c>
      <c r="I1371" s="2">
        <f t="shared" si="325"/>
        <v>0</v>
      </c>
      <c r="J1371" s="10">
        <f t="shared" si="327"/>
        <v>-126</v>
      </c>
      <c r="K1371" s="10">
        <f t="shared" si="326"/>
        <v>-49</v>
      </c>
      <c r="L1371" s="10">
        <f t="shared" ca="1" si="315"/>
        <v>0</v>
      </c>
      <c r="M1371" s="10">
        <f t="shared" ca="1" si="317"/>
        <v>-1</v>
      </c>
      <c r="N1371" s="30">
        <f t="shared" ca="1" si="318"/>
        <v>0</v>
      </c>
      <c r="O1371" s="10">
        <f t="shared" ca="1" si="319"/>
        <v>2103600</v>
      </c>
      <c r="P1371" s="29">
        <f t="shared" ca="1" si="320"/>
        <v>9300</v>
      </c>
      <c r="Q1371" s="12">
        <f t="shared" ca="1" si="321"/>
        <v>-402500</v>
      </c>
      <c r="R1371" s="10">
        <f t="shared" ca="1" si="322"/>
        <v>0.44209925841414716</v>
      </c>
      <c r="S1371" s="10">
        <f t="shared" ca="1" si="312"/>
        <v>-0.99347311268988625</v>
      </c>
      <c r="T1371" s="14">
        <f t="shared" ca="1" si="313"/>
        <v>-0.25107311977812008</v>
      </c>
      <c r="U1371" s="12">
        <f t="shared" ca="1" si="323"/>
        <v>7900</v>
      </c>
      <c r="V1371" s="14">
        <f t="shared" ca="1" si="324"/>
        <v>-5194.9367088607596</v>
      </c>
      <c r="W1371" s="12">
        <f t="shared" ca="1" si="314"/>
        <v>-3367.0886075949365</v>
      </c>
      <c r="X1371" s="7">
        <f ca="1">AVERAGE(E1371:OFFSET(F1371,-$X$5+1,0))</f>
        <v>10661.7</v>
      </c>
      <c r="Y1371" s="7">
        <f ca="1">AVERAGE(E1371:OFFSET(F1371,-$Y$5+1,0))</f>
        <v>10723.35</v>
      </c>
      <c r="Z1371" s="7">
        <f t="shared" ca="1" si="316"/>
        <v>0</v>
      </c>
    </row>
    <row r="1372" spans="1:26">
      <c r="A1372" s="3" t="s">
        <v>90</v>
      </c>
      <c r="B1372" s="4">
        <v>43682</v>
      </c>
      <c r="C1372" s="3">
        <v>10421</v>
      </c>
      <c r="D1372" s="3">
        <v>10460</v>
      </c>
      <c r="E1372" s="3">
        <v>10358</v>
      </c>
      <c r="F1372" s="3">
        <v>10379</v>
      </c>
      <c r="G1372" s="3">
        <v>135670</v>
      </c>
      <c r="H1372" s="3">
        <v>1.0449999999999999</v>
      </c>
      <c r="I1372" s="2">
        <f t="shared" si="325"/>
        <v>0</v>
      </c>
      <c r="J1372" s="10">
        <f t="shared" si="327"/>
        <v>-48</v>
      </c>
      <c r="K1372" s="10">
        <f t="shared" si="326"/>
        <v>-42</v>
      </c>
      <c r="L1372" s="10">
        <f t="shared" ca="1" si="315"/>
        <v>0</v>
      </c>
      <c r="M1372" s="10">
        <f t="shared" ca="1" si="317"/>
        <v>-1</v>
      </c>
      <c r="N1372" s="30">
        <f t="shared" ca="1" si="318"/>
        <v>0</v>
      </c>
      <c r="O1372" s="10">
        <f t="shared" ca="1" si="319"/>
        <v>2103600</v>
      </c>
      <c r="P1372" s="29">
        <f t="shared" ca="1" si="320"/>
        <v>18000</v>
      </c>
      <c r="Q1372" s="12">
        <f t="shared" ca="1" si="321"/>
        <v>-384500</v>
      </c>
      <c r="R1372" s="10">
        <f t="shared" ca="1" si="322"/>
        <v>0.85567598402738165</v>
      </c>
      <c r="S1372" s="10">
        <f t="shared" ca="1" si="312"/>
        <v>-0.90587034790812304</v>
      </c>
      <c r="T1372" s="14">
        <f t="shared" ca="1" si="313"/>
        <v>-0.23906124435809589</v>
      </c>
      <c r="U1372" s="12">
        <f t="shared" ca="1" si="323"/>
        <v>7900</v>
      </c>
      <c r="V1372" s="14">
        <f t="shared" ca="1" si="324"/>
        <v>-4967.0886075949365</v>
      </c>
      <c r="W1372" s="12">
        <f t="shared" ca="1" si="314"/>
        <v>-3367.0886075949365</v>
      </c>
      <c r="X1372" s="7">
        <f ca="1">AVERAGE(E1372:OFFSET(F1372,-$X$5+1,0))</f>
        <v>10582.8</v>
      </c>
      <c r="Y1372" s="7">
        <f ca="1">AVERAGE(E1372:OFFSET(F1372,-$Y$5+1,0))</f>
        <v>10684.05</v>
      </c>
      <c r="Z1372" s="7">
        <f t="shared" ca="1" si="316"/>
        <v>0</v>
      </c>
    </row>
    <row r="1373" spans="1:26">
      <c r="A1373" s="3" t="s">
        <v>90</v>
      </c>
      <c r="B1373" s="4">
        <v>43683</v>
      </c>
      <c r="C1373" s="3">
        <v>10096</v>
      </c>
      <c r="D1373" s="3">
        <v>10387</v>
      </c>
      <c r="E1373" s="3">
        <v>10095</v>
      </c>
      <c r="F1373" s="3">
        <v>10331</v>
      </c>
      <c r="G1373" s="3">
        <v>199053</v>
      </c>
      <c r="H1373" s="3">
        <v>1.0449999999999999</v>
      </c>
      <c r="I1373" s="2">
        <f t="shared" si="325"/>
        <v>0</v>
      </c>
      <c r="J1373" s="10">
        <f t="shared" si="327"/>
        <v>-283</v>
      </c>
      <c r="K1373" s="10">
        <f t="shared" si="326"/>
        <v>235</v>
      </c>
      <c r="L1373" s="10">
        <f t="shared" ca="1" si="315"/>
        <v>0</v>
      </c>
      <c r="M1373" s="10">
        <f t="shared" ca="1" si="317"/>
        <v>-1</v>
      </c>
      <c r="N1373" s="30">
        <f t="shared" ca="1" si="318"/>
        <v>0</v>
      </c>
      <c r="O1373" s="10">
        <f t="shared" ca="1" si="319"/>
        <v>2103600</v>
      </c>
      <c r="P1373" s="29">
        <f t="shared" ca="1" si="320"/>
        <v>9600</v>
      </c>
      <c r="Q1373" s="12">
        <f t="shared" ca="1" si="321"/>
        <v>-374900</v>
      </c>
      <c r="R1373" s="10">
        <f t="shared" ca="1" si="322"/>
        <v>0.45636052481460354</v>
      </c>
      <c r="S1373" s="10">
        <f t="shared" ca="1" si="312"/>
        <v>-0.81345424440208702</v>
      </c>
      <c r="T1373" s="14">
        <f t="shared" ca="1" si="313"/>
        <v>-0.22740244728713865</v>
      </c>
      <c r="U1373" s="12">
        <f t="shared" ca="1" si="323"/>
        <v>7900</v>
      </c>
      <c r="V1373" s="14">
        <f t="shared" ca="1" si="324"/>
        <v>-4845.5696202531644</v>
      </c>
      <c r="W1373" s="12">
        <f t="shared" ca="1" si="314"/>
        <v>-3367.0886075949365</v>
      </c>
      <c r="X1373" s="7">
        <f ca="1">AVERAGE(E1373:OFFSET(F1373,-$X$5+1,0))</f>
        <v>10475.1</v>
      </c>
      <c r="Y1373" s="7">
        <f ca="1">AVERAGE(E1373:OFFSET(F1373,-$Y$5+1,0))</f>
        <v>10625.95</v>
      </c>
      <c r="Z1373" s="7">
        <f t="shared" ca="1" si="316"/>
        <v>0</v>
      </c>
    </row>
    <row r="1374" spans="1:26">
      <c r="A1374" s="3" t="s">
        <v>90</v>
      </c>
      <c r="B1374" s="4">
        <v>43684</v>
      </c>
      <c r="C1374" s="3">
        <v>10330</v>
      </c>
      <c r="D1374" s="3">
        <v>10375</v>
      </c>
      <c r="E1374" s="3">
        <v>10301</v>
      </c>
      <c r="F1374" s="3">
        <v>10347</v>
      </c>
      <c r="G1374" s="3">
        <v>113948</v>
      </c>
      <c r="H1374" s="3">
        <v>1.0449999999999999</v>
      </c>
      <c r="I1374" s="2">
        <f t="shared" si="325"/>
        <v>0</v>
      </c>
      <c r="J1374" s="10">
        <f t="shared" si="327"/>
        <v>-1</v>
      </c>
      <c r="K1374" s="10">
        <f t="shared" si="326"/>
        <v>17</v>
      </c>
      <c r="L1374" s="10">
        <f t="shared" ca="1" si="315"/>
        <v>0</v>
      </c>
      <c r="M1374" s="10">
        <f t="shared" ca="1" si="317"/>
        <v>-1</v>
      </c>
      <c r="N1374" s="30">
        <f t="shared" ca="1" si="318"/>
        <v>0</v>
      </c>
      <c r="O1374" s="10">
        <f t="shared" ca="1" si="319"/>
        <v>2103600</v>
      </c>
      <c r="P1374" s="29">
        <f t="shared" ca="1" si="320"/>
        <v>-3200</v>
      </c>
      <c r="Q1374" s="12">
        <f t="shared" ca="1" si="321"/>
        <v>-378100</v>
      </c>
      <c r="R1374" s="10">
        <f t="shared" ca="1" si="322"/>
        <v>-0.15212017493820118</v>
      </c>
      <c r="S1374" s="10">
        <f t="shared" ca="1" si="312"/>
        <v>-0.7836115443115963</v>
      </c>
      <c r="T1374" s="14">
        <f t="shared" ca="1" si="313"/>
        <v>-0.22372160478074157</v>
      </c>
      <c r="U1374" s="12">
        <f t="shared" ca="1" si="323"/>
        <v>7900</v>
      </c>
      <c r="V1374" s="14">
        <f t="shared" ca="1" si="324"/>
        <v>-4886.0759493670885</v>
      </c>
      <c r="W1374" s="12">
        <f t="shared" ca="1" si="314"/>
        <v>-3367.0886075949365</v>
      </c>
      <c r="X1374" s="7">
        <f ca="1">AVERAGE(E1374:OFFSET(F1374,-$X$5+1,0))</f>
        <v>10398.799999999999</v>
      </c>
      <c r="Y1374" s="7">
        <f ca="1">AVERAGE(E1374:OFFSET(F1374,-$Y$5+1,0))</f>
        <v>10578.55</v>
      </c>
      <c r="Z1374" s="7">
        <f t="shared" ca="1" si="316"/>
        <v>0</v>
      </c>
    </row>
    <row r="1375" spans="1:26">
      <c r="A1375" s="3" t="s">
        <v>90</v>
      </c>
      <c r="B1375" s="4">
        <v>43685</v>
      </c>
      <c r="C1375" s="3">
        <v>10372</v>
      </c>
      <c r="D1375" s="3">
        <v>10454</v>
      </c>
      <c r="E1375" s="3">
        <v>10340</v>
      </c>
      <c r="F1375" s="3">
        <v>10439</v>
      </c>
      <c r="G1375" s="3">
        <v>122318</v>
      </c>
      <c r="H1375" s="3">
        <v>1.0449999999999999</v>
      </c>
      <c r="I1375" s="2">
        <f t="shared" si="325"/>
        <v>0</v>
      </c>
      <c r="J1375" s="10">
        <f t="shared" si="327"/>
        <v>25</v>
      </c>
      <c r="K1375" s="10">
        <f t="shared" si="326"/>
        <v>67</v>
      </c>
      <c r="L1375" s="10">
        <f t="shared" ca="1" si="315"/>
        <v>0</v>
      </c>
      <c r="M1375" s="10">
        <f t="shared" ca="1" si="317"/>
        <v>-1</v>
      </c>
      <c r="N1375" s="30">
        <f t="shared" ca="1" si="318"/>
        <v>0</v>
      </c>
      <c r="O1375" s="10">
        <f t="shared" ca="1" si="319"/>
        <v>2103600</v>
      </c>
      <c r="P1375" s="29">
        <f t="shared" ca="1" si="320"/>
        <v>-18400</v>
      </c>
      <c r="Q1375" s="12">
        <f t="shared" ca="1" si="321"/>
        <v>-396500</v>
      </c>
      <c r="R1375" s="10">
        <f t="shared" ca="1" si="322"/>
        <v>-0.87469100589465676</v>
      </c>
      <c r="S1375" s="10">
        <f t="shared" ca="1" si="312"/>
        <v>-0.92704903829492291</v>
      </c>
      <c r="T1375" s="14">
        <f t="shared" ca="1" si="313"/>
        <v>-0.24008501624134432</v>
      </c>
      <c r="U1375" s="12">
        <f t="shared" ca="1" si="323"/>
        <v>7900</v>
      </c>
      <c r="V1375" s="14">
        <f t="shared" ca="1" si="324"/>
        <v>-5118.9873417721519</v>
      </c>
      <c r="W1375" s="12">
        <f t="shared" ca="1" si="314"/>
        <v>-3367.0886075949365</v>
      </c>
      <c r="X1375" s="7">
        <f ca="1">AVERAGE(E1375:OFFSET(F1375,-$X$5+1,0))</f>
        <v>10350</v>
      </c>
      <c r="Y1375" s="7">
        <f ca="1">AVERAGE(E1375:OFFSET(F1375,-$Y$5+1,0))</f>
        <v>10537.95</v>
      </c>
      <c r="Z1375" s="7">
        <f t="shared" ca="1" si="316"/>
        <v>0</v>
      </c>
    </row>
    <row r="1376" spans="1:26">
      <c r="A1376" s="3" t="s">
        <v>90</v>
      </c>
      <c r="B1376" s="4">
        <v>43689</v>
      </c>
      <c r="C1376" s="3">
        <v>10439</v>
      </c>
      <c r="D1376" s="3">
        <v>10477</v>
      </c>
      <c r="E1376" s="3">
        <v>10380</v>
      </c>
      <c r="F1376" s="3">
        <v>10441</v>
      </c>
      <c r="G1376" s="3">
        <v>87087</v>
      </c>
      <c r="H1376" s="3">
        <v>1.0449999999999999</v>
      </c>
      <c r="I1376" s="2">
        <f t="shared" si="325"/>
        <v>0</v>
      </c>
      <c r="J1376" s="10">
        <f t="shared" si="327"/>
        <v>0</v>
      </c>
      <c r="K1376" s="10">
        <f t="shared" si="326"/>
        <v>2</v>
      </c>
      <c r="L1376" s="10">
        <f t="shared" ca="1" si="315"/>
        <v>0</v>
      </c>
      <c r="M1376" s="10">
        <f t="shared" ca="1" si="317"/>
        <v>-1</v>
      </c>
      <c r="N1376" s="30">
        <f t="shared" ca="1" si="318"/>
        <v>0</v>
      </c>
      <c r="O1376" s="10">
        <f t="shared" ca="1" si="319"/>
        <v>2103600</v>
      </c>
      <c r="P1376" s="29">
        <f t="shared" ca="1" si="320"/>
        <v>-400</v>
      </c>
      <c r="Q1376" s="12">
        <f t="shared" ca="1" si="321"/>
        <v>-396900</v>
      </c>
      <c r="R1376" s="10">
        <f t="shared" ca="1" si="322"/>
        <v>-1.9015021867275148E-2</v>
      </c>
      <c r="S1376" s="10">
        <f t="shared" ca="1" si="312"/>
        <v>-0.93089970927434107</v>
      </c>
      <c r="T1376" s="14">
        <f t="shared" ca="1" si="313"/>
        <v>-0.24055415970940555</v>
      </c>
      <c r="U1376" s="12">
        <f t="shared" ca="1" si="323"/>
        <v>7900</v>
      </c>
      <c r="V1376" s="14">
        <f t="shared" ca="1" si="324"/>
        <v>-5124.0506329113923</v>
      </c>
      <c r="W1376" s="12">
        <f t="shared" ca="1" si="314"/>
        <v>-3367.0886075949365</v>
      </c>
      <c r="X1376" s="7">
        <f ca="1">AVERAGE(E1376:OFFSET(F1376,-$X$5+1,0))</f>
        <v>10341.1</v>
      </c>
      <c r="Y1376" s="7">
        <f ca="1">AVERAGE(E1376:OFFSET(F1376,-$Y$5+1,0))</f>
        <v>10501.4</v>
      </c>
      <c r="Z1376" s="7">
        <f t="shared" ca="1" si="316"/>
        <v>0</v>
      </c>
    </row>
    <row r="1377" spans="1:26">
      <c r="A1377" s="3" t="s">
        <v>90</v>
      </c>
      <c r="B1377" s="4">
        <v>43690</v>
      </c>
      <c r="C1377" s="3">
        <v>10385</v>
      </c>
      <c r="D1377" s="3">
        <v>10400</v>
      </c>
      <c r="E1377" s="3">
        <v>10319</v>
      </c>
      <c r="F1377" s="3">
        <v>10342</v>
      </c>
      <c r="G1377" s="3">
        <v>102839</v>
      </c>
      <c r="H1377" s="3">
        <v>1.0449999999999999</v>
      </c>
      <c r="I1377" s="2">
        <f t="shared" si="325"/>
        <v>0</v>
      </c>
      <c r="J1377" s="10">
        <f t="shared" si="327"/>
        <v>-56</v>
      </c>
      <c r="K1377" s="10">
        <f t="shared" si="326"/>
        <v>-43</v>
      </c>
      <c r="L1377" s="10">
        <f t="shared" ca="1" si="315"/>
        <v>0</v>
      </c>
      <c r="M1377" s="10">
        <f t="shared" ca="1" si="317"/>
        <v>-1</v>
      </c>
      <c r="N1377" s="30">
        <f t="shared" ca="1" si="318"/>
        <v>0</v>
      </c>
      <c r="O1377" s="10">
        <f t="shared" ca="1" si="319"/>
        <v>2103600</v>
      </c>
      <c r="P1377" s="29">
        <f t="shared" ca="1" si="320"/>
        <v>19800</v>
      </c>
      <c r="Q1377" s="12">
        <f t="shared" ca="1" si="321"/>
        <v>-377100</v>
      </c>
      <c r="R1377" s="10">
        <f t="shared" ca="1" si="322"/>
        <v>0.94124358243011974</v>
      </c>
      <c r="S1377" s="10">
        <f t="shared" ca="1" si="312"/>
        <v>-0.74029149579314191</v>
      </c>
      <c r="T1377" s="14">
        <f t="shared" ca="1" si="313"/>
        <v>-0.21605139896806189</v>
      </c>
      <c r="U1377" s="12">
        <f t="shared" ca="1" si="323"/>
        <v>7900</v>
      </c>
      <c r="V1377" s="14">
        <f t="shared" ca="1" si="324"/>
        <v>-4873.4177215189875</v>
      </c>
      <c r="W1377" s="12">
        <f t="shared" ca="1" si="314"/>
        <v>-3367.0886075949365</v>
      </c>
      <c r="X1377" s="7">
        <f ca="1">AVERAGE(E1377:OFFSET(F1377,-$X$5+1,0))</f>
        <v>10333.5</v>
      </c>
      <c r="Y1377" s="7">
        <f ca="1">AVERAGE(E1377:OFFSET(F1377,-$Y$5+1,0))</f>
        <v>10458.15</v>
      </c>
      <c r="Z1377" s="7">
        <f t="shared" ca="1" si="316"/>
        <v>0</v>
      </c>
    </row>
    <row r="1378" spans="1:26">
      <c r="A1378" s="3" t="s">
        <v>90</v>
      </c>
      <c r="B1378" s="4">
        <v>43691</v>
      </c>
      <c r="C1378" s="3">
        <v>10457</v>
      </c>
      <c r="D1378" s="3">
        <v>10492</v>
      </c>
      <c r="E1378" s="3">
        <v>10416</v>
      </c>
      <c r="F1378" s="3">
        <v>10429</v>
      </c>
      <c r="G1378" s="3">
        <v>107891</v>
      </c>
      <c r="H1378" s="3">
        <v>1.0449999999999999</v>
      </c>
      <c r="I1378" s="2">
        <f t="shared" si="325"/>
        <v>0</v>
      </c>
      <c r="J1378" s="10">
        <f t="shared" si="327"/>
        <v>115</v>
      </c>
      <c r="K1378" s="10">
        <f t="shared" si="326"/>
        <v>-28</v>
      </c>
      <c r="L1378" s="10">
        <f t="shared" ca="1" si="315"/>
        <v>0</v>
      </c>
      <c r="M1378" s="10">
        <f t="shared" ca="1" si="317"/>
        <v>-1</v>
      </c>
      <c r="N1378" s="30">
        <f t="shared" ca="1" si="318"/>
        <v>0</v>
      </c>
      <c r="O1378" s="10">
        <f t="shared" ca="1" si="319"/>
        <v>2103600</v>
      </c>
      <c r="P1378" s="29">
        <f t="shared" ca="1" si="320"/>
        <v>-17400</v>
      </c>
      <c r="Q1378" s="12">
        <f t="shared" ca="1" si="321"/>
        <v>-394500</v>
      </c>
      <c r="R1378" s="10">
        <f t="shared" ca="1" si="322"/>
        <v>-0.82715345122646888</v>
      </c>
      <c r="S1378" s="10">
        <f t="shared" ca="1" si="312"/>
        <v>-0.90779568339783212</v>
      </c>
      <c r="T1378" s="14">
        <f t="shared" ca="1" si="313"/>
        <v>-0.23556248569628405</v>
      </c>
      <c r="U1378" s="12">
        <f t="shared" ca="1" si="323"/>
        <v>7900</v>
      </c>
      <c r="V1378" s="14">
        <f t="shared" ca="1" si="324"/>
        <v>-5093.6708860759491</v>
      </c>
      <c r="W1378" s="12">
        <f t="shared" ca="1" si="314"/>
        <v>-3367.0886075949365</v>
      </c>
      <c r="X1378" s="7">
        <f ca="1">AVERAGE(E1378:OFFSET(F1378,-$X$5+1,0))</f>
        <v>10375.4</v>
      </c>
      <c r="Y1378" s="7">
        <f ca="1">AVERAGE(E1378:OFFSET(F1378,-$Y$5+1,0))</f>
        <v>10425.25</v>
      </c>
      <c r="Z1378" s="7">
        <f t="shared" ca="1" si="316"/>
        <v>0</v>
      </c>
    </row>
    <row r="1379" spans="1:26">
      <c r="A1379" s="3" t="s">
        <v>90</v>
      </c>
      <c r="B1379" s="4">
        <v>43692</v>
      </c>
      <c r="C1379" s="3">
        <v>10255</v>
      </c>
      <c r="D1379" s="3">
        <v>10335</v>
      </c>
      <c r="E1379" s="3">
        <v>10242</v>
      </c>
      <c r="F1379" s="3">
        <v>10301</v>
      </c>
      <c r="G1379" s="3">
        <v>117015</v>
      </c>
      <c r="H1379" s="3">
        <v>1.0449999999999999</v>
      </c>
      <c r="I1379" s="2">
        <f t="shared" si="325"/>
        <v>0</v>
      </c>
      <c r="J1379" s="10">
        <f t="shared" si="327"/>
        <v>-174</v>
      </c>
      <c r="K1379" s="10">
        <f t="shared" si="326"/>
        <v>46</v>
      </c>
      <c r="L1379" s="10">
        <f t="shared" ca="1" si="315"/>
        <v>0</v>
      </c>
      <c r="M1379" s="10">
        <f t="shared" ca="1" si="317"/>
        <v>-1</v>
      </c>
      <c r="N1379" s="30">
        <f t="shared" ca="1" si="318"/>
        <v>0</v>
      </c>
      <c r="O1379" s="10">
        <f t="shared" ca="1" si="319"/>
        <v>2103600</v>
      </c>
      <c r="P1379" s="29">
        <f t="shared" ca="1" si="320"/>
        <v>25600</v>
      </c>
      <c r="Q1379" s="12">
        <f t="shared" ca="1" si="321"/>
        <v>-368900</v>
      </c>
      <c r="R1379" s="10">
        <f t="shared" ca="1" si="322"/>
        <v>1.2169613995056094</v>
      </c>
      <c r="S1379" s="10">
        <f t="shared" ca="1" si="312"/>
        <v>-0.66135274071506955</v>
      </c>
      <c r="T1379" s="14">
        <f t="shared" ca="1" si="313"/>
        <v>-0.20383915409117084</v>
      </c>
      <c r="U1379" s="12">
        <f t="shared" ca="1" si="323"/>
        <v>7900</v>
      </c>
      <c r="V1379" s="14">
        <f t="shared" ca="1" si="324"/>
        <v>-4769.6202531645567</v>
      </c>
      <c r="W1379" s="12">
        <f t="shared" ca="1" si="314"/>
        <v>-3367.0886075949365</v>
      </c>
      <c r="X1379" s="7">
        <f ca="1">AVERAGE(E1379:OFFSET(F1379,-$X$5+1,0))</f>
        <v>10364.9</v>
      </c>
      <c r="Y1379" s="7">
        <f ca="1">AVERAGE(E1379:OFFSET(F1379,-$Y$5+1,0))</f>
        <v>10381.85</v>
      </c>
      <c r="Z1379" s="7">
        <f t="shared" ca="1" si="316"/>
        <v>0</v>
      </c>
    </row>
    <row r="1380" spans="1:26">
      <c r="A1380" s="3" t="s">
        <v>90</v>
      </c>
      <c r="B1380" s="4">
        <v>43693</v>
      </c>
      <c r="C1380" s="3">
        <v>10315</v>
      </c>
      <c r="D1380" s="3">
        <v>10421</v>
      </c>
      <c r="E1380" s="3">
        <v>10288</v>
      </c>
      <c r="F1380" s="3">
        <v>10414</v>
      </c>
      <c r="G1380" s="3">
        <v>135144</v>
      </c>
      <c r="H1380" s="3">
        <v>1.0449999999999999</v>
      </c>
      <c r="I1380" s="2">
        <f t="shared" si="325"/>
        <v>0</v>
      </c>
      <c r="J1380" s="10">
        <f t="shared" si="327"/>
        <v>14</v>
      </c>
      <c r="K1380" s="10">
        <f t="shared" si="326"/>
        <v>99</v>
      </c>
      <c r="L1380" s="10">
        <f t="shared" ca="1" si="315"/>
        <v>1</v>
      </c>
      <c r="M1380" s="10">
        <f t="shared" ca="1" si="317"/>
        <v>-1</v>
      </c>
      <c r="N1380" s="30">
        <f t="shared" ca="1" si="318"/>
        <v>0</v>
      </c>
      <c r="O1380" s="10">
        <f t="shared" ca="1" si="319"/>
        <v>2103600</v>
      </c>
      <c r="P1380" s="29">
        <f t="shared" ca="1" si="320"/>
        <v>-22600</v>
      </c>
      <c r="Q1380" s="12">
        <f t="shared" ca="1" si="321"/>
        <v>-391500</v>
      </c>
      <c r="R1380" s="10">
        <f t="shared" ca="1" si="322"/>
        <v>-1.0743487355010459</v>
      </c>
      <c r="S1380" s="10">
        <f t="shared" ca="1" si="312"/>
        <v>-0.87891565105219582</v>
      </c>
      <c r="T1380" s="14">
        <f t="shared" ca="1" si="313"/>
        <v>-0.22820947232539143</v>
      </c>
      <c r="U1380" s="12">
        <f t="shared" ca="1" si="323"/>
        <v>7900</v>
      </c>
      <c r="V1380" s="14">
        <f t="shared" ca="1" si="324"/>
        <v>-5055.6962025316452</v>
      </c>
      <c r="W1380" s="12">
        <f t="shared" ca="1" si="314"/>
        <v>-3367.0886075949365</v>
      </c>
      <c r="X1380" s="7">
        <f ca="1">AVERAGE(E1380:OFFSET(F1380,-$X$5+1,0))</f>
        <v>10357.200000000001</v>
      </c>
      <c r="Y1380" s="7">
        <f ca="1">AVERAGE(E1380:OFFSET(F1380,-$Y$5+1,0))</f>
        <v>10353.6</v>
      </c>
      <c r="Z1380" s="7">
        <f t="shared" ca="1" si="316"/>
        <v>1</v>
      </c>
    </row>
    <row r="1381" spans="1:26">
      <c r="A1381" s="3" t="s">
        <v>90</v>
      </c>
      <c r="B1381" s="4">
        <v>43696</v>
      </c>
      <c r="C1381" s="3">
        <v>10436</v>
      </c>
      <c r="D1381" s="3">
        <v>10489</v>
      </c>
      <c r="E1381" s="3">
        <v>10419</v>
      </c>
      <c r="F1381" s="3">
        <v>10484</v>
      </c>
      <c r="G1381" s="3">
        <v>113319</v>
      </c>
      <c r="H1381" s="3">
        <v>1.0449999999999999</v>
      </c>
      <c r="I1381" s="2">
        <f t="shared" si="325"/>
        <v>0</v>
      </c>
      <c r="J1381" s="10">
        <f t="shared" si="327"/>
        <v>22</v>
      </c>
      <c r="K1381" s="10">
        <f t="shared" si="326"/>
        <v>48</v>
      </c>
      <c r="L1381" s="10">
        <f t="shared" ca="1" si="315"/>
        <v>0</v>
      </c>
      <c r="M1381" s="10">
        <f t="shared" ca="1" si="317"/>
        <v>0</v>
      </c>
      <c r="N1381" s="30">
        <f t="shared" ca="1" si="318"/>
        <v>0</v>
      </c>
      <c r="O1381" s="10">
        <f t="shared" ca="1" si="319"/>
        <v>0</v>
      </c>
      <c r="P1381" s="29">
        <f t="shared" ca="1" si="320"/>
        <v>-4900</v>
      </c>
      <c r="Q1381" s="12">
        <f t="shared" ca="1" si="321"/>
        <v>-396400</v>
      </c>
      <c r="R1381" s="10">
        <f t="shared" ca="1" si="322"/>
        <v>-0.23293401787412055</v>
      </c>
      <c r="S1381" s="10">
        <f t="shared" ca="1" si="312"/>
        <v>-0.92608637055006837</v>
      </c>
      <c r="T1381" s="14">
        <f t="shared" ca="1" si="313"/>
        <v>-0.2338010094470728</v>
      </c>
      <c r="U1381" s="12">
        <f t="shared" ca="1" si="323"/>
        <v>7900</v>
      </c>
      <c r="V1381" s="14">
        <f t="shared" ca="1" si="324"/>
        <v>-5117.7215189873414</v>
      </c>
      <c r="W1381" s="12">
        <f t="shared" ca="1" si="314"/>
        <v>-3367.0886075949365</v>
      </c>
      <c r="X1381" s="7">
        <f ca="1">AVERAGE(E1381:OFFSET(F1381,-$X$5+1,0))</f>
        <v>10365.4</v>
      </c>
      <c r="Y1381" s="7">
        <f ca="1">AVERAGE(E1381:OFFSET(F1381,-$Y$5+1,0))</f>
        <v>10353.25</v>
      </c>
      <c r="Z1381" s="7">
        <f t="shared" ca="1" si="316"/>
        <v>0</v>
      </c>
    </row>
    <row r="1382" spans="1:26">
      <c r="A1382" s="3" t="s">
        <v>90</v>
      </c>
      <c r="B1382" s="4">
        <v>43697</v>
      </c>
      <c r="C1382" s="3">
        <v>10487</v>
      </c>
      <c r="D1382" s="3">
        <v>10530</v>
      </c>
      <c r="E1382" s="3">
        <v>10478</v>
      </c>
      <c r="F1382" s="3">
        <v>10527</v>
      </c>
      <c r="G1382" s="3">
        <v>94358</v>
      </c>
      <c r="H1382" s="3">
        <v>1.0449999999999999</v>
      </c>
      <c r="I1382" s="2">
        <f t="shared" si="325"/>
        <v>0</v>
      </c>
      <c r="J1382" s="10">
        <f t="shared" si="327"/>
        <v>3</v>
      </c>
      <c r="K1382" s="10">
        <f t="shared" si="326"/>
        <v>40</v>
      </c>
      <c r="L1382" s="10">
        <f t="shared" ca="1" si="315"/>
        <v>0</v>
      </c>
      <c r="M1382" s="10">
        <f t="shared" ca="1" si="317"/>
        <v>0</v>
      </c>
      <c r="N1382" s="30">
        <f t="shared" ca="1" si="318"/>
        <v>0</v>
      </c>
      <c r="O1382" s="10">
        <f t="shared" ca="1" si="319"/>
        <v>0</v>
      </c>
      <c r="P1382" s="29">
        <f t="shared" ca="1" si="320"/>
        <v>0</v>
      </c>
      <c r="Q1382" s="12">
        <f t="shared" ca="1" si="321"/>
        <v>-396400</v>
      </c>
      <c r="R1382" s="10">
        <f t="shared" ca="1" si="322"/>
        <v>0</v>
      </c>
      <c r="S1382" s="10">
        <f t="shared" ca="1" si="312"/>
        <v>-0.92608637055006837</v>
      </c>
      <c r="T1382" s="14">
        <f t="shared" ca="1" si="313"/>
        <v>-0.23399654390722327</v>
      </c>
      <c r="U1382" s="12">
        <f t="shared" ca="1" si="323"/>
        <v>7900</v>
      </c>
      <c r="V1382" s="14">
        <f t="shared" ca="1" si="324"/>
        <v>-5117.7215189873414</v>
      </c>
      <c r="W1382" s="12">
        <f t="shared" ca="1" si="314"/>
        <v>-3367.0886075949365</v>
      </c>
      <c r="X1382" s="7">
        <f ca="1">AVERAGE(E1382:OFFSET(F1382,-$X$5+1,0))</f>
        <v>10399.799999999999</v>
      </c>
      <c r="Y1382" s="7">
        <f ca="1">AVERAGE(E1382:OFFSET(F1382,-$Y$5+1,0))</f>
        <v>10366.65</v>
      </c>
      <c r="Z1382" s="7">
        <f t="shared" ca="1" si="316"/>
        <v>0</v>
      </c>
    </row>
    <row r="1383" spans="1:26">
      <c r="A1383" s="3" t="s">
        <v>90</v>
      </c>
      <c r="B1383" s="4">
        <v>43698</v>
      </c>
      <c r="C1383" s="3">
        <v>10514</v>
      </c>
      <c r="D1383" s="3">
        <v>10544</v>
      </c>
      <c r="E1383" s="3">
        <v>10505</v>
      </c>
      <c r="F1383" s="3">
        <v>10528</v>
      </c>
      <c r="G1383" s="3">
        <v>61159</v>
      </c>
      <c r="H1383" s="3">
        <v>1.0449999999999999</v>
      </c>
      <c r="I1383" s="2">
        <f t="shared" si="325"/>
        <v>1</v>
      </c>
      <c r="J1383" s="10">
        <f t="shared" si="327"/>
        <v>-13</v>
      </c>
      <c r="K1383" s="10">
        <f t="shared" si="326"/>
        <v>14</v>
      </c>
      <c r="L1383" s="10">
        <f t="shared" ca="1" si="315"/>
        <v>0</v>
      </c>
      <c r="M1383" s="10">
        <f t="shared" si="317"/>
        <v>0</v>
      </c>
      <c r="N1383" s="30">
        <f t="shared" si="318"/>
        <v>0</v>
      </c>
      <c r="O1383" s="10">
        <f t="shared" si="319"/>
        <v>0</v>
      </c>
      <c r="P1383" s="29">
        <f t="shared" ca="1" si="320"/>
        <v>0</v>
      </c>
      <c r="Q1383" s="12">
        <f t="shared" ca="1" si="321"/>
        <v>-396400</v>
      </c>
      <c r="R1383" s="10">
        <f t="shared" ca="1" si="322"/>
        <v>0</v>
      </c>
      <c r="S1383" s="10">
        <f t="shared" ca="1" si="312"/>
        <v>-1.2978009146638123</v>
      </c>
      <c r="T1383" s="14">
        <f t="shared" ca="1" si="313"/>
        <v>-0.27826795184718039</v>
      </c>
      <c r="U1383" s="12">
        <f t="shared" ca="1" si="323"/>
        <v>7900</v>
      </c>
      <c r="V1383" s="14">
        <f t="shared" ca="1" si="324"/>
        <v>-5117.7215189873414</v>
      </c>
      <c r="W1383" s="12">
        <f t="shared" ca="1" si="314"/>
        <v>-3367.0886075949365</v>
      </c>
      <c r="X1383" s="7">
        <f ca="1">AVERAGE(E1383:OFFSET(F1383,-$X$5+1,0))</f>
        <v>10418.6</v>
      </c>
      <c r="Y1383" s="7">
        <f ca="1">AVERAGE(E1383:OFFSET(F1383,-$Y$5+1,0))</f>
        <v>10397</v>
      </c>
      <c r="Z1383" s="7">
        <f t="shared" ca="1" si="316"/>
        <v>0</v>
      </c>
    </row>
    <row r="1384" spans="1:26">
      <c r="A1384" s="3" t="s">
        <v>91</v>
      </c>
      <c r="B1384" s="4">
        <v>43699</v>
      </c>
      <c r="C1384" s="3">
        <v>10538</v>
      </c>
      <c r="D1384" s="3">
        <v>10564</v>
      </c>
      <c r="E1384" s="3">
        <v>10464</v>
      </c>
      <c r="F1384" s="3">
        <v>10477</v>
      </c>
      <c r="G1384" s="3">
        <v>105769</v>
      </c>
      <c r="H1384" s="3">
        <v>1.0449999999999999</v>
      </c>
      <c r="I1384" s="2">
        <f t="shared" si="325"/>
        <v>0</v>
      </c>
      <c r="J1384" s="10">
        <f t="shared" si="327"/>
        <v>10</v>
      </c>
      <c r="K1384" s="10">
        <f t="shared" si="326"/>
        <v>-61</v>
      </c>
      <c r="L1384" s="10">
        <f t="shared" ca="1" si="315"/>
        <v>0</v>
      </c>
      <c r="M1384" s="10">
        <f t="shared" ca="1" si="317"/>
        <v>0</v>
      </c>
      <c r="N1384" s="30">
        <f t="shared" ca="1" si="318"/>
        <v>0</v>
      </c>
      <c r="O1384" s="10">
        <f t="shared" ca="1" si="319"/>
        <v>0</v>
      </c>
      <c r="P1384" s="29">
        <f t="shared" ca="1" si="320"/>
        <v>0</v>
      </c>
      <c r="Q1384" s="12">
        <f t="shared" ca="1" si="321"/>
        <v>-396400</v>
      </c>
      <c r="R1384" s="10">
        <f t="shared" ca="1" si="322"/>
        <v>0</v>
      </c>
      <c r="S1384" s="10">
        <f t="shared" ca="1" si="312"/>
        <v>-1.463218838182349</v>
      </c>
      <c r="T1384" s="14">
        <f t="shared" ca="1" si="313"/>
        <v>-0.29824295496638031</v>
      </c>
      <c r="U1384" s="12">
        <f t="shared" ca="1" si="323"/>
        <v>7900</v>
      </c>
      <c r="V1384" s="14">
        <f t="shared" ca="1" si="324"/>
        <v>-5117.7215189873414</v>
      </c>
      <c r="W1384" s="12">
        <f t="shared" ca="1" si="314"/>
        <v>-3367.0886075949365</v>
      </c>
      <c r="X1384" s="7">
        <f ca="1">AVERAGE(E1384:OFFSET(F1384,-$X$5+1,0))</f>
        <v>10458.4</v>
      </c>
      <c r="Y1384" s="7">
        <f ca="1">AVERAGE(E1384:OFFSET(F1384,-$Y$5+1,0))</f>
        <v>10411.65</v>
      </c>
      <c r="Z1384" s="7">
        <f t="shared" ca="1" si="316"/>
        <v>0</v>
      </c>
    </row>
    <row r="1385" spans="1:26">
      <c r="A1385" s="3" t="s">
        <v>91</v>
      </c>
      <c r="B1385" s="4">
        <v>43700</v>
      </c>
      <c r="C1385" s="3">
        <v>10485</v>
      </c>
      <c r="D1385" s="3">
        <v>10513</v>
      </c>
      <c r="E1385" s="3">
        <v>10460</v>
      </c>
      <c r="F1385" s="3">
        <v>10499</v>
      </c>
      <c r="G1385" s="3">
        <v>76901</v>
      </c>
      <c r="H1385" s="3">
        <v>1.0449999999999999</v>
      </c>
      <c r="I1385" s="2">
        <f t="shared" si="325"/>
        <v>0</v>
      </c>
      <c r="J1385" s="10">
        <f t="shared" si="327"/>
        <v>8</v>
      </c>
      <c r="K1385" s="10">
        <f t="shared" si="326"/>
        <v>14</v>
      </c>
      <c r="L1385" s="10">
        <f t="shared" ca="1" si="315"/>
        <v>0</v>
      </c>
      <c r="M1385" s="10">
        <f t="shared" ca="1" si="317"/>
        <v>0</v>
      </c>
      <c r="N1385" s="30">
        <f t="shared" ca="1" si="318"/>
        <v>0</v>
      </c>
      <c r="O1385" s="10">
        <f t="shared" ca="1" si="319"/>
        <v>0</v>
      </c>
      <c r="P1385" s="29">
        <f t="shared" ca="1" si="320"/>
        <v>0</v>
      </c>
      <c r="Q1385" s="12">
        <f t="shared" ca="1" si="321"/>
        <v>-396400</v>
      </c>
      <c r="R1385" s="10">
        <f t="shared" ca="1" si="322"/>
        <v>0</v>
      </c>
      <c r="S1385" s="10">
        <f t="shared" ca="1" si="312"/>
        <v>-1.6821543251921767</v>
      </c>
      <c r="T1385" s="14">
        <f t="shared" ca="1" si="313"/>
        <v>-0.32491493242621344</v>
      </c>
      <c r="U1385" s="12">
        <f t="shared" ca="1" si="323"/>
        <v>7900</v>
      </c>
      <c r="V1385" s="14">
        <f t="shared" ca="1" si="324"/>
        <v>-5117.7215189873414</v>
      </c>
      <c r="W1385" s="12">
        <f t="shared" ca="1" si="314"/>
        <v>-3420.253164556962</v>
      </c>
      <c r="X1385" s="7">
        <f ca="1">AVERAGE(E1385:OFFSET(F1385,-$X$5+1,0))</f>
        <v>10484.1</v>
      </c>
      <c r="Y1385" s="7">
        <f ca="1">AVERAGE(E1385:OFFSET(F1385,-$Y$5+1,0))</f>
        <v>10420.65</v>
      </c>
      <c r="Z1385" s="7">
        <f t="shared" ca="1" si="316"/>
        <v>0</v>
      </c>
    </row>
    <row r="1386" spans="1:26">
      <c r="A1386" s="3" t="s">
        <v>91</v>
      </c>
      <c r="B1386" s="4">
        <v>43703</v>
      </c>
      <c r="C1386" s="3">
        <v>10335</v>
      </c>
      <c r="D1386" s="3">
        <v>10367</v>
      </c>
      <c r="E1386" s="3">
        <v>10294</v>
      </c>
      <c r="F1386" s="3">
        <v>10307</v>
      </c>
      <c r="G1386" s="3">
        <v>120532</v>
      </c>
      <c r="H1386" s="3">
        <v>1.0449999999999999</v>
      </c>
      <c r="I1386" s="2">
        <f t="shared" si="325"/>
        <v>0</v>
      </c>
      <c r="J1386" s="10">
        <f t="shared" si="327"/>
        <v>-164</v>
      </c>
      <c r="K1386" s="10">
        <f t="shared" si="326"/>
        <v>-28</v>
      </c>
      <c r="L1386" s="10">
        <f t="shared" ca="1" si="315"/>
        <v>0</v>
      </c>
      <c r="M1386" s="10">
        <f t="shared" ca="1" si="317"/>
        <v>0</v>
      </c>
      <c r="N1386" s="30">
        <f t="shared" ca="1" si="318"/>
        <v>0</v>
      </c>
      <c r="O1386" s="10">
        <f t="shared" ca="1" si="319"/>
        <v>0</v>
      </c>
      <c r="P1386" s="29">
        <f t="shared" ca="1" si="320"/>
        <v>0</v>
      </c>
      <c r="Q1386" s="12">
        <f t="shared" ca="1" si="321"/>
        <v>-396400</v>
      </c>
      <c r="R1386" s="10">
        <f t="shared" ca="1" si="322"/>
        <v>0</v>
      </c>
      <c r="S1386" s="10">
        <f t="shared" ca="1" si="312"/>
        <v>-1.6310693782232168</v>
      </c>
      <c r="T1386" s="14">
        <f t="shared" ca="1" si="313"/>
        <v>-0.31882863876138878</v>
      </c>
      <c r="U1386" s="12">
        <f t="shared" ca="1" si="323"/>
        <v>7900</v>
      </c>
      <c r="V1386" s="14">
        <f t="shared" ca="1" si="324"/>
        <v>-5117.7215189873414</v>
      </c>
      <c r="W1386" s="12">
        <f t="shared" ca="1" si="314"/>
        <v>-3422.7848101265822</v>
      </c>
      <c r="X1386" s="7">
        <f ca="1">AVERAGE(E1386:OFFSET(F1386,-$X$5+1,0))</f>
        <v>10453.9</v>
      </c>
      <c r="Y1386" s="7">
        <f ca="1">AVERAGE(E1386:OFFSET(F1386,-$Y$5+1,0))</f>
        <v>10409.65</v>
      </c>
      <c r="Z1386" s="7">
        <f t="shared" ca="1" si="316"/>
        <v>0</v>
      </c>
    </row>
    <row r="1387" spans="1:26">
      <c r="A1387" s="3" t="s">
        <v>91</v>
      </c>
      <c r="B1387" s="4">
        <v>43704</v>
      </c>
      <c r="C1387" s="3">
        <v>10372</v>
      </c>
      <c r="D1387" s="3">
        <v>10390</v>
      </c>
      <c r="E1387" s="3">
        <v>10343</v>
      </c>
      <c r="F1387" s="3">
        <v>10364</v>
      </c>
      <c r="G1387" s="3">
        <v>73290</v>
      </c>
      <c r="H1387" s="3">
        <v>1.0449999999999999</v>
      </c>
      <c r="I1387" s="2">
        <f t="shared" si="325"/>
        <v>0</v>
      </c>
      <c r="J1387" s="10">
        <f t="shared" si="327"/>
        <v>65</v>
      </c>
      <c r="K1387" s="10">
        <f t="shared" si="326"/>
        <v>-8</v>
      </c>
      <c r="L1387" s="10">
        <f t="shared" ca="1" si="315"/>
        <v>0</v>
      </c>
      <c r="M1387" s="10">
        <f t="shared" ca="1" si="317"/>
        <v>0</v>
      </c>
      <c r="N1387" s="30">
        <f t="shared" ca="1" si="318"/>
        <v>0</v>
      </c>
      <c r="O1387" s="10">
        <f t="shared" ca="1" si="319"/>
        <v>0</v>
      </c>
      <c r="P1387" s="29">
        <f t="shared" ca="1" si="320"/>
        <v>0</v>
      </c>
      <c r="Q1387" s="12">
        <f t="shared" ca="1" si="321"/>
        <v>-396400</v>
      </c>
      <c r="R1387" s="10">
        <f t="shared" ca="1" si="322"/>
        <v>0</v>
      </c>
      <c r="S1387" s="10">
        <f t="shared" ca="1" si="312"/>
        <v>-1.6286367617008854</v>
      </c>
      <c r="T1387" s="14">
        <f t="shared" ca="1" si="313"/>
        <v>-0.31853881525354</v>
      </c>
      <c r="U1387" s="12">
        <f t="shared" ca="1" si="323"/>
        <v>7900</v>
      </c>
      <c r="V1387" s="14">
        <f t="shared" ca="1" si="324"/>
        <v>-5117.7215189873414</v>
      </c>
      <c r="W1387" s="12">
        <f t="shared" ca="1" si="314"/>
        <v>-3473.4177215189875</v>
      </c>
      <c r="X1387" s="7">
        <f ca="1">AVERAGE(E1387:OFFSET(F1387,-$X$5+1,0))</f>
        <v>10424.1</v>
      </c>
      <c r="Y1387" s="7">
        <f ca="1">AVERAGE(E1387:OFFSET(F1387,-$Y$5+1,0))</f>
        <v>10411.950000000001</v>
      </c>
      <c r="Z1387" s="7">
        <f t="shared" ca="1" si="316"/>
        <v>0</v>
      </c>
    </row>
    <row r="1388" spans="1:26">
      <c r="A1388" s="3" t="s">
        <v>91</v>
      </c>
      <c r="B1388" s="4">
        <v>43705</v>
      </c>
      <c r="C1388" s="3">
        <v>10390</v>
      </c>
      <c r="D1388" s="3">
        <v>10438</v>
      </c>
      <c r="E1388" s="3">
        <v>10388</v>
      </c>
      <c r="F1388" s="3">
        <v>10413</v>
      </c>
      <c r="G1388" s="3">
        <v>86584</v>
      </c>
      <c r="H1388" s="3">
        <v>1.0449999999999999</v>
      </c>
      <c r="I1388" s="2">
        <f t="shared" si="325"/>
        <v>0</v>
      </c>
      <c r="J1388" s="10">
        <f t="shared" si="327"/>
        <v>26</v>
      </c>
      <c r="K1388" s="10">
        <f t="shared" si="326"/>
        <v>23</v>
      </c>
      <c r="L1388" s="10">
        <f t="shared" ca="1" si="315"/>
        <v>-1</v>
      </c>
      <c r="M1388" s="10">
        <f t="shared" ca="1" si="317"/>
        <v>0</v>
      </c>
      <c r="N1388" s="30">
        <f t="shared" ca="1" si="318"/>
        <v>0</v>
      </c>
      <c r="O1388" s="10">
        <f t="shared" ca="1" si="319"/>
        <v>0</v>
      </c>
      <c r="P1388" s="29">
        <f t="shared" ca="1" si="320"/>
        <v>0</v>
      </c>
      <c r="Q1388" s="12">
        <f t="shared" ca="1" si="321"/>
        <v>-396400</v>
      </c>
      <c r="R1388" s="10">
        <f t="shared" ca="1" si="322"/>
        <v>0</v>
      </c>
      <c r="S1388" s="10">
        <f t="shared" ref="S1388:S1451" ca="1" si="328">100*SUM(P1149:P1388)/SUM(N1149:N1388)</f>
        <v>-1.416999124258052</v>
      </c>
      <c r="T1388" s="14">
        <f t="shared" ca="1" si="313"/>
        <v>-0.293324170070695</v>
      </c>
      <c r="U1388" s="12">
        <f t="shared" ca="1" si="323"/>
        <v>7900</v>
      </c>
      <c r="V1388" s="14">
        <f t="shared" ca="1" si="324"/>
        <v>-5117.7215189873414</v>
      </c>
      <c r="W1388" s="12">
        <f t="shared" ca="1" si="314"/>
        <v>-3473.4177215189875</v>
      </c>
      <c r="X1388" s="7">
        <f ca="1">AVERAGE(E1388:OFFSET(F1388,-$X$5+1,0))</f>
        <v>10400.9</v>
      </c>
      <c r="Y1388" s="7">
        <f ca="1">AVERAGE(E1388:OFFSET(F1388,-$Y$5+1,0))</f>
        <v>10409.75</v>
      </c>
      <c r="Z1388" s="7">
        <f t="shared" ca="1" si="316"/>
        <v>-1</v>
      </c>
    </row>
    <row r="1389" spans="1:26">
      <c r="A1389" s="3" t="s">
        <v>91</v>
      </c>
      <c r="B1389" s="4">
        <v>43706</v>
      </c>
      <c r="C1389" s="3">
        <v>10420</v>
      </c>
      <c r="D1389" s="3">
        <v>10442</v>
      </c>
      <c r="E1389" s="3">
        <v>10376</v>
      </c>
      <c r="F1389" s="3">
        <v>10430</v>
      </c>
      <c r="G1389" s="3">
        <v>84003</v>
      </c>
      <c r="H1389" s="3">
        <v>1.0449999999999999</v>
      </c>
      <c r="I1389" s="2">
        <f t="shared" si="325"/>
        <v>0</v>
      </c>
      <c r="J1389" s="10">
        <f t="shared" si="327"/>
        <v>7</v>
      </c>
      <c r="K1389" s="10">
        <f t="shared" si="326"/>
        <v>10</v>
      </c>
      <c r="L1389" s="10">
        <f t="shared" ca="1" si="315"/>
        <v>0</v>
      </c>
      <c r="M1389" s="10">
        <f t="shared" ca="1" si="317"/>
        <v>-1</v>
      </c>
      <c r="N1389" s="30">
        <f t="shared" ca="1" si="318"/>
        <v>0</v>
      </c>
      <c r="O1389" s="10">
        <f t="shared" ca="1" si="319"/>
        <v>2084000</v>
      </c>
      <c r="P1389" s="29">
        <f t="shared" ca="1" si="320"/>
        <v>-2500</v>
      </c>
      <c r="Q1389" s="12">
        <f t="shared" ca="1" si="321"/>
        <v>-398900</v>
      </c>
      <c r="R1389" s="10">
        <f t="shared" ca="1" si="322"/>
        <v>-0.1199616122840691</v>
      </c>
      <c r="S1389" s="10">
        <f t="shared" ca="1" si="328"/>
        <v>-1.6103921377833998</v>
      </c>
      <c r="T1389" s="14">
        <f t="shared" ref="T1389:T1452" ca="1" si="329">(S1389-AVERAGE(H1120:H1389))/(_xlfn.STDEV.S(R1120:R1389)*SQRT(240))</f>
        <v>-0.31634516864171419</v>
      </c>
      <c r="U1389" s="12">
        <f t="shared" ca="1" si="323"/>
        <v>7900</v>
      </c>
      <c r="V1389" s="14">
        <f t="shared" ca="1" si="324"/>
        <v>-5149.3670886075952</v>
      </c>
      <c r="W1389" s="12">
        <f t="shared" ref="W1389:W1452" ca="1" si="330">MAX(V1150:V1389)</f>
        <v>-3589.8734177215188</v>
      </c>
      <c r="X1389" s="7">
        <f ca="1">AVERAGE(E1389:OFFSET(F1389,-$X$5+1,0))</f>
        <v>10387.4</v>
      </c>
      <c r="Y1389" s="7">
        <f ca="1">AVERAGE(E1389:OFFSET(F1389,-$Y$5+1,0))</f>
        <v>10422.9</v>
      </c>
      <c r="Z1389" s="7">
        <f t="shared" ca="1" si="316"/>
        <v>0</v>
      </c>
    </row>
    <row r="1390" spans="1:26">
      <c r="A1390" s="3" t="s">
        <v>91</v>
      </c>
      <c r="B1390" s="4">
        <v>43707</v>
      </c>
      <c r="C1390" s="3">
        <v>10520</v>
      </c>
      <c r="D1390" s="3">
        <v>10584</v>
      </c>
      <c r="E1390" s="3">
        <v>10517</v>
      </c>
      <c r="F1390" s="3">
        <v>10576</v>
      </c>
      <c r="G1390" s="3">
        <v>79713</v>
      </c>
      <c r="H1390" s="3">
        <v>1.0449999999999999</v>
      </c>
      <c r="I1390" s="2">
        <f t="shared" si="325"/>
        <v>0</v>
      </c>
      <c r="J1390" s="10">
        <f t="shared" si="327"/>
        <v>90</v>
      </c>
      <c r="K1390" s="10">
        <f t="shared" si="326"/>
        <v>56</v>
      </c>
      <c r="L1390" s="10">
        <f t="shared" ca="1" si="315"/>
        <v>0</v>
      </c>
      <c r="M1390" s="10">
        <f t="shared" ca="1" si="317"/>
        <v>-1</v>
      </c>
      <c r="N1390" s="30">
        <f t="shared" ca="1" si="318"/>
        <v>0</v>
      </c>
      <c r="O1390" s="10">
        <f t="shared" ca="1" si="319"/>
        <v>2084000</v>
      </c>
      <c r="P1390" s="29">
        <f t="shared" ca="1" si="320"/>
        <v>-29200</v>
      </c>
      <c r="Q1390" s="12">
        <f t="shared" ca="1" si="321"/>
        <v>-428100</v>
      </c>
      <c r="R1390" s="10">
        <f t="shared" ca="1" si="322"/>
        <v>-1.4011516314779271</v>
      </c>
      <c r="S1390" s="10">
        <f t="shared" ca="1" si="328"/>
        <v>-1.8390580908825533</v>
      </c>
      <c r="T1390" s="14">
        <f t="shared" ca="1" si="329"/>
        <v>-0.33951903838481989</v>
      </c>
      <c r="U1390" s="12">
        <f t="shared" ca="1" si="323"/>
        <v>7900</v>
      </c>
      <c r="V1390" s="14">
        <f t="shared" ca="1" si="324"/>
        <v>-5518.9873417721519</v>
      </c>
      <c r="W1390" s="12">
        <f t="shared" ca="1" si="330"/>
        <v>-3589.8734177215188</v>
      </c>
      <c r="X1390" s="7">
        <f ca="1">AVERAGE(E1390:OFFSET(F1390,-$X$5+1,0))</f>
        <v>10400.799999999999</v>
      </c>
      <c r="Y1390" s="7">
        <f ca="1">AVERAGE(E1390:OFFSET(F1390,-$Y$5+1,0))</f>
        <v>10442.450000000001</v>
      </c>
      <c r="Z1390" s="7">
        <f t="shared" ca="1" si="316"/>
        <v>0</v>
      </c>
    </row>
    <row r="1391" spans="1:26">
      <c r="A1391" s="3" t="s">
        <v>91</v>
      </c>
      <c r="B1391" s="4">
        <v>43710</v>
      </c>
      <c r="C1391" s="3">
        <v>10564</v>
      </c>
      <c r="D1391" s="3">
        <v>10615</v>
      </c>
      <c r="E1391" s="3">
        <v>10556</v>
      </c>
      <c r="F1391" s="3">
        <v>10605</v>
      </c>
      <c r="G1391" s="3">
        <v>60427</v>
      </c>
      <c r="H1391" s="3">
        <v>1.0449999999999999</v>
      </c>
      <c r="I1391" s="2">
        <f t="shared" si="325"/>
        <v>0</v>
      </c>
      <c r="J1391" s="10">
        <f t="shared" si="327"/>
        <v>-12</v>
      </c>
      <c r="K1391" s="10">
        <f t="shared" si="326"/>
        <v>41</v>
      </c>
      <c r="L1391" s="10">
        <f t="shared" ca="1" si="315"/>
        <v>1</v>
      </c>
      <c r="M1391" s="10">
        <f t="shared" ca="1" si="317"/>
        <v>-1</v>
      </c>
      <c r="N1391" s="30">
        <f t="shared" ca="1" si="318"/>
        <v>0</v>
      </c>
      <c r="O1391" s="10">
        <f t="shared" ca="1" si="319"/>
        <v>2084000</v>
      </c>
      <c r="P1391" s="29">
        <f t="shared" ca="1" si="320"/>
        <v>-5800</v>
      </c>
      <c r="Q1391" s="12">
        <f t="shared" ca="1" si="321"/>
        <v>-433900</v>
      </c>
      <c r="R1391" s="10">
        <f t="shared" ca="1" si="322"/>
        <v>-0.27831094049904032</v>
      </c>
      <c r="S1391" s="10">
        <f t="shared" ca="1" si="328"/>
        <v>-1.7904057604359249</v>
      </c>
      <c r="T1391" s="14">
        <f t="shared" ca="1" si="329"/>
        <v>-0.33365976749048076</v>
      </c>
      <c r="U1391" s="12">
        <f t="shared" ca="1" si="323"/>
        <v>7900</v>
      </c>
      <c r="V1391" s="14">
        <f t="shared" ca="1" si="324"/>
        <v>-5592.4050632911394</v>
      </c>
      <c r="W1391" s="12">
        <f t="shared" ca="1" si="330"/>
        <v>-3589.8734177215188</v>
      </c>
      <c r="X1391" s="7">
        <f ca="1">AVERAGE(E1391:OFFSET(F1391,-$X$5+1,0))</f>
        <v>10456.799999999999</v>
      </c>
      <c r="Y1391" s="7">
        <f ca="1">AVERAGE(E1391:OFFSET(F1391,-$Y$5+1,0))</f>
        <v>10455.35</v>
      </c>
      <c r="Z1391" s="7">
        <f t="shared" ca="1" si="316"/>
        <v>1</v>
      </c>
    </row>
    <row r="1392" spans="1:26">
      <c r="A1392" s="3" t="s">
        <v>91</v>
      </c>
      <c r="B1392" s="4">
        <v>43711</v>
      </c>
      <c r="C1392" s="3">
        <v>10599</v>
      </c>
      <c r="D1392" s="3">
        <v>10632</v>
      </c>
      <c r="E1392" s="3">
        <v>10537</v>
      </c>
      <c r="F1392" s="3">
        <v>10543</v>
      </c>
      <c r="G1392" s="3">
        <v>91892</v>
      </c>
      <c r="H1392" s="3">
        <v>1.0449999999999999</v>
      </c>
      <c r="I1392" s="2">
        <f t="shared" si="325"/>
        <v>0</v>
      </c>
      <c r="J1392" s="10">
        <f t="shared" si="327"/>
        <v>-6</v>
      </c>
      <c r="K1392" s="10">
        <f t="shared" si="326"/>
        <v>-56</v>
      </c>
      <c r="L1392" s="10">
        <f t="shared" ca="1" si="315"/>
        <v>0</v>
      </c>
      <c r="M1392" s="10">
        <f t="shared" ca="1" si="317"/>
        <v>0</v>
      </c>
      <c r="N1392" s="30">
        <f t="shared" ca="1" si="318"/>
        <v>0</v>
      </c>
      <c r="O1392" s="10">
        <f t="shared" ca="1" si="319"/>
        <v>0</v>
      </c>
      <c r="P1392" s="29">
        <f t="shared" ca="1" si="320"/>
        <v>700</v>
      </c>
      <c r="Q1392" s="12">
        <f t="shared" ca="1" si="321"/>
        <v>-433200</v>
      </c>
      <c r="R1392" s="10">
        <f t="shared" ca="1" si="322"/>
        <v>3.358925143953935E-2</v>
      </c>
      <c r="S1392" s="10">
        <f t="shared" ca="1" si="328"/>
        <v>-1.6456650773572055</v>
      </c>
      <c r="T1392" s="14">
        <f t="shared" ca="1" si="329"/>
        <v>-0.316621768183597</v>
      </c>
      <c r="U1392" s="12">
        <f t="shared" ca="1" si="323"/>
        <v>7900</v>
      </c>
      <c r="V1392" s="14">
        <f t="shared" ca="1" si="324"/>
        <v>-5583.5443037974683</v>
      </c>
      <c r="W1392" s="12">
        <f t="shared" ca="1" si="330"/>
        <v>-3589.8734177215188</v>
      </c>
      <c r="X1392" s="7">
        <f ca="1">AVERAGE(E1392:OFFSET(F1392,-$X$5+1,0))</f>
        <v>10494.1</v>
      </c>
      <c r="Y1392" s="7">
        <f ca="1">AVERAGE(E1392:OFFSET(F1392,-$Y$5+1,0))</f>
        <v>10459.1</v>
      </c>
      <c r="Z1392" s="7">
        <f t="shared" ca="1" si="316"/>
        <v>0</v>
      </c>
    </row>
    <row r="1393" spans="1:26">
      <c r="A1393" s="3" t="s">
        <v>91</v>
      </c>
      <c r="B1393" s="4">
        <v>43712</v>
      </c>
      <c r="C1393" s="3">
        <v>10563</v>
      </c>
      <c r="D1393" s="3">
        <v>10657</v>
      </c>
      <c r="E1393" s="3">
        <v>10558</v>
      </c>
      <c r="F1393" s="3">
        <v>10644</v>
      </c>
      <c r="G1393" s="3">
        <v>86712</v>
      </c>
      <c r="H1393" s="3">
        <v>1.0449999999999999</v>
      </c>
      <c r="I1393" s="2">
        <f t="shared" si="325"/>
        <v>0</v>
      </c>
      <c r="J1393" s="10">
        <f t="shared" si="327"/>
        <v>20</v>
      </c>
      <c r="K1393" s="10">
        <f t="shared" si="326"/>
        <v>81</v>
      </c>
      <c r="L1393" s="10">
        <f t="shared" ca="1" si="315"/>
        <v>0</v>
      </c>
      <c r="M1393" s="10">
        <f t="shared" ca="1" si="317"/>
        <v>0</v>
      </c>
      <c r="N1393" s="30">
        <f t="shared" ca="1" si="318"/>
        <v>0</v>
      </c>
      <c r="O1393" s="10">
        <f t="shared" ca="1" si="319"/>
        <v>0</v>
      </c>
      <c r="P1393" s="29">
        <f t="shared" ca="1" si="320"/>
        <v>0</v>
      </c>
      <c r="Q1393" s="12">
        <f t="shared" ca="1" si="321"/>
        <v>-433200</v>
      </c>
      <c r="R1393" s="10">
        <f t="shared" ca="1" si="322"/>
        <v>0</v>
      </c>
      <c r="S1393" s="10">
        <f t="shared" ca="1" si="328"/>
        <v>-1.6882358664980053</v>
      </c>
      <c r="T1393" s="14">
        <f t="shared" ca="1" si="329"/>
        <v>-0.32163125027936573</v>
      </c>
      <c r="U1393" s="12">
        <f t="shared" ca="1" si="323"/>
        <v>7900</v>
      </c>
      <c r="V1393" s="14">
        <f t="shared" ca="1" si="324"/>
        <v>-5583.5443037974683</v>
      </c>
      <c r="W1393" s="12">
        <f t="shared" ca="1" si="330"/>
        <v>-3589.8734177215188</v>
      </c>
      <c r="X1393" s="7">
        <f ca="1">AVERAGE(E1393:OFFSET(F1393,-$X$5+1,0))</f>
        <v>10534.2</v>
      </c>
      <c r="Y1393" s="7">
        <f ca="1">AVERAGE(E1393:OFFSET(F1393,-$Y$5+1,0))</f>
        <v>10467.549999999999</v>
      </c>
      <c r="Z1393" s="7">
        <f t="shared" ca="1" si="316"/>
        <v>0</v>
      </c>
    </row>
    <row r="1394" spans="1:26">
      <c r="A1394" s="3" t="s">
        <v>91</v>
      </c>
      <c r="B1394" s="4">
        <v>43713</v>
      </c>
      <c r="C1394" s="3">
        <v>10719</v>
      </c>
      <c r="D1394" s="3">
        <v>10762</v>
      </c>
      <c r="E1394" s="3">
        <v>10703</v>
      </c>
      <c r="F1394" s="3">
        <v>10735</v>
      </c>
      <c r="G1394" s="3">
        <v>91108</v>
      </c>
      <c r="H1394" s="3">
        <v>1.0449999999999999</v>
      </c>
      <c r="I1394" s="2">
        <f t="shared" si="325"/>
        <v>0</v>
      </c>
      <c r="J1394" s="10">
        <f t="shared" si="327"/>
        <v>75</v>
      </c>
      <c r="K1394" s="10">
        <f t="shared" si="326"/>
        <v>16</v>
      </c>
      <c r="L1394" s="10">
        <f t="shared" ca="1" si="315"/>
        <v>0</v>
      </c>
      <c r="M1394" s="10">
        <f t="shared" ca="1" si="317"/>
        <v>0</v>
      </c>
      <c r="N1394" s="30">
        <f t="shared" ca="1" si="318"/>
        <v>0</v>
      </c>
      <c r="O1394" s="10">
        <f t="shared" ca="1" si="319"/>
        <v>0</v>
      </c>
      <c r="P1394" s="29">
        <f t="shared" ca="1" si="320"/>
        <v>0</v>
      </c>
      <c r="Q1394" s="12">
        <f t="shared" ca="1" si="321"/>
        <v>-433200</v>
      </c>
      <c r="R1394" s="10">
        <f t="shared" ca="1" si="322"/>
        <v>0</v>
      </c>
      <c r="S1394" s="10">
        <f t="shared" ca="1" si="328"/>
        <v>-1.6882358664980053</v>
      </c>
      <c r="T1394" s="14">
        <f t="shared" ca="1" si="329"/>
        <v>-0.32163125027936573</v>
      </c>
      <c r="U1394" s="12">
        <f t="shared" ca="1" si="323"/>
        <v>7900</v>
      </c>
      <c r="V1394" s="14">
        <f t="shared" ca="1" si="324"/>
        <v>-5583.5443037974683</v>
      </c>
      <c r="W1394" s="12">
        <f t="shared" ca="1" si="330"/>
        <v>-3589.8734177215188</v>
      </c>
      <c r="X1394" s="7">
        <f ca="1">AVERAGE(E1394:OFFSET(F1394,-$X$5+1,0))</f>
        <v>10597.4</v>
      </c>
      <c r="Y1394" s="7">
        <f ca="1">AVERAGE(E1394:OFFSET(F1394,-$Y$5+1,0))</f>
        <v>10492.4</v>
      </c>
      <c r="Z1394" s="7">
        <f t="shared" ca="1" si="316"/>
        <v>0</v>
      </c>
    </row>
    <row r="1395" spans="1:26">
      <c r="A1395" s="3" t="s">
        <v>91</v>
      </c>
      <c r="B1395" s="4">
        <v>43714</v>
      </c>
      <c r="C1395" s="3">
        <v>10776</v>
      </c>
      <c r="D1395" s="3">
        <v>10783</v>
      </c>
      <c r="E1395" s="3">
        <v>10741</v>
      </c>
      <c r="F1395" s="3">
        <v>10768</v>
      </c>
      <c r="G1395" s="3">
        <v>68005</v>
      </c>
      <c r="H1395" s="3">
        <v>1.0449999999999999</v>
      </c>
      <c r="I1395" s="2">
        <f t="shared" si="325"/>
        <v>0</v>
      </c>
      <c r="J1395" s="10">
        <f t="shared" si="327"/>
        <v>41</v>
      </c>
      <c r="K1395" s="10">
        <f t="shared" si="326"/>
        <v>-8</v>
      </c>
      <c r="L1395" s="10">
        <f t="shared" ca="1" si="315"/>
        <v>0</v>
      </c>
      <c r="M1395" s="10">
        <f t="shared" ca="1" si="317"/>
        <v>0</v>
      </c>
      <c r="N1395" s="30">
        <f t="shared" ca="1" si="318"/>
        <v>0</v>
      </c>
      <c r="O1395" s="10">
        <f t="shared" ca="1" si="319"/>
        <v>0</v>
      </c>
      <c r="P1395" s="29">
        <f t="shared" ca="1" si="320"/>
        <v>0</v>
      </c>
      <c r="Q1395" s="12">
        <f t="shared" ca="1" si="321"/>
        <v>-433200</v>
      </c>
      <c r="R1395" s="10">
        <f t="shared" ca="1" si="322"/>
        <v>0</v>
      </c>
      <c r="S1395" s="10">
        <f t="shared" ca="1" si="328"/>
        <v>-1.6882358664980053</v>
      </c>
      <c r="T1395" s="14">
        <f t="shared" ca="1" si="329"/>
        <v>-0.32163125027936573</v>
      </c>
      <c r="U1395" s="12">
        <f t="shared" ca="1" si="323"/>
        <v>7900</v>
      </c>
      <c r="V1395" s="14">
        <f t="shared" ca="1" si="324"/>
        <v>-5583.5443037974683</v>
      </c>
      <c r="W1395" s="12">
        <f t="shared" ca="1" si="330"/>
        <v>-3589.8734177215188</v>
      </c>
      <c r="X1395" s="7">
        <f ca="1">AVERAGE(E1395:OFFSET(F1395,-$X$5+1,0))</f>
        <v>10639</v>
      </c>
      <c r="Y1395" s="7">
        <f ca="1">AVERAGE(E1395:OFFSET(F1395,-$Y$5+1,0))</f>
        <v>10519.9</v>
      </c>
      <c r="Z1395" s="7">
        <f t="shared" ca="1" si="316"/>
        <v>0</v>
      </c>
    </row>
    <row r="1396" spans="1:26">
      <c r="A1396" s="3" t="s">
        <v>91</v>
      </c>
      <c r="B1396" s="4">
        <v>43717</v>
      </c>
      <c r="C1396" s="3">
        <v>10802</v>
      </c>
      <c r="D1396" s="3">
        <v>10827</v>
      </c>
      <c r="E1396" s="3">
        <v>10773</v>
      </c>
      <c r="F1396" s="3">
        <v>10792</v>
      </c>
      <c r="G1396" s="3">
        <v>68953</v>
      </c>
      <c r="H1396" s="3">
        <v>1.0449999999999999</v>
      </c>
      <c r="I1396" s="2">
        <f t="shared" si="325"/>
        <v>0</v>
      </c>
      <c r="J1396" s="10">
        <f t="shared" si="327"/>
        <v>34</v>
      </c>
      <c r="K1396" s="10">
        <f t="shared" si="326"/>
        <v>-10</v>
      </c>
      <c r="L1396" s="10">
        <f t="shared" ca="1" si="315"/>
        <v>0</v>
      </c>
      <c r="M1396" s="10">
        <f t="shared" ca="1" si="317"/>
        <v>0</v>
      </c>
      <c r="N1396" s="30">
        <f t="shared" ca="1" si="318"/>
        <v>0</v>
      </c>
      <c r="O1396" s="10">
        <f t="shared" ca="1" si="319"/>
        <v>0</v>
      </c>
      <c r="P1396" s="29">
        <f t="shared" ca="1" si="320"/>
        <v>0</v>
      </c>
      <c r="Q1396" s="12">
        <f t="shared" ca="1" si="321"/>
        <v>-433200</v>
      </c>
      <c r="R1396" s="10">
        <f t="shared" ca="1" si="322"/>
        <v>0</v>
      </c>
      <c r="S1396" s="10">
        <f t="shared" ca="1" si="328"/>
        <v>-1.6882358664980053</v>
      </c>
      <c r="T1396" s="14">
        <f t="shared" ca="1" si="329"/>
        <v>-0.32163125027936573</v>
      </c>
      <c r="U1396" s="12">
        <f t="shared" ca="1" si="323"/>
        <v>7900</v>
      </c>
      <c r="V1396" s="14">
        <f t="shared" ca="1" si="324"/>
        <v>-5583.5443037974683</v>
      </c>
      <c r="W1396" s="12">
        <f t="shared" ca="1" si="330"/>
        <v>-3589.8734177215188</v>
      </c>
      <c r="X1396" s="7">
        <f ca="1">AVERAGE(E1396:OFFSET(F1396,-$X$5+1,0))</f>
        <v>10679.4</v>
      </c>
      <c r="Y1396" s="7">
        <f ca="1">AVERAGE(E1396:OFFSET(F1396,-$Y$5+1,0))</f>
        <v>10568.1</v>
      </c>
      <c r="Z1396" s="7">
        <f t="shared" ca="1" si="316"/>
        <v>0</v>
      </c>
    </row>
    <row r="1397" spans="1:26">
      <c r="A1397" s="3" t="s">
        <v>91</v>
      </c>
      <c r="B1397" s="4">
        <v>43718</v>
      </c>
      <c r="C1397" s="3">
        <v>10801</v>
      </c>
      <c r="D1397" s="3">
        <v>10814</v>
      </c>
      <c r="E1397" s="3">
        <v>10731</v>
      </c>
      <c r="F1397" s="3">
        <v>10743</v>
      </c>
      <c r="G1397" s="3">
        <v>76441</v>
      </c>
      <c r="H1397" s="3">
        <v>1.0449999999999999</v>
      </c>
      <c r="I1397" s="2">
        <f t="shared" si="325"/>
        <v>0</v>
      </c>
      <c r="J1397" s="10">
        <f t="shared" si="327"/>
        <v>9</v>
      </c>
      <c r="K1397" s="10">
        <f t="shared" si="326"/>
        <v>-58</v>
      </c>
      <c r="L1397" s="10">
        <f t="shared" ca="1" si="315"/>
        <v>0</v>
      </c>
      <c r="M1397" s="10">
        <f t="shared" ca="1" si="317"/>
        <v>0</v>
      </c>
      <c r="N1397" s="30">
        <f t="shared" ca="1" si="318"/>
        <v>0</v>
      </c>
      <c r="O1397" s="10">
        <f t="shared" ca="1" si="319"/>
        <v>0</v>
      </c>
      <c r="P1397" s="29">
        <f t="shared" ca="1" si="320"/>
        <v>0</v>
      </c>
      <c r="Q1397" s="12">
        <f t="shared" ca="1" si="321"/>
        <v>-433200</v>
      </c>
      <c r="R1397" s="10">
        <f t="shared" ca="1" si="322"/>
        <v>0</v>
      </c>
      <c r="S1397" s="10">
        <f t="shared" ca="1" si="328"/>
        <v>-1.6882358664980053</v>
      </c>
      <c r="T1397" s="14">
        <f t="shared" ca="1" si="329"/>
        <v>-0.32163125027936573</v>
      </c>
      <c r="U1397" s="12">
        <f t="shared" ca="1" si="323"/>
        <v>7900</v>
      </c>
      <c r="V1397" s="14">
        <f t="shared" ca="1" si="324"/>
        <v>-5583.5443037974683</v>
      </c>
      <c r="W1397" s="12">
        <f t="shared" ca="1" si="330"/>
        <v>-3589.8734177215188</v>
      </c>
      <c r="X1397" s="7">
        <f ca="1">AVERAGE(E1397:OFFSET(F1397,-$X$5+1,0))</f>
        <v>10718.8</v>
      </c>
      <c r="Y1397" s="7">
        <f ca="1">AVERAGE(E1397:OFFSET(F1397,-$Y$5+1,0))</f>
        <v>10606.45</v>
      </c>
      <c r="Z1397" s="7">
        <f t="shared" ca="1" si="316"/>
        <v>0</v>
      </c>
    </row>
    <row r="1398" spans="1:26">
      <c r="A1398" s="3" t="s">
        <v>91</v>
      </c>
      <c r="B1398" s="4">
        <v>43719</v>
      </c>
      <c r="C1398" s="3">
        <v>10795</v>
      </c>
      <c r="D1398" s="3">
        <v>10808</v>
      </c>
      <c r="E1398" s="3">
        <v>10751</v>
      </c>
      <c r="F1398" s="3">
        <v>10773</v>
      </c>
      <c r="G1398" s="3">
        <v>89245</v>
      </c>
      <c r="H1398" s="3">
        <v>1.0449999999999999</v>
      </c>
      <c r="I1398" s="2">
        <f t="shared" si="325"/>
        <v>0</v>
      </c>
      <c r="J1398" s="10">
        <f t="shared" si="327"/>
        <v>52</v>
      </c>
      <c r="K1398" s="10">
        <f t="shared" si="326"/>
        <v>-22</v>
      </c>
      <c r="L1398" s="10">
        <f t="shared" ca="1" si="315"/>
        <v>0</v>
      </c>
      <c r="M1398" s="10">
        <f t="shared" ca="1" si="317"/>
        <v>0</v>
      </c>
      <c r="N1398" s="30">
        <f t="shared" ca="1" si="318"/>
        <v>0</v>
      </c>
      <c r="O1398" s="10">
        <f t="shared" ca="1" si="319"/>
        <v>0</v>
      </c>
      <c r="P1398" s="29">
        <f t="shared" ca="1" si="320"/>
        <v>0</v>
      </c>
      <c r="Q1398" s="12">
        <f t="shared" ca="1" si="321"/>
        <v>-433200</v>
      </c>
      <c r="R1398" s="10">
        <f t="shared" ca="1" si="322"/>
        <v>0</v>
      </c>
      <c r="S1398" s="10">
        <f t="shared" ca="1" si="328"/>
        <v>-1.6882358664980053</v>
      </c>
      <c r="T1398" s="14">
        <f t="shared" ca="1" si="329"/>
        <v>-0.32163125027936573</v>
      </c>
      <c r="U1398" s="12">
        <f t="shared" ca="1" si="323"/>
        <v>7900</v>
      </c>
      <c r="V1398" s="14">
        <f t="shared" ca="1" si="324"/>
        <v>-5583.5443037974683</v>
      </c>
      <c r="W1398" s="12">
        <f t="shared" ca="1" si="330"/>
        <v>-3589.8734177215188</v>
      </c>
      <c r="X1398" s="7">
        <f ca="1">AVERAGE(E1398:OFFSET(F1398,-$X$5+1,0))</f>
        <v>10751</v>
      </c>
      <c r="Y1398" s="7">
        <f ca="1">AVERAGE(E1398:OFFSET(F1398,-$Y$5+1,0))</f>
        <v>10642.6</v>
      </c>
      <c r="Z1398" s="7">
        <f t="shared" ca="1" si="316"/>
        <v>0</v>
      </c>
    </row>
    <row r="1399" spans="1:26">
      <c r="A1399" s="3" t="s">
        <v>91</v>
      </c>
      <c r="B1399" s="4">
        <v>43720</v>
      </c>
      <c r="C1399" s="3">
        <v>10842</v>
      </c>
      <c r="D1399" s="3">
        <v>10870</v>
      </c>
      <c r="E1399" s="3">
        <v>10801</v>
      </c>
      <c r="F1399" s="3">
        <v>10824</v>
      </c>
      <c r="G1399" s="3">
        <v>101288</v>
      </c>
      <c r="H1399" s="3">
        <v>1.0449999999999999</v>
      </c>
      <c r="I1399" s="2">
        <f t="shared" si="325"/>
        <v>0</v>
      </c>
      <c r="J1399" s="10">
        <f t="shared" si="327"/>
        <v>69</v>
      </c>
      <c r="K1399" s="10">
        <f t="shared" si="326"/>
        <v>-18</v>
      </c>
      <c r="L1399" s="10">
        <f t="shared" ca="1" si="315"/>
        <v>0</v>
      </c>
      <c r="M1399" s="10">
        <f t="shared" ca="1" si="317"/>
        <v>0</v>
      </c>
      <c r="N1399" s="30">
        <f t="shared" ca="1" si="318"/>
        <v>0</v>
      </c>
      <c r="O1399" s="10">
        <f t="shared" ca="1" si="319"/>
        <v>0</v>
      </c>
      <c r="P1399" s="29">
        <f t="shared" ca="1" si="320"/>
        <v>0</v>
      </c>
      <c r="Q1399" s="12">
        <f t="shared" ca="1" si="321"/>
        <v>-433200</v>
      </c>
      <c r="R1399" s="10">
        <f t="shared" ca="1" si="322"/>
        <v>0</v>
      </c>
      <c r="S1399" s="10">
        <f t="shared" ca="1" si="328"/>
        <v>-1.6882358664980053</v>
      </c>
      <c r="T1399" s="14">
        <f t="shared" ca="1" si="329"/>
        <v>-0.32163125027936573</v>
      </c>
      <c r="U1399" s="12">
        <f t="shared" ca="1" si="323"/>
        <v>7900</v>
      </c>
      <c r="V1399" s="14">
        <f t="shared" ca="1" si="324"/>
        <v>-5583.5443037974683</v>
      </c>
      <c r="W1399" s="12">
        <f t="shared" ca="1" si="330"/>
        <v>-3589.8734177215188</v>
      </c>
      <c r="X1399" s="7">
        <f ca="1">AVERAGE(E1399:OFFSET(F1399,-$X$5+1,0))</f>
        <v>10769.7</v>
      </c>
      <c r="Y1399" s="7">
        <f ca="1">AVERAGE(E1399:OFFSET(F1399,-$Y$5+1,0))</f>
        <v>10683.55</v>
      </c>
      <c r="Z1399" s="7">
        <f t="shared" ca="1" si="316"/>
        <v>0</v>
      </c>
    </row>
    <row r="1400" spans="1:26">
      <c r="A1400" s="3" t="s">
        <v>91</v>
      </c>
      <c r="B1400" s="4">
        <v>43724</v>
      </c>
      <c r="C1400" s="3">
        <v>10802</v>
      </c>
      <c r="D1400" s="3">
        <v>10885</v>
      </c>
      <c r="E1400" s="3">
        <v>10802</v>
      </c>
      <c r="F1400" s="3">
        <v>10881</v>
      </c>
      <c r="G1400" s="3">
        <v>107760</v>
      </c>
      <c r="H1400" s="3">
        <v>1.0449999999999999</v>
      </c>
      <c r="I1400" s="2">
        <f t="shared" si="325"/>
        <v>0</v>
      </c>
      <c r="J1400" s="10">
        <f t="shared" si="327"/>
        <v>-22</v>
      </c>
      <c r="K1400" s="10">
        <f t="shared" si="326"/>
        <v>79</v>
      </c>
      <c r="L1400" s="10">
        <f t="shared" ca="1" si="315"/>
        <v>0</v>
      </c>
      <c r="M1400" s="10">
        <f t="shared" ca="1" si="317"/>
        <v>0</v>
      </c>
      <c r="N1400" s="30">
        <f t="shared" ca="1" si="318"/>
        <v>0</v>
      </c>
      <c r="O1400" s="10">
        <f t="shared" ca="1" si="319"/>
        <v>0</v>
      </c>
      <c r="P1400" s="29">
        <f t="shared" ca="1" si="320"/>
        <v>0</v>
      </c>
      <c r="Q1400" s="12">
        <f t="shared" ca="1" si="321"/>
        <v>-433200</v>
      </c>
      <c r="R1400" s="10">
        <f t="shared" ca="1" si="322"/>
        <v>0</v>
      </c>
      <c r="S1400" s="10">
        <f t="shared" ca="1" si="328"/>
        <v>-1.6882358664980053</v>
      </c>
      <c r="T1400" s="14">
        <f t="shared" ca="1" si="329"/>
        <v>-0.32163125027936573</v>
      </c>
      <c r="U1400" s="12">
        <f t="shared" ca="1" si="323"/>
        <v>7900</v>
      </c>
      <c r="V1400" s="14">
        <f t="shared" ca="1" si="324"/>
        <v>-5583.5443037974683</v>
      </c>
      <c r="W1400" s="12">
        <f t="shared" ca="1" si="330"/>
        <v>-3589.8734177215188</v>
      </c>
      <c r="X1400" s="7">
        <f ca="1">AVERAGE(E1400:OFFSET(F1400,-$X$5+1,0))</f>
        <v>10787.1</v>
      </c>
      <c r="Y1400" s="7">
        <f ca="1">AVERAGE(E1400:OFFSET(F1400,-$Y$5+1,0))</f>
        <v>10713.05</v>
      </c>
      <c r="Z1400" s="7">
        <f t="shared" ca="1" si="316"/>
        <v>0</v>
      </c>
    </row>
    <row r="1401" spans="1:26">
      <c r="A1401" s="3" t="s">
        <v>91</v>
      </c>
      <c r="B1401" s="4">
        <v>43725</v>
      </c>
      <c r="C1401" s="3">
        <v>10907</v>
      </c>
      <c r="D1401" s="3">
        <v>10910</v>
      </c>
      <c r="E1401" s="3">
        <v>10858</v>
      </c>
      <c r="F1401" s="3">
        <v>10863</v>
      </c>
      <c r="G1401" s="3">
        <v>86095</v>
      </c>
      <c r="H1401" s="3">
        <v>1.0449999999999999</v>
      </c>
      <c r="I1401" s="2">
        <f t="shared" si="325"/>
        <v>0</v>
      </c>
      <c r="J1401" s="10">
        <f t="shared" si="327"/>
        <v>26</v>
      </c>
      <c r="K1401" s="10">
        <f t="shared" si="326"/>
        <v>-44</v>
      </c>
      <c r="L1401" s="10">
        <f t="shared" ca="1" si="315"/>
        <v>0</v>
      </c>
      <c r="M1401" s="10">
        <f t="shared" ca="1" si="317"/>
        <v>0</v>
      </c>
      <c r="N1401" s="30">
        <f t="shared" ca="1" si="318"/>
        <v>0</v>
      </c>
      <c r="O1401" s="10">
        <f t="shared" ca="1" si="319"/>
        <v>0</v>
      </c>
      <c r="P1401" s="29">
        <f t="shared" ca="1" si="320"/>
        <v>0</v>
      </c>
      <c r="Q1401" s="12">
        <f t="shared" ca="1" si="321"/>
        <v>-433200</v>
      </c>
      <c r="R1401" s="10">
        <f t="shared" ca="1" si="322"/>
        <v>0</v>
      </c>
      <c r="S1401" s="10">
        <f t="shared" ca="1" si="328"/>
        <v>-2.0845751374263197</v>
      </c>
      <c r="T1401" s="14">
        <f t="shared" ca="1" si="329"/>
        <v>-0.36830670140064903</v>
      </c>
      <c r="U1401" s="12">
        <f t="shared" ca="1" si="323"/>
        <v>7900</v>
      </c>
      <c r="V1401" s="14">
        <f t="shared" ca="1" si="324"/>
        <v>-5583.5443037974683</v>
      </c>
      <c r="W1401" s="12">
        <f t="shared" ca="1" si="330"/>
        <v>-3589.8734177215188</v>
      </c>
      <c r="X1401" s="7">
        <f ca="1">AVERAGE(E1401:OFFSET(F1401,-$X$5+1,0))</f>
        <v>10802.7</v>
      </c>
      <c r="Y1401" s="7">
        <f ca="1">AVERAGE(E1401:OFFSET(F1401,-$Y$5+1,0))</f>
        <v>10741.05</v>
      </c>
      <c r="Z1401" s="7">
        <f t="shared" ca="1" si="316"/>
        <v>0</v>
      </c>
    </row>
    <row r="1402" spans="1:26">
      <c r="A1402" s="3" t="s">
        <v>91</v>
      </c>
      <c r="B1402" s="4">
        <v>43726</v>
      </c>
      <c r="C1402" s="3">
        <v>10912</v>
      </c>
      <c r="D1402" s="3">
        <v>10963</v>
      </c>
      <c r="E1402" s="3">
        <v>10884</v>
      </c>
      <c r="F1402" s="3">
        <v>10959</v>
      </c>
      <c r="G1402" s="3">
        <v>59301</v>
      </c>
      <c r="H1402" s="3">
        <v>1.0449999999999999</v>
      </c>
      <c r="I1402" s="2">
        <f t="shared" si="325"/>
        <v>1</v>
      </c>
      <c r="J1402" s="10">
        <f t="shared" si="327"/>
        <v>49</v>
      </c>
      <c r="K1402" s="10">
        <f t="shared" si="326"/>
        <v>47</v>
      </c>
      <c r="L1402" s="10">
        <f t="shared" ca="1" si="315"/>
        <v>0</v>
      </c>
      <c r="M1402" s="10">
        <f t="shared" si="317"/>
        <v>0</v>
      </c>
      <c r="N1402" s="30">
        <f t="shared" si="318"/>
        <v>0</v>
      </c>
      <c r="O1402" s="10">
        <f t="shared" si="319"/>
        <v>0</v>
      </c>
      <c r="P1402" s="29">
        <f t="shared" ca="1" si="320"/>
        <v>0</v>
      </c>
      <c r="Q1402" s="12">
        <f t="shared" ca="1" si="321"/>
        <v>-433200</v>
      </c>
      <c r="R1402" s="10">
        <f t="shared" ca="1" si="322"/>
        <v>0</v>
      </c>
      <c r="S1402" s="10">
        <f t="shared" ca="1" si="328"/>
        <v>-2.5018213126697133</v>
      </c>
      <c r="T1402" s="14">
        <f t="shared" ca="1" si="329"/>
        <v>-0.41788501535347927</v>
      </c>
      <c r="U1402" s="12">
        <f t="shared" ca="1" si="323"/>
        <v>7900</v>
      </c>
      <c r="V1402" s="14">
        <f t="shared" ca="1" si="324"/>
        <v>-5583.5443037974683</v>
      </c>
      <c r="W1402" s="12">
        <f t="shared" ca="1" si="330"/>
        <v>-3589.8734177215188</v>
      </c>
      <c r="X1402" s="7">
        <f ca="1">AVERAGE(E1402:OFFSET(F1402,-$X$5+1,0))</f>
        <v>10839.6</v>
      </c>
      <c r="Y1402" s="7">
        <f ca="1">AVERAGE(E1402:OFFSET(F1402,-$Y$5+1,0))</f>
        <v>10779.2</v>
      </c>
      <c r="Z1402" s="7">
        <f t="shared" ca="1" si="316"/>
        <v>0</v>
      </c>
    </row>
    <row r="1403" spans="1:26">
      <c r="A1403" s="3" t="s">
        <v>92</v>
      </c>
      <c r="B1403" s="4">
        <v>43727</v>
      </c>
      <c r="C1403" s="3">
        <v>10915</v>
      </c>
      <c r="D1403" s="3">
        <v>10936</v>
      </c>
      <c r="E1403" s="3">
        <v>10851</v>
      </c>
      <c r="F1403" s="3">
        <v>10870</v>
      </c>
      <c r="G1403" s="3">
        <v>91304</v>
      </c>
      <c r="H1403" s="3">
        <v>1.0449999999999999</v>
      </c>
      <c r="I1403" s="2">
        <f t="shared" si="325"/>
        <v>0</v>
      </c>
      <c r="J1403" s="10">
        <f t="shared" si="327"/>
        <v>-44</v>
      </c>
      <c r="K1403" s="10">
        <f t="shared" si="326"/>
        <v>-45</v>
      </c>
      <c r="L1403" s="10">
        <f t="shared" ca="1" si="315"/>
        <v>0</v>
      </c>
      <c r="M1403" s="10">
        <f t="shared" ca="1" si="317"/>
        <v>0</v>
      </c>
      <c r="N1403" s="30">
        <f t="shared" ca="1" si="318"/>
        <v>0</v>
      </c>
      <c r="O1403" s="10">
        <f t="shared" ca="1" si="319"/>
        <v>0</v>
      </c>
      <c r="P1403" s="29">
        <f t="shared" ca="1" si="320"/>
        <v>0</v>
      </c>
      <c r="Q1403" s="12">
        <f t="shared" ca="1" si="321"/>
        <v>-433200</v>
      </c>
      <c r="R1403" s="10">
        <f t="shared" ca="1" si="322"/>
        <v>0</v>
      </c>
      <c r="S1403" s="10">
        <f t="shared" ca="1" si="328"/>
        <v>-2.5250016557387904</v>
      </c>
      <c r="T1403" s="14">
        <f t="shared" ca="1" si="329"/>
        <v>-0.42061611375550989</v>
      </c>
      <c r="U1403" s="12">
        <f t="shared" ca="1" si="323"/>
        <v>7900</v>
      </c>
      <c r="V1403" s="14">
        <f t="shared" ca="1" si="324"/>
        <v>-5583.5443037974683</v>
      </c>
      <c r="W1403" s="12">
        <f t="shared" ca="1" si="330"/>
        <v>-3589.8734177215188</v>
      </c>
      <c r="X1403" s="7">
        <f ca="1">AVERAGE(E1403:OFFSET(F1403,-$X$5+1,0))</f>
        <v>10859.3</v>
      </c>
      <c r="Y1403" s="7">
        <f ca="1">AVERAGE(E1403:OFFSET(F1403,-$Y$5+1,0))</f>
        <v>10805.15</v>
      </c>
      <c r="Z1403" s="7">
        <f t="shared" ca="1" si="316"/>
        <v>0</v>
      </c>
    </row>
    <row r="1404" spans="1:26">
      <c r="A1404" s="3" t="s">
        <v>92</v>
      </c>
      <c r="B1404" s="4">
        <v>43728</v>
      </c>
      <c r="C1404" s="3">
        <v>10901</v>
      </c>
      <c r="D1404" s="3">
        <v>10912</v>
      </c>
      <c r="E1404" s="3">
        <v>10884</v>
      </c>
      <c r="F1404" s="3">
        <v>10901</v>
      </c>
      <c r="G1404" s="3">
        <v>60402</v>
      </c>
      <c r="H1404" s="3">
        <v>1.0449999999999999</v>
      </c>
      <c r="I1404" s="2">
        <f t="shared" si="325"/>
        <v>0</v>
      </c>
      <c r="J1404" s="10">
        <f t="shared" si="327"/>
        <v>31</v>
      </c>
      <c r="K1404" s="10">
        <f t="shared" si="326"/>
        <v>0</v>
      </c>
      <c r="L1404" s="10">
        <f t="shared" ca="1" si="315"/>
        <v>0</v>
      </c>
      <c r="M1404" s="10">
        <f t="shared" ca="1" si="317"/>
        <v>0</v>
      </c>
      <c r="N1404" s="30">
        <f t="shared" ca="1" si="318"/>
        <v>0</v>
      </c>
      <c r="O1404" s="10">
        <f t="shared" ca="1" si="319"/>
        <v>0</v>
      </c>
      <c r="P1404" s="29">
        <f t="shared" ca="1" si="320"/>
        <v>0</v>
      </c>
      <c r="Q1404" s="12">
        <f t="shared" ca="1" si="321"/>
        <v>-433200</v>
      </c>
      <c r="R1404" s="10">
        <f t="shared" ca="1" si="322"/>
        <v>0</v>
      </c>
      <c r="S1404" s="10">
        <f t="shared" ca="1" si="328"/>
        <v>-2.4951983575071197</v>
      </c>
      <c r="T1404" s="14">
        <f t="shared" ca="1" si="329"/>
        <v>-0.41728557872407313</v>
      </c>
      <c r="U1404" s="12">
        <f t="shared" ca="1" si="323"/>
        <v>7900</v>
      </c>
      <c r="V1404" s="14">
        <f t="shared" ca="1" si="324"/>
        <v>-5583.5443037974683</v>
      </c>
      <c r="W1404" s="12">
        <f t="shared" ca="1" si="330"/>
        <v>-3589.8734177215188</v>
      </c>
      <c r="X1404" s="7">
        <f ca="1">AVERAGE(E1404:OFFSET(F1404,-$X$5+1,0))</f>
        <v>10875.3</v>
      </c>
      <c r="Y1404" s="7">
        <f ca="1">AVERAGE(E1404:OFFSET(F1404,-$Y$5+1,0))</f>
        <v>10822.5</v>
      </c>
      <c r="Z1404" s="7">
        <f t="shared" ca="1" si="316"/>
        <v>0</v>
      </c>
    </row>
    <row r="1405" spans="1:26">
      <c r="A1405" s="3" t="s">
        <v>92</v>
      </c>
      <c r="B1405" s="4">
        <v>43731</v>
      </c>
      <c r="C1405" s="3">
        <v>10894</v>
      </c>
      <c r="D1405" s="3">
        <v>10929</v>
      </c>
      <c r="E1405" s="3">
        <v>10872</v>
      </c>
      <c r="F1405" s="3">
        <v>10894</v>
      </c>
      <c r="G1405" s="3">
        <v>75227</v>
      </c>
      <c r="H1405" s="3">
        <v>1.0449999999999999</v>
      </c>
      <c r="I1405" s="2">
        <f t="shared" si="325"/>
        <v>0</v>
      </c>
      <c r="J1405" s="10">
        <f t="shared" si="327"/>
        <v>-7</v>
      </c>
      <c r="K1405" s="10">
        <f t="shared" si="326"/>
        <v>0</v>
      </c>
      <c r="L1405" s="10">
        <f t="shared" ref="L1405:L1468" ca="1" si="331">Z1405</f>
        <v>0</v>
      </c>
      <c r="M1405" s="10">
        <f t="shared" ca="1" si="317"/>
        <v>0</v>
      </c>
      <c r="N1405" s="30">
        <f t="shared" ca="1" si="318"/>
        <v>0</v>
      </c>
      <c r="O1405" s="10">
        <f t="shared" ca="1" si="319"/>
        <v>0</v>
      </c>
      <c r="P1405" s="29">
        <f t="shared" ca="1" si="320"/>
        <v>0</v>
      </c>
      <c r="Q1405" s="12">
        <f t="shared" ca="1" si="321"/>
        <v>-433200</v>
      </c>
      <c r="R1405" s="10">
        <f t="shared" ca="1" si="322"/>
        <v>0</v>
      </c>
      <c r="S1405" s="10">
        <f t="shared" ca="1" si="328"/>
        <v>-2.5283131333200872</v>
      </c>
      <c r="T1405" s="14">
        <f t="shared" ca="1" si="329"/>
        <v>-0.42123612925346382</v>
      </c>
      <c r="U1405" s="12">
        <f t="shared" ca="1" si="323"/>
        <v>7900</v>
      </c>
      <c r="V1405" s="14">
        <f t="shared" ca="1" si="324"/>
        <v>-5583.5443037974683</v>
      </c>
      <c r="W1405" s="12">
        <f t="shared" ca="1" si="330"/>
        <v>-3589.8734177215188</v>
      </c>
      <c r="X1405" s="7">
        <f ca="1">AVERAGE(E1405:OFFSET(F1405,-$X$5+1,0))</f>
        <v>10883.6</v>
      </c>
      <c r="Y1405" s="7">
        <f ca="1">AVERAGE(E1405:OFFSET(F1405,-$Y$5+1,0))</f>
        <v>10835.35</v>
      </c>
      <c r="Z1405" s="7">
        <f t="shared" ref="Z1405:Z1468" ca="1" si="332">IF(AND(X1404&lt;=Y1404,X1405&gt;Y1405),1,IF(AND(X1404&gt;Y1404,X1405&lt;=Y1405),-1,0))</f>
        <v>0</v>
      </c>
    </row>
    <row r="1406" spans="1:26">
      <c r="A1406" s="3" t="s">
        <v>92</v>
      </c>
      <c r="B1406" s="4">
        <v>43732</v>
      </c>
      <c r="C1406" s="3">
        <v>10911</v>
      </c>
      <c r="D1406" s="3">
        <v>10932</v>
      </c>
      <c r="E1406" s="3">
        <v>10865</v>
      </c>
      <c r="F1406" s="3">
        <v>10908</v>
      </c>
      <c r="G1406" s="3">
        <v>89403</v>
      </c>
      <c r="H1406" s="3">
        <v>1.0449999999999999</v>
      </c>
      <c r="I1406" s="2">
        <f t="shared" si="325"/>
        <v>0</v>
      </c>
      <c r="J1406" s="10">
        <f t="shared" si="327"/>
        <v>17</v>
      </c>
      <c r="K1406" s="10">
        <f t="shared" si="326"/>
        <v>-3</v>
      </c>
      <c r="L1406" s="10">
        <f t="shared" ca="1" si="331"/>
        <v>0</v>
      </c>
      <c r="M1406" s="10">
        <f t="shared" ref="M1406:M1469" ca="1" si="333">IF(I1406=1,0,IF(M1405+L1405&gt;=$M$5,$M$5,IF(M1405+L1405&lt;=$M$7,$M$7,M1405+L1405)))</f>
        <v>0</v>
      </c>
      <c r="N1406" s="30">
        <f t="shared" ref="N1406:N1469" ca="1" si="334">IF(M1406=0,0,IF(M1406&gt;M1405,(C1406+N1405*M1405)*$S$5,0))</f>
        <v>0</v>
      </c>
      <c r="O1406" s="10">
        <f t="shared" ref="O1406:O1469" ca="1" si="335">IF(M1406=0,0,IF(M1406=M1405,O1405,((M1406-M1405)*C1406+N1405*M1405)*$S$5/M1406))</f>
        <v>0</v>
      </c>
      <c r="P1406" s="29">
        <f t="shared" ref="P1406:P1469" ca="1" si="336">IF(M1405=M1406,(M1405*J1406+M1406*K1406)*$S$5,(M1405*J1406+M1406*K1406)*$S$5-$S$6)</f>
        <v>0</v>
      </c>
      <c r="Q1406" s="12">
        <f t="shared" ref="Q1406:Q1469" ca="1" si="337">P1406+Q1405</f>
        <v>-433200</v>
      </c>
      <c r="R1406" s="10">
        <f t="shared" ref="R1406:R1469" ca="1" si="338">IF(P1406=0,0,IF(O1406=0,100*P1406/O1405,100*P1406/O1406))</f>
        <v>0</v>
      </c>
      <c r="S1406" s="10">
        <f t="shared" ca="1" si="328"/>
        <v>-2.4389032386250746</v>
      </c>
      <c r="T1406" s="14">
        <f t="shared" ca="1" si="329"/>
        <v>-0.41069614113792663</v>
      </c>
      <c r="U1406" s="12">
        <f t="shared" ref="U1406:U1469" ca="1" si="339">IF(Q1406&gt;U1405,Q1406,U1405)</f>
        <v>7900</v>
      </c>
      <c r="V1406" s="14">
        <f t="shared" ref="V1406:V1469" ca="1" si="340">IF(U1406=0,0,100*(Q1406-U1406)/U1406)</f>
        <v>-5583.5443037974683</v>
      </c>
      <c r="W1406" s="12">
        <f t="shared" ca="1" si="330"/>
        <v>-3589.8734177215188</v>
      </c>
      <c r="X1406" s="7">
        <f ca="1">AVERAGE(E1406:OFFSET(F1406,-$X$5+1,0))</f>
        <v>10888.8</v>
      </c>
      <c r="Y1406" s="7">
        <f ca="1">AVERAGE(E1406:OFFSET(F1406,-$Y$5+1,0))</f>
        <v>10845.75</v>
      </c>
      <c r="Z1406" s="7">
        <f t="shared" ca="1" si="332"/>
        <v>0</v>
      </c>
    </row>
    <row r="1407" spans="1:26">
      <c r="A1407" s="3" t="s">
        <v>92</v>
      </c>
      <c r="B1407" s="4">
        <v>43733</v>
      </c>
      <c r="C1407" s="3">
        <v>10865</v>
      </c>
      <c r="D1407" s="3">
        <v>10873</v>
      </c>
      <c r="E1407" s="3">
        <v>10805</v>
      </c>
      <c r="F1407" s="3">
        <v>10841</v>
      </c>
      <c r="G1407" s="3">
        <v>100205</v>
      </c>
      <c r="H1407" s="3">
        <v>1.0449999999999999</v>
      </c>
      <c r="I1407" s="2">
        <f t="shared" si="325"/>
        <v>0</v>
      </c>
      <c r="J1407" s="10">
        <f t="shared" si="327"/>
        <v>-43</v>
      </c>
      <c r="K1407" s="10">
        <f t="shared" si="326"/>
        <v>-24</v>
      </c>
      <c r="L1407" s="10">
        <f t="shared" ca="1" si="331"/>
        <v>0</v>
      </c>
      <c r="M1407" s="10">
        <f t="shared" ca="1" si="333"/>
        <v>0</v>
      </c>
      <c r="N1407" s="30">
        <f t="shared" ca="1" si="334"/>
        <v>0</v>
      </c>
      <c r="O1407" s="10">
        <f t="shared" ca="1" si="335"/>
        <v>0</v>
      </c>
      <c r="P1407" s="29">
        <f t="shared" ca="1" si="336"/>
        <v>0</v>
      </c>
      <c r="Q1407" s="12">
        <f t="shared" ca="1" si="337"/>
        <v>-433200</v>
      </c>
      <c r="R1407" s="10">
        <f t="shared" ca="1" si="338"/>
        <v>0</v>
      </c>
      <c r="S1407" s="10">
        <f t="shared" ca="1" si="328"/>
        <v>-2.6077885952712099</v>
      </c>
      <c r="T1407" s="14">
        <f t="shared" ca="1" si="329"/>
        <v>-0.43060500757838593</v>
      </c>
      <c r="U1407" s="12">
        <f t="shared" ca="1" si="339"/>
        <v>7900</v>
      </c>
      <c r="V1407" s="14">
        <f t="shared" ca="1" si="340"/>
        <v>-5583.5443037974683</v>
      </c>
      <c r="W1407" s="12">
        <f t="shared" ca="1" si="330"/>
        <v>-3911.3924050632913</v>
      </c>
      <c r="X1407" s="7">
        <f ca="1">AVERAGE(E1407:OFFSET(F1407,-$X$5+1,0))</f>
        <v>10869.1</v>
      </c>
      <c r="Y1407" s="7">
        <f ca="1">AVERAGE(E1407:OFFSET(F1407,-$Y$5+1,0))</f>
        <v>10854.35</v>
      </c>
      <c r="Z1407" s="7">
        <f t="shared" ca="1" si="332"/>
        <v>0</v>
      </c>
    </row>
    <row r="1408" spans="1:26">
      <c r="A1408" s="3" t="s">
        <v>92</v>
      </c>
      <c r="B1408" s="4">
        <v>43734</v>
      </c>
      <c r="C1408" s="3">
        <v>10876</v>
      </c>
      <c r="D1408" s="3">
        <v>10895</v>
      </c>
      <c r="E1408" s="3">
        <v>10828</v>
      </c>
      <c r="F1408" s="3">
        <v>10843</v>
      </c>
      <c r="G1408" s="3">
        <v>83512</v>
      </c>
      <c r="H1408" s="3">
        <v>1.0449999999999999</v>
      </c>
      <c r="I1408" s="2">
        <f t="shared" si="325"/>
        <v>0</v>
      </c>
      <c r="J1408" s="10">
        <f t="shared" si="327"/>
        <v>35</v>
      </c>
      <c r="K1408" s="10">
        <f t="shared" si="326"/>
        <v>-33</v>
      </c>
      <c r="L1408" s="10">
        <f t="shared" ca="1" si="331"/>
        <v>0</v>
      </c>
      <c r="M1408" s="10">
        <f t="shared" ca="1" si="333"/>
        <v>0</v>
      </c>
      <c r="N1408" s="30">
        <f t="shared" ca="1" si="334"/>
        <v>0</v>
      </c>
      <c r="O1408" s="10">
        <f t="shared" ca="1" si="335"/>
        <v>0</v>
      </c>
      <c r="P1408" s="29">
        <f t="shared" ca="1" si="336"/>
        <v>0</v>
      </c>
      <c r="Q1408" s="12">
        <f t="shared" ca="1" si="337"/>
        <v>-433200</v>
      </c>
      <c r="R1408" s="10">
        <f t="shared" ca="1" si="338"/>
        <v>0</v>
      </c>
      <c r="S1408" s="10">
        <f t="shared" ca="1" si="328"/>
        <v>-2.1872309424465195</v>
      </c>
      <c r="T1408" s="14">
        <f t="shared" ca="1" si="329"/>
        <v>-0.38102802644234007</v>
      </c>
      <c r="U1408" s="12">
        <f t="shared" ca="1" si="339"/>
        <v>7900</v>
      </c>
      <c r="V1408" s="14">
        <f t="shared" ca="1" si="340"/>
        <v>-5583.5443037974683</v>
      </c>
      <c r="W1408" s="12">
        <f t="shared" ca="1" si="330"/>
        <v>-3967.0886075949365</v>
      </c>
      <c r="X1408" s="7">
        <f ca="1">AVERAGE(E1408:OFFSET(F1408,-$X$5+1,0))</f>
        <v>10864.1</v>
      </c>
      <c r="Y1408" s="7">
        <f ca="1">AVERAGE(E1408:OFFSET(F1408,-$Y$5+1,0))</f>
        <v>10861.7</v>
      </c>
      <c r="Z1408" s="7">
        <f t="shared" ca="1" si="332"/>
        <v>0</v>
      </c>
    </row>
    <row r="1409" spans="1:26">
      <c r="A1409" s="3" t="s">
        <v>92</v>
      </c>
      <c r="B1409" s="4">
        <v>43735</v>
      </c>
      <c r="C1409" s="3">
        <v>10876</v>
      </c>
      <c r="D1409" s="3">
        <v>10897</v>
      </c>
      <c r="E1409" s="3">
        <v>10811</v>
      </c>
      <c r="F1409" s="3">
        <v>10824</v>
      </c>
      <c r="G1409" s="3">
        <v>94839</v>
      </c>
      <c r="H1409" s="3">
        <v>1.0449999999999999</v>
      </c>
      <c r="I1409" s="2">
        <f t="shared" si="325"/>
        <v>0</v>
      </c>
      <c r="J1409" s="10">
        <f t="shared" si="327"/>
        <v>33</v>
      </c>
      <c r="K1409" s="10">
        <f t="shared" si="326"/>
        <v>-52</v>
      </c>
      <c r="L1409" s="10">
        <f t="shared" ca="1" si="331"/>
        <v>-1</v>
      </c>
      <c r="M1409" s="10">
        <f t="shared" ca="1" si="333"/>
        <v>0</v>
      </c>
      <c r="N1409" s="30">
        <f t="shared" ca="1" si="334"/>
        <v>0</v>
      </c>
      <c r="O1409" s="10">
        <f t="shared" ca="1" si="335"/>
        <v>0</v>
      </c>
      <c r="P1409" s="29">
        <f t="shared" ca="1" si="336"/>
        <v>0</v>
      </c>
      <c r="Q1409" s="12">
        <f t="shared" ca="1" si="337"/>
        <v>-433200</v>
      </c>
      <c r="R1409" s="10">
        <f t="shared" ca="1" si="338"/>
        <v>0</v>
      </c>
      <c r="S1409" s="10">
        <f t="shared" ca="1" si="328"/>
        <v>-2.1110669580766936</v>
      </c>
      <c r="T1409" s="14">
        <f t="shared" ca="1" si="329"/>
        <v>-0.3720495180476231</v>
      </c>
      <c r="U1409" s="12">
        <f t="shared" ca="1" si="339"/>
        <v>7900</v>
      </c>
      <c r="V1409" s="14">
        <f t="shared" ca="1" si="340"/>
        <v>-5583.5443037974683</v>
      </c>
      <c r="W1409" s="12">
        <f t="shared" ca="1" si="330"/>
        <v>-3967.0886075949365</v>
      </c>
      <c r="X1409" s="7">
        <f ca="1">AVERAGE(E1409:OFFSET(F1409,-$X$5+1,0))</f>
        <v>10849.1</v>
      </c>
      <c r="Y1409" s="7">
        <f ca="1">AVERAGE(E1409:OFFSET(F1409,-$Y$5+1,0))</f>
        <v>10862.2</v>
      </c>
      <c r="Z1409" s="7">
        <f t="shared" ca="1" si="332"/>
        <v>-1</v>
      </c>
    </row>
    <row r="1410" spans="1:26">
      <c r="A1410" s="3" t="s">
        <v>92</v>
      </c>
      <c r="B1410" s="4">
        <v>43739</v>
      </c>
      <c r="C1410" s="3">
        <v>10856</v>
      </c>
      <c r="D1410" s="3">
        <v>10962</v>
      </c>
      <c r="E1410" s="3">
        <v>10856</v>
      </c>
      <c r="F1410" s="3">
        <v>10954</v>
      </c>
      <c r="G1410" s="3">
        <v>91075</v>
      </c>
      <c r="H1410" s="3">
        <v>1.0449999999999999</v>
      </c>
      <c r="I1410" s="2">
        <f t="shared" si="325"/>
        <v>0</v>
      </c>
      <c r="J1410" s="10">
        <f t="shared" si="327"/>
        <v>32</v>
      </c>
      <c r="K1410" s="10">
        <f t="shared" si="326"/>
        <v>98</v>
      </c>
      <c r="L1410" s="10">
        <f t="shared" ca="1" si="331"/>
        <v>0</v>
      </c>
      <c r="M1410" s="10">
        <f t="shared" ca="1" si="333"/>
        <v>-1</v>
      </c>
      <c r="N1410" s="30">
        <f t="shared" ca="1" si="334"/>
        <v>0</v>
      </c>
      <c r="O1410" s="10">
        <f t="shared" ca="1" si="335"/>
        <v>2171200</v>
      </c>
      <c r="P1410" s="29">
        <f t="shared" ca="1" si="336"/>
        <v>-20100</v>
      </c>
      <c r="Q1410" s="12">
        <f t="shared" ca="1" si="337"/>
        <v>-453300</v>
      </c>
      <c r="R1410" s="10">
        <f t="shared" ca="1" si="338"/>
        <v>-0.92575534266764925</v>
      </c>
      <c r="S1410" s="10">
        <f t="shared" ca="1" si="328"/>
        <v>-1.9074110868269423</v>
      </c>
      <c r="T1410" s="14">
        <f t="shared" ca="1" si="329"/>
        <v>-0.34631213119344267</v>
      </c>
      <c r="U1410" s="12">
        <f t="shared" ca="1" si="339"/>
        <v>7900</v>
      </c>
      <c r="V1410" s="14">
        <f t="shared" ca="1" si="340"/>
        <v>-5837.9746835443038</v>
      </c>
      <c r="W1410" s="12">
        <f t="shared" ca="1" si="330"/>
        <v>-3967.0886075949365</v>
      </c>
      <c r="X1410" s="7">
        <f ca="1">AVERAGE(E1410:OFFSET(F1410,-$X$5+1,0))</f>
        <v>10853.5</v>
      </c>
      <c r="Y1410" s="7">
        <f ca="1">AVERAGE(E1410:OFFSET(F1410,-$Y$5+1,0))</f>
        <v>10868.55</v>
      </c>
      <c r="Z1410" s="7">
        <f t="shared" ca="1" si="332"/>
        <v>0</v>
      </c>
    </row>
    <row r="1411" spans="1:26">
      <c r="A1411" s="3" t="s">
        <v>92</v>
      </c>
      <c r="B1411" s="4">
        <v>43740</v>
      </c>
      <c r="C1411" s="3">
        <v>10916</v>
      </c>
      <c r="D1411" s="3">
        <v>10948</v>
      </c>
      <c r="E1411" s="3">
        <v>10912</v>
      </c>
      <c r="F1411" s="3">
        <v>10922</v>
      </c>
      <c r="G1411" s="3">
        <v>67011</v>
      </c>
      <c r="H1411" s="3">
        <v>1.0449999999999999</v>
      </c>
      <c r="I1411" s="2">
        <f t="shared" si="325"/>
        <v>0</v>
      </c>
      <c r="J1411" s="10">
        <f t="shared" si="327"/>
        <v>-38</v>
      </c>
      <c r="K1411" s="10">
        <f t="shared" si="326"/>
        <v>6</v>
      </c>
      <c r="L1411" s="10">
        <f t="shared" ca="1" si="331"/>
        <v>0</v>
      </c>
      <c r="M1411" s="10">
        <f t="shared" ca="1" si="333"/>
        <v>-1</v>
      </c>
      <c r="N1411" s="30">
        <f t="shared" ca="1" si="334"/>
        <v>0</v>
      </c>
      <c r="O1411" s="10">
        <f t="shared" ca="1" si="335"/>
        <v>2171200</v>
      </c>
      <c r="P1411" s="29">
        <f t="shared" ca="1" si="336"/>
        <v>6400</v>
      </c>
      <c r="Q1411" s="12">
        <f t="shared" ca="1" si="337"/>
        <v>-446900</v>
      </c>
      <c r="R1411" s="10">
        <f t="shared" ca="1" si="338"/>
        <v>0.29476787030213708</v>
      </c>
      <c r="S1411" s="10">
        <f t="shared" ca="1" si="328"/>
        <v>-1.6739519173455195</v>
      </c>
      <c r="T1411" s="14">
        <f t="shared" ca="1" si="329"/>
        <v>-0.31872581708928421</v>
      </c>
      <c r="U1411" s="12">
        <f t="shared" ca="1" si="339"/>
        <v>7900</v>
      </c>
      <c r="V1411" s="14">
        <f t="shared" ca="1" si="340"/>
        <v>-5756.9620253164558</v>
      </c>
      <c r="W1411" s="12">
        <f t="shared" ca="1" si="330"/>
        <v>-3967.0886075949365</v>
      </c>
      <c r="X1411" s="7">
        <f ca="1">AVERAGE(E1411:OFFSET(F1411,-$X$5+1,0))</f>
        <v>10859.6</v>
      </c>
      <c r="Y1411" s="7">
        <f ca="1">AVERAGE(E1411:OFFSET(F1411,-$Y$5+1,0))</f>
        <v>10874.2</v>
      </c>
      <c r="Z1411" s="7">
        <f t="shared" ca="1" si="332"/>
        <v>0</v>
      </c>
    </row>
    <row r="1412" spans="1:26">
      <c r="A1412" s="3" t="s">
        <v>92</v>
      </c>
      <c r="B1412" s="4">
        <v>43741</v>
      </c>
      <c r="C1412" s="3">
        <v>10827</v>
      </c>
      <c r="D1412" s="3">
        <v>10877</v>
      </c>
      <c r="E1412" s="3">
        <v>10773</v>
      </c>
      <c r="F1412" s="3">
        <v>10851</v>
      </c>
      <c r="G1412" s="3">
        <v>97211</v>
      </c>
      <c r="H1412" s="3">
        <v>1.0449999999999999</v>
      </c>
      <c r="I1412" s="2">
        <f t="shared" ref="I1412:I1475" si="341">IF(A1412=A1413,0,1)</f>
        <v>0</v>
      </c>
      <c r="J1412" s="10">
        <f t="shared" si="327"/>
        <v>-95</v>
      </c>
      <c r="K1412" s="10">
        <f t="shared" ref="K1412:K1475" si="342">F1412-C1412</f>
        <v>24</v>
      </c>
      <c r="L1412" s="10">
        <f t="shared" ca="1" si="331"/>
        <v>0</v>
      </c>
      <c r="M1412" s="10">
        <f t="shared" ca="1" si="333"/>
        <v>-1</v>
      </c>
      <c r="N1412" s="30">
        <f t="shared" ca="1" si="334"/>
        <v>0</v>
      </c>
      <c r="O1412" s="10">
        <f t="shared" ca="1" si="335"/>
        <v>2171200</v>
      </c>
      <c r="P1412" s="29">
        <f t="shared" ca="1" si="336"/>
        <v>14200</v>
      </c>
      <c r="Q1412" s="12">
        <f t="shared" ca="1" si="337"/>
        <v>-432700</v>
      </c>
      <c r="R1412" s="10">
        <f t="shared" ca="1" si="338"/>
        <v>0.65401621223286666</v>
      </c>
      <c r="S1412" s="10">
        <f t="shared" ca="1" si="328"/>
        <v>-1.4388370090734486</v>
      </c>
      <c r="T1412" s="14">
        <f t="shared" ca="1" si="329"/>
        <v>-0.29034394000284452</v>
      </c>
      <c r="U1412" s="12">
        <f t="shared" ca="1" si="339"/>
        <v>7900</v>
      </c>
      <c r="V1412" s="14">
        <f t="shared" ca="1" si="340"/>
        <v>-5577.2151898734173</v>
      </c>
      <c r="W1412" s="12">
        <f t="shared" ca="1" si="330"/>
        <v>-3967.0886075949365</v>
      </c>
      <c r="X1412" s="7">
        <f ca="1">AVERAGE(E1412:OFFSET(F1412,-$X$5+1,0))</f>
        <v>10857.4</v>
      </c>
      <c r="Y1412" s="7">
        <f ca="1">AVERAGE(E1412:OFFSET(F1412,-$Y$5+1,0))</f>
        <v>10863.25</v>
      </c>
      <c r="Z1412" s="7">
        <f t="shared" ca="1" si="332"/>
        <v>0</v>
      </c>
    </row>
    <row r="1413" spans="1:26">
      <c r="A1413" s="3" t="s">
        <v>92</v>
      </c>
      <c r="B1413" s="4">
        <v>43742</v>
      </c>
      <c r="C1413" s="3">
        <v>10881</v>
      </c>
      <c r="D1413" s="3">
        <v>10912</v>
      </c>
      <c r="E1413" s="3">
        <v>10820</v>
      </c>
      <c r="F1413" s="3">
        <v>10880</v>
      </c>
      <c r="G1413" s="3">
        <v>106799</v>
      </c>
      <c r="H1413" s="3">
        <v>1.0449999999999999</v>
      </c>
      <c r="I1413" s="2">
        <f t="shared" si="341"/>
        <v>0</v>
      </c>
      <c r="J1413" s="10">
        <f t="shared" ref="J1413:J1476" si="343">C1413-F1412</f>
        <v>30</v>
      </c>
      <c r="K1413" s="10">
        <f t="shared" si="342"/>
        <v>-1</v>
      </c>
      <c r="L1413" s="10">
        <f t="shared" ca="1" si="331"/>
        <v>0</v>
      </c>
      <c r="M1413" s="10">
        <f t="shared" ca="1" si="333"/>
        <v>-1</v>
      </c>
      <c r="N1413" s="30">
        <f t="shared" ca="1" si="334"/>
        <v>0</v>
      </c>
      <c r="O1413" s="10">
        <f t="shared" ca="1" si="335"/>
        <v>2171200</v>
      </c>
      <c r="P1413" s="29">
        <f t="shared" ca="1" si="336"/>
        <v>-5800</v>
      </c>
      <c r="Q1413" s="12">
        <f t="shared" ca="1" si="337"/>
        <v>-438500</v>
      </c>
      <c r="R1413" s="10">
        <f t="shared" ca="1" si="338"/>
        <v>-0.26713338246131174</v>
      </c>
      <c r="S1413" s="10">
        <f t="shared" ca="1" si="328"/>
        <v>-1.534869858931055</v>
      </c>
      <c r="T1413" s="14">
        <f t="shared" ca="1" si="329"/>
        <v>-0.30194350970696698</v>
      </c>
      <c r="U1413" s="12">
        <f t="shared" ca="1" si="339"/>
        <v>7900</v>
      </c>
      <c r="V1413" s="14">
        <f t="shared" ca="1" si="340"/>
        <v>-5650.6329113924048</v>
      </c>
      <c r="W1413" s="12">
        <f t="shared" ca="1" si="330"/>
        <v>-3967.0886075949365</v>
      </c>
      <c r="X1413" s="7">
        <f ca="1">AVERAGE(E1413:OFFSET(F1413,-$X$5+1,0))</f>
        <v>10860.3</v>
      </c>
      <c r="Y1413" s="7">
        <f ca="1">AVERAGE(E1413:OFFSET(F1413,-$Y$5+1,0))</f>
        <v>10862.2</v>
      </c>
      <c r="Z1413" s="7">
        <f t="shared" ca="1" si="332"/>
        <v>0</v>
      </c>
    </row>
    <row r="1414" spans="1:26">
      <c r="A1414" s="3" t="s">
        <v>92</v>
      </c>
      <c r="B1414" s="4">
        <v>43745</v>
      </c>
      <c r="C1414" s="3">
        <v>10907</v>
      </c>
      <c r="D1414" s="3">
        <v>10937</v>
      </c>
      <c r="E1414" s="3">
        <v>10886</v>
      </c>
      <c r="F1414" s="3">
        <v>10915</v>
      </c>
      <c r="G1414" s="3">
        <v>68946</v>
      </c>
      <c r="H1414" s="3">
        <v>1.0449999999999999</v>
      </c>
      <c r="I1414" s="2">
        <f t="shared" si="341"/>
        <v>0</v>
      </c>
      <c r="J1414" s="10">
        <f t="shared" si="343"/>
        <v>27</v>
      </c>
      <c r="K1414" s="10">
        <f t="shared" si="342"/>
        <v>8</v>
      </c>
      <c r="L1414" s="10">
        <f t="shared" ca="1" si="331"/>
        <v>1</v>
      </c>
      <c r="M1414" s="10">
        <f t="shared" ca="1" si="333"/>
        <v>-1</v>
      </c>
      <c r="N1414" s="30">
        <f t="shared" ca="1" si="334"/>
        <v>0</v>
      </c>
      <c r="O1414" s="10">
        <f t="shared" ca="1" si="335"/>
        <v>2171200</v>
      </c>
      <c r="P1414" s="29">
        <f t="shared" ca="1" si="336"/>
        <v>-7000</v>
      </c>
      <c r="Q1414" s="12">
        <f t="shared" ca="1" si="337"/>
        <v>-445500</v>
      </c>
      <c r="R1414" s="10">
        <f t="shared" ca="1" si="338"/>
        <v>-0.32240235814296242</v>
      </c>
      <c r="S1414" s="10">
        <f t="shared" ca="1" si="328"/>
        <v>-1.6507715742764422</v>
      </c>
      <c r="T1414" s="14">
        <f t="shared" ca="1" si="329"/>
        <v>-0.31617783655579673</v>
      </c>
      <c r="U1414" s="12">
        <f t="shared" ca="1" si="339"/>
        <v>7900</v>
      </c>
      <c r="V1414" s="14">
        <f t="shared" ca="1" si="340"/>
        <v>-5739.2405063291135</v>
      </c>
      <c r="W1414" s="12">
        <f t="shared" ca="1" si="330"/>
        <v>-3967.0886075949365</v>
      </c>
      <c r="X1414" s="7">
        <f ca="1">AVERAGE(E1414:OFFSET(F1414,-$X$5+1,0))</f>
        <v>10876.9</v>
      </c>
      <c r="Y1414" s="7">
        <f ca="1">AVERAGE(E1414:OFFSET(F1414,-$Y$5+1,0))</f>
        <v>10863</v>
      </c>
      <c r="Z1414" s="7">
        <f t="shared" ca="1" si="332"/>
        <v>1</v>
      </c>
    </row>
    <row r="1415" spans="1:26">
      <c r="A1415" s="3" t="s">
        <v>92</v>
      </c>
      <c r="B1415" s="4">
        <v>43746</v>
      </c>
      <c r="C1415" s="3">
        <v>10958</v>
      </c>
      <c r="D1415" s="3">
        <v>11021</v>
      </c>
      <c r="E1415" s="3">
        <v>10950</v>
      </c>
      <c r="F1415" s="3">
        <v>11001</v>
      </c>
      <c r="G1415" s="3">
        <v>85671</v>
      </c>
      <c r="H1415" s="3">
        <v>1.0449999999999999</v>
      </c>
      <c r="I1415" s="2">
        <f t="shared" si="341"/>
        <v>0</v>
      </c>
      <c r="J1415" s="10">
        <f t="shared" si="343"/>
        <v>43</v>
      </c>
      <c r="K1415" s="10">
        <f t="shared" si="342"/>
        <v>43</v>
      </c>
      <c r="L1415" s="10">
        <f t="shared" ca="1" si="331"/>
        <v>0</v>
      </c>
      <c r="M1415" s="10">
        <f t="shared" ca="1" si="333"/>
        <v>0</v>
      </c>
      <c r="N1415" s="30">
        <f t="shared" ca="1" si="334"/>
        <v>0</v>
      </c>
      <c r="O1415" s="10">
        <f t="shared" ca="1" si="335"/>
        <v>0</v>
      </c>
      <c r="P1415" s="29">
        <f t="shared" ca="1" si="336"/>
        <v>-9100</v>
      </c>
      <c r="Q1415" s="12">
        <f t="shared" ca="1" si="337"/>
        <v>-454600</v>
      </c>
      <c r="R1415" s="10">
        <f t="shared" ca="1" si="338"/>
        <v>-0.41912306558585116</v>
      </c>
      <c r="S1415" s="10">
        <f t="shared" ca="1" si="328"/>
        <v>-1.8014438042254455</v>
      </c>
      <c r="T1415" s="14">
        <f t="shared" ca="1" si="329"/>
        <v>-0.33508262055973054</v>
      </c>
      <c r="U1415" s="12">
        <f t="shared" ca="1" si="339"/>
        <v>7900</v>
      </c>
      <c r="V1415" s="14">
        <f t="shared" ca="1" si="340"/>
        <v>-5854.4303797468356</v>
      </c>
      <c r="W1415" s="12">
        <f t="shared" ca="1" si="330"/>
        <v>-3967.0886075949365</v>
      </c>
      <c r="X1415" s="7">
        <f ca="1">AVERAGE(E1415:OFFSET(F1415,-$X$5+1,0))</f>
        <v>10891</v>
      </c>
      <c r="Y1415" s="7">
        <f ca="1">AVERAGE(E1415:OFFSET(F1415,-$Y$5+1,0))</f>
        <v>10872.25</v>
      </c>
      <c r="Z1415" s="7">
        <f t="shared" ca="1" si="332"/>
        <v>0</v>
      </c>
    </row>
    <row r="1416" spans="1:26">
      <c r="A1416" s="3" t="s">
        <v>92</v>
      </c>
      <c r="B1416" s="4">
        <v>43747</v>
      </c>
      <c r="C1416" s="3">
        <v>10963</v>
      </c>
      <c r="D1416" s="3">
        <v>10969</v>
      </c>
      <c r="E1416" s="3">
        <v>10880</v>
      </c>
      <c r="F1416" s="3">
        <v>10880</v>
      </c>
      <c r="G1416" s="3">
        <v>90482</v>
      </c>
      <c r="H1416" s="3">
        <v>1.0449999999999999</v>
      </c>
      <c r="I1416" s="2">
        <f t="shared" si="341"/>
        <v>0</v>
      </c>
      <c r="J1416" s="10">
        <f t="shared" si="343"/>
        <v>-38</v>
      </c>
      <c r="K1416" s="10">
        <f t="shared" si="342"/>
        <v>-83</v>
      </c>
      <c r="L1416" s="10">
        <f t="shared" ca="1" si="331"/>
        <v>0</v>
      </c>
      <c r="M1416" s="10">
        <f t="shared" ca="1" si="333"/>
        <v>0</v>
      </c>
      <c r="N1416" s="30">
        <f t="shared" ca="1" si="334"/>
        <v>0</v>
      </c>
      <c r="O1416" s="10">
        <f t="shared" ca="1" si="335"/>
        <v>0</v>
      </c>
      <c r="P1416" s="29">
        <f t="shared" ca="1" si="336"/>
        <v>0</v>
      </c>
      <c r="Q1416" s="12">
        <f t="shared" ca="1" si="337"/>
        <v>-454600</v>
      </c>
      <c r="R1416" s="10">
        <f t="shared" ca="1" si="338"/>
        <v>0</v>
      </c>
      <c r="S1416" s="10">
        <f t="shared" ca="1" si="328"/>
        <v>-1.8014438042254455</v>
      </c>
      <c r="T1416" s="14">
        <f t="shared" ca="1" si="329"/>
        <v>-0.33513204165850813</v>
      </c>
      <c r="U1416" s="12">
        <f t="shared" ca="1" si="339"/>
        <v>7900</v>
      </c>
      <c r="V1416" s="14">
        <f t="shared" ca="1" si="340"/>
        <v>-5854.4303797468356</v>
      </c>
      <c r="W1416" s="12">
        <f t="shared" ca="1" si="330"/>
        <v>-3967.0886075949365</v>
      </c>
      <c r="X1416" s="7">
        <f ca="1">AVERAGE(E1416:OFFSET(F1416,-$X$5+1,0))</f>
        <v>10883.6</v>
      </c>
      <c r="Y1416" s="7">
        <f ca="1">AVERAGE(E1416:OFFSET(F1416,-$Y$5+1,0))</f>
        <v>10871.6</v>
      </c>
      <c r="Z1416" s="7">
        <f t="shared" ca="1" si="332"/>
        <v>0</v>
      </c>
    </row>
    <row r="1417" spans="1:26">
      <c r="A1417" s="3" t="s">
        <v>92</v>
      </c>
      <c r="B1417" s="4">
        <v>43752</v>
      </c>
      <c r="C1417" s="3">
        <v>11070</v>
      </c>
      <c r="D1417" s="3">
        <v>11092</v>
      </c>
      <c r="E1417" s="3">
        <v>11030</v>
      </c>
      <c r="F1417" s="3">
        <v>11076</v>
      </c>
      <c r="G1417" s="3">
        <v>114852</v>
      </c>
      <c r="H1417" s="3">
        <v>1.0449999999999999</v>
      </c>
      <c r="I1417" s="2">
        <f t="shared" si="341"/>
        <v>0</v>
      </c>
      <c r="J1417" s="10">
        <f t="shared" si="343"/>
        <v>190</v>
      </c>
      <c r="K1417" s="10">
        <f t="shared" si="342"/>
        <v>6</v>
      </c>
      <c r="L1417" s="10">
        <f t="shared" ca="1" si="331"/>
        <v>0</v>
      </c>
      <c r="M1417" s="10">
        <f t="shared" ca="1" si="333"/>
        <v>0</v>
      </c>
      <c r="N1417" s="30">
        <f t="shared" ca="1" si="334"/>
        <v>0</v>
      </c>
      <c r="O1417" s="10">
        <f t="shared" ca="1" si="335"/>
        <v>0</v>
      </c>
      <c r="P1417" s="29">
        <f t="shared" ca="1" si="336"/>
        <v>0</v>
      </c>
      <c r="Q1417" s="12">
        <f t="shared" ca="1" si="337"/>
        <v>-454600</v>
      </c>
      <c r="R1417" s="10">
        <f t="shared" ca="1" si="338"/>
        <v>0</v>
      </c>
      <c r="S1417" s="10">
        <f t="shared" ca="1" si="328"/>
        <v>-1.8014438042254455</v>
      </c>
      <c r="T1417" s="14">
        <f t="shared" ca="1" si="329"/>
        <v>-0.33513087679575904</v>
      </c>
      <c r="U1417" s="12">
        <f t="shared" ca="1" si="339"/>
        <v>7900</v>
      </c>
      <c r="V1417" s="14">
        <f t="shared" ca="1" si="340"/>
        <v>-5854.4303797468356</v>
      </c>
      <c r="W1417" s="12">
        <f t="shared" ca="1" si="330"/>
        <v>-3967.0886075949365</v>
      </c>
      <c r="X1417" s="7">
        <f ca="1">AVERAGE(E1417:OFFSET(F1417,-$X$5+1,0))</f>
        <v>10931.8</v>
      </c>
      <c r="Y1417" s="7">
        <f ca="1">AVERAGE(E1417:OFFSET(F1417,-$Y$5+1,0))</f>
        <v>10894.6</v>
      </c>
      <c r="Z1417" s="7">
        <f t="shared" ca="1" si="332"/>
        <v>0</v>
      </c>
    </row>
    <row r="1418" spans="1:26">
      <c r="A1418" s="3" t="s">
        <v>92</v>
      </c>
      <c r="B1418" s="4">
        <v>43753</v>
      </c>
      <c r="C1418" s="3">
        <v>11083</v>
      </c>
      <c r="D1418" s="3">
        <v>11122</v>
      </c>
      <c r="E1418" s="3">
        <v>11073</v>
      </c>
      <c r="F1418" s="3">
        <v>11108</v>
      </c>
      <c r="G1418" s="3">
        <v>99518</v>
      </c>
      <c r="H1418" s="3">
        <v>1.0449999999999999</v>
      </c>
      <c r="I1418" s="2">
        <f t="shared" si="341"/>
        <v>0</v>
      </c>
      <c r="J1418" s="10">
        <f t="shared" si="343"/>
        <v>7</v>
      </c>
      <c r="K1418" s="10">
        <f t="shared" si="342"/>
        <v>25</v>
      </c>
      <c r="L1418" s="10">
        <f t="shared" ca="1" si="331"/>
        <v>0</v>
      </c>
      <c r="M1418" s="10">
        <f t="shared" ca="1" si="333"/>
        <v>0</v>
      </c>
      <c r="N1418" s="30">
        <f t="shared" ca="1" si="334"/>
        <v>0</v>
      </c>
      <c r="O1418" s="10">
        <f t="shared" ca="1" si="335"/>
        <v>0</v>
      </c>
      <c r="P1418" s="29">
        <f t="shared" ca="1" si="336"/>
        <v>0</v>
      </c>
      <c r="Q1418" s="12">
        <f t="shared" ca="1" si="337"/>
        <v>-454600</v>
      </c>
      <c r="R1418" s="10">
        <f t="shared" ca="1" si="338"/>
        <v>0</v>
      </c>
      <c r="S1418" s="10">
        <f t="shared" ca="1" si="328"/>
        <v>-1.8014438042254455</v>
      </c>
      <c r="T1418" s="14">
        <f t="shared" ca="1" si="329"/>
        <v>-0.33636305073748346</v>
      </c>
      <c r="U1418" s="12">
        <f t="shared" ca="1" si="339"/>
        <v>7900</v>
      </c>
      <c r="V1418" s="14">
        <f t="shared" ca="1" si="340"/>
        <v>-5854.4303797468356</v>
      </c>
      <c r="W1418" s="12">
        <f t="shared" ca="1" si="330"/>
        <v>-3967.0886075949365</v>
      </c>
      <c r="X1418" s="7">
        <f ca="1">AVERAGE(E1418:OFFSET(F1418,-$X$5+1,0))</f>
        <v>10979.9</v>
      </c>
      <c r="Y1418" s="7">
        <f ca="1">AVERAGE(E1418:OFFSET(F1418,-$Y$5+1,0))</f>
        <v>10920.1</v>
      </c>
      <c r="Z1418" s="7">
        <f t="shared" ca="1" si="332"/>
        <v>0</v>
      </c>
    </row>
    <row r="1419" spans="1:26">
      <c r="A1419" s="3" t="s">
        <v>92</v>
      </c>
      <c r="B1419" s="4">
        <v>43754</v>
      </c>
      <c r="C1419" s="3">
        <v>11158</v>
      </c>
      <c r="D1419" s="3">
        <v>11171</v>
      </c>
      <c r="E1419" s="3">
        <v>11130</v>
      </c>
      <c r="F1419" s="3">
        <v>11145</v>
      </c>
      <c r="G1419" s="3">
        <v>66943</v>
      </c>
      <c r="H1419" s="3">
        <v>1.0449999999999999</v>
      </c>
      <c r="I1419" s="2">
        <f t="shared" si="341"/>
        <v>1</v>
      </c>
      <c r="J1419" s="10">
        <f t="shared" si="343"/>
        <v>50</v>
      </c>
      <c r="K1419" s="10">
        <f t="shared" si="342"/>
        <v>-13</v>
      </c>
      <c r="L1419" s="10">
        <f t="shared" ca="1" si="331"/>
        <v>0</v>
      </c>
      <c r="M1419" s="10">
        <f t="shared" si="333"/>
        <v>0</v>
      </c>
      <c r="N1419" s="30">
        <f t="shared" si="334"/>
        <v>0</v>
      </c>
      <c r="O1419" s="10">
        <f t="shared" si="335"/>
        <v>0</v>
      </c>
      <c r="P1419" s="29">
        <f t="shared" ca="1" si="336"/>
        <v>0</v>
      </c>
      <c r="Q1419" s="12">
        <f t="shared" ca="1" si="337"/>
        <v>-454600</v>
      </c>
      <c r="R1419" s="10">
        <f t="shared" ca="1" si="338"/>
        <v>0</v>
      </c>
      <c r="S1419" s="10">
        <f t="shared" ca="1" si="328"/>
        <v>-1.8014438042254455</v>
      </c>
      <c r="T1419" s="14">
        <f t="shared" ca="1" si="329"/>
        <v>-0.33725446226512029</v>
      </c>
      <c r="U1419" s="12">
        <f t="shared" ca="1" si="339"/>
        <v>7900</v>
      </c>
      <c r="V1419" s="14">
        <f t="shared" ca="1" si="340"/>
        <v>-5854.4303797468356</v>
      </c>
      <c r="W1419" s="12">
        <f t="shared" ca="1" si="330"/>
        <v>-3967.0886075949365</v>
      </c>
      <c r="X1419" s="7">
        <f ca="1">AVERAGE(E1419:OFFSET(F1419,-$X$5+1,0))</f>
        <v>11027.3</v>
      </c>
      <c r="Y1419" s="7">
        <f ca="1">AVERAGE(E1419:OFFSET(F1419,-$Y$5+1,0))</f>
        <v>10952.1</v>
      </c>
      <c r="Z1419" s="7">
        <f t="shared" ca="1" si="332"/>
        <v>0</v>
      </c>
    </row>
    <row r="1420" spans="1:26">
      <c r="A1420" s="3" t="s">
        <v>93</v>
      </c>
      <c r="B1420" s="4">
        <v>43755</v>
      </c>
      <c r="C1420" s="3">
        <v>11148</v>
      </c>
      <c r="D1420" s="3">
        <v>11161</v>
      </c>
      <c r="E1420" s="3">
        <v>11117</v>
      </c>
      <c r="F1420" s="3">
        <v>11157</v>
      </c>
      <c r="G1420" s="3">
        <v>56152</v>
      </c>
      <c r="H1420" s="3">
        <v>1.0449999999999999</v>
      </c>
      <c r="I1420" s="2">
        <f t="shared" si="341"/>
        <v>0</v>
      </c>
      <c r="J1420" s="10">
        <f t="shared" si="343"/>
        <v>3</v>
      </c>
      <c r="K1420" s="10">
        <f t="shared" si="342"/>
        <v>9</v>
      </c>
      <c r="L1420" s="10">
        <f t="shared" ca="1" si="331"/>
        <v>0</v>
      </c>
      <c r="M1420" s="10">
        <f t="shared" ca="1" si="333"/>
        <v>0</v>
      </c>
      <c r="N1420" s="30">
        <f t="shared" ca="1" si="334"/>
        <v>0</v>
      </c>
      <c r="O1420" s="10">
        <f t="shared" ca="1" si="335"/>
        <v>0</v>
      </c>
      <c r="P1420" s="29">
        <f t="shared" ca="1" si="336"/>
        <v>0</v>
      </c>
      <c r="Q1420" s="12">
        <f t="shared" ca="1" si="337"/>
        <v>-454600</v>
      </c>
      <c r="R1420" s="10">
        <f t="shared" ca="1" si="338"/>
        <v>0</v>
      </c>
      <c r="S1420" s="10">
        <f t="shared" ca="1" si="328"/>
        <v>-1.8014438042254455</v>
      </c>
      <c r="T1420" s="14">
        <f t="shared" ca="1" si="329"/>
        <v>-0.33767419374881363</v>
      </c>
      <c r="U1420" s="12">
        <f t="shared" ca="1" si="339"/>
        <v>7900</v>
      </c>
      <c r="V1420" s="14">
        <f t="shared" ca="1" si="340"/>
        <v>-5854.4303797468356</v>
      </c>
      <c r="W1420" s="12">
        <f t="shared" ca="1" si="330"/>
        <v>-3967.0886075949365</v>
      </c>
      <c r="X1420" s="7">
        <f ca="1">AVERAGE(E1420:OFFSET(F1420,-$X$5+1,0))</f>
        <v>11059.6</v>
      </c>
      <c r="Y1420" s="7">
        <f ca="1">AVERAGE(E1420:OFFSET(F1420,-$Y$5+1,0))</f>
        <v>10975.3</v>
      </c>
      <c r="Z1420" s="7">
        <f t="shared" ca="1" si="332"/>
        <v>0</v>
      </c>
    </row>
    <row r="1421" spans="1:26">
      <c r="A1421" s="3" t="s">
        <v>93</v>
      </c>
      <c r="B1421" s="4">
        <v>43756</v>
      </c>
      <c r="C1421" s="3">
        <v>11195</v>
      </c>
      <c r="D1421" s="3">
        <v>11223</v>
      </c>
      <c r="E1421" s="3">
        <v>11132</v>
      </c>
      <c r="F1421" s="3">
        <v>11150</v>
      </c>
      <c r="G1421" s="3">
        <v>91145</v>
      </c>
      <c r="H1421" s="3">
        <v>1.0449999999999999</v>
      </c>
      <c r="I1421" s="2">
        <f t="shared" si="341"/>
        <v>0</v>
      </c>
      <c r="J1421" s="10">
        <f t="shared" si="343"/>
        <v>38</v>
      </c>
      <c r="K1421" s="10">
        <f t="shared" si="342"/>
        <v>-45</v>
      </c>
      <c r="L1421" s="10">
        <f t="shared" ca="1" si="331"/>
        <v>0</v>
      </c>
      <c r="M1421" s="10">
        <f t="shared" ca="1" si="333"/>
        <v>0</v>
      </c>
      <c r="N1421" s="30">
        <f t="shared" ca="1" si="334"/>
        <v>0</v>
      </c>
      <c r="O1421" s="10">
        <f t="shared" ca="1" si="335"/>
        <v>0</v>
      </c>
      <c r="P1421" s="29">
        <f t="shared" ca="1" si="336"/>
        <v>0</v>
      </c>
      <c r="Q1421" s="12">
        <f t="shared" ca="1" si="337"/>
        <v>-454600</v>
      </c>
      <c r="R1421" s="10">
        <f t="shared" ca="1" si="338"/>
        <v>0</v>
      </c>
      <c r="S1421" s="10">
        <f t="shared" ca="1" si="328"/>
        <v>-1.8014438042254455</v>
      </c>
      <c r="T1421" s="14">
        <f t="shared" ca="1" si="329"/>
        <v>-0.33804781588646848</v>
      </c>
      <c r="U1421" s="12">
        <f t="shared" ca="1" si="339"/>
        <v>7900</v>
      </c>
      <c r="V1421" s="14">
        <f t="shared" ca="1" si="340"/>
        <v>-5854.4303797468356</v>
      </c>
      <c r="W1421" s="12">
        <f t="shared" ca="1" si="330"/>
        <v>-3967.0886075949365</v>
      </c>
      <c r="X1421" s="7">
        <f ca="1">AVERAGE(E1421:OFFSET(F1421,-$X$5+1,0))</f>
        <v>11111.8</v>
      </c>
      <c r="Y1421" s="7">
        <f ca="1">AVERAGE(E1421:OFFSET(F1421,-$Y$5+1,0))</f>
        <v>10997.7</v>
      </c>
      <c r="Z1421" s="7">
        <f t="shared" ca="1" si="332"/>
        <v>0</v>
      </c>
    </row>
    <row r="1422" spans="1:26">
      <c r="A1422" s="3" t="s">
        <v>93</v>
      </c>
      <c r="B1422" s="4">
        <v>43759</v>
      </c>
      <c r="C1422" s="3">
        <v>11157</v>
      </c>
      <c r="D1422" s="3">
        <v>11168</v>
      </c>
      <c r="E1422" s="3">
        <v>11133</v>
      </c>
      <c r="F1422" s="3">
        <v>11155</v>
      </c>
      <c r="G1422" s="3">
        <v>54208</v>
      </c>
      <c r="H1422" s="3">
        <v>1.0449999999999999</v>
      </c>
      <c r="I1422" s="2">
        <f t="shared" si="341"/>
        <v>0</v>
      </c>
      <c r="J1422" s="10">
        <f t="shared" si="343"/>
        <v>7</v>
      </c>
      <c r="K1422" s="10">
        <f t="shared" si="342"/>
        <v>-2</v>
      </c>
      <c r="L1422" s="10">
        <f t="shared" ca="1" si="331"/>
        <v>0</v>
      </c>
      <c r="M1422" s="10">
        <f t="shared" ca="1" si="333"/>
        <v>0</v>
      </c>
      <c r="N1422" s="30">
        <f t="shared" ca="1" si="334"/>
        <v>0</v>
      </c>
      <c r="O1422" s="10">
        <f t="shared" ca="1" si="335"/>
        <v>0</v>
      </c>
      <c r="P1422" s="29">
        <f t="shared" ca="1" si="336"/>
        <v>0</v>
      </c>
      <c r="Q1422" s="12">
        <f t="shared" ca="1" si="337"/>
        <v>-454600</v>
      </c>
      <c r="R1422" s="10">
        <f t="shared" ca="1" si="338"/>
        <v>0</v>
      </c>
      <c r="S1422" s="10">
        <f t="shared" ca="1" si="328"/>
        <v>-1.8014438042254455</v>
      </c>
      <c r="T1422" s="14">
        <f t="shared" ca="1" si="329"/>
        <v>-0.33855166771352663</v>
      </c>
      <c r="U1422" s="12">
        <f t="shared" ca="1" si="339"/>
        <v>7900</v>
      </c>
      <c r="V1422" s="14">
        <f t="shared" ca="1" si="340"/>
        <v>-5854.4303797468356</v>
      </c>
      <c r="W1422" s="12">
        <f t="shared" ca="1" si="330"/>
        <v>-3967.0886075949365</v>
      </c>
      <c r="X1422" s="7">
        <f ca="1">AVERAGE(E1422:OFFSET(F1422,-$X$5+1,0))</f>
        <v>11130</v>
      </c>
      <c r="Y1422" s="7">
        <f ca="1">AVERAGE(E1422:OFFSET(F1422,-$Y$5+1,0))</f>
        <v>11030.9</v>
      </c>
      <c r="Z1422" s="7">
        <f t="shared" ca="1" si="332"/>
        <v>0</v>
      </c>
    </row>
    <row r="1423" spans="1:26">
      <c r="A1423" s="3" t="s">
        <v>93</v>
      </c>
      <c r="B1423" s="4">
        <v>43760</v>
      </c>
      <c r="C1423" s="3">
        <v>11213</v>
      </c>
      <c r="D1423" s="3">
        <v>11252</v>
      </c>
      <c r="E1423" s="3">
        <v>11191</v>
      </c>
      <c r="F1423" s="3">
        <v>11242</v>
      </c>
      <c r="G1423" s="3">
        <v>78469</v>
      </c>
      <c r="H1423" s="3">
        <v>1.0449999999999999</v>
      </c>
      <c r="I1423" s="2">
        <f t="shared" si="341"/>
        <v>0</v>
      </c>
      <c r="J1423" s="10">
        <f t="shared" si="343"/>
        <v>58</v>
      </c>
      <c r="K1423" s="10">
        <f t="shared" si="342"/>
        <v>29</v>
      </c>
      <c r="L1423" s="10">
        <f t="shared" ca="1" si="331"/>
        <v>0</v>
      </c>
      <c r="M1423" s="10">
        <f t="shared" ca="1" si="333"/>
        <v>0</v>
      </c>
      <c r="N1423" s="30">
        <f t="shared" ca="1" si="334"/>
        <v>0</v>
      </c>
      <c r="O1423" s="10">
        <f t="shared" ca="1" si="335"/>
        <v>0</v>
      </c>
      <c r="P1423" s="29">
        <f t="shared" ca="1" si="336"/>
        <v>0</v>
      </c>
      <c r="Q1423" s="12">
        <f t="shared" ca="1" si="337"/>
        <v>-454600</v>
      </c>
      <c r="R1423" s="10">
        <f t="shared" ca="1" si="338"/>
        <v>0</v>
      </c>
      <c r="S1423" s="10">
        <f t="shared" ca="1" si="328"/>
        <v>-1.8014438042254455</v>
      </c>
      <c r="T1423" s="14">
        <f t="shared" ca="1" si="329"/>
        <v>-0.33862768688751538</v>
      </c>
      <c r="U1423" s="12">
        <f t="shared" ca="1" si="339"/>
        <v>7900</v>
      </c>
      <c r="V1423" s="14">
        <f t="shared" ca="1" si="340"/>
        <v>-5854.4303797468356</v>
      </c>
      <c r="W1423" s="12">
        <f t="shared" ca="1" si="330"/>
        <v>-3967.0886075949365</v>
      </c>
      <c r="X1423" s="7">
        <f ca="1">AVERAGE(E1423:OFFSET(F1423,-$X$5+1,0))</f>
        <v>11155.2</v>
      </c>
      <c r="Y1423" s="7">
        <f ca="1">AVERAGE(E1423:OFFSET(F1423,-$Y$5+1,0))</f>
        <v>11067.55</v>
      </c>
      <c r="Z1423" s="7">
        <f t="shared" ca="1" si="332"/>
        <v>0</v>
      </c>
    </row>
    <row r="1424" spans="1:26">
      <c r="A1424" s="3" t="s">
        <v>93</v>
      </c>
      <c r="B1424" s="4">
        <v>43761</v>
      </c>
      <c r="C1424" s="3">
        <v>11225</v>
      </c>
      <c r="D1424" s="3">
        <v>11254</v>
      </c>
      <c r="E1424" s="3">
        <v>11182</v>
      </c>
      <c r="F1424" s="3">
        <v>11201</v>
      </c>
      <c r="G1424" s="3">
        <v>79441</v>
      </c>
      <c r="H1424" s="3">
        <v>1.0449999999999999</v>
      </c>
      <c r="I1424" s="2">
        <f t="shared" si="341"/>
        <v>0</v>
      </c>
      <c r="J1424" s="10">
        <f t="shared" si="343"/>
        <v>-17</v>
      </c>
      <c r="K1424" s="10">
        <f t="shared" si="342"/>
        <v>-24</v>
      </c>
      <c r="L1424" s="10">
        <f t="shared" ca="1" si="331"/>
        <v>0</v>
      </c>
      <c r="M1424" s="10">
        <f t="shared" ca="1" si="333"/>
        <v>0</v>
      </c>
      <c r="N1424" s="30">
        <f t="shared" ca="1" si="334"/>
        <v>0</v>
      </c>
      <c r="O1424" s="10">
        <f t="shared" ca="1" si="335"/>
        <v>0</v>
      </c>
      <c r="P1424" s="29">
        <f t="shared" ca="1" si="336"/>
        <v>0</v>
      </c>
      <c r="Q1424" s="12">
        <f t="shared" ca="1" si="337"/>
        <v>-454600</v>
      </c>
      <c r="R1424" s="10">
        <f t="shared" ca="1" si="338"/>
        <v>0</v>
      </c>
      <c r="S1424" s="10">
        <f t="shared" ca="1" si="328"/>
        <v>-1.8014438042254455</v>
      </c>
      <c r="T1424" s="14">
        <f t="shared" ca="1" si="329"/>
        <v>-0.33862768688751538</v>
      </c>
      <c r="U1424" s="12">
        <f t="shared" ca="1" si="339"/>
        <v>7900</v>
      </c>
      <c r="V1424" s="14">
        <f t="shared" ca="1" si="340"/>
        <v>-5854.4303797468356</v>
      </c>
      <c r="W1424" s="12">
        <f t="shared" ca="1" si="330"/>
        <v>-3967.0886075949365</v>
      </c>
      <c r="X1424" s="7">
        <f ca="1">AVERAGE(E1424:OFFSET(F1424,-$X$5+1,0))</f>
        <v>11166</v>
      </c>
      <c r="Y1424" s="7">
        <f ca="1">AVERAGE(E1424:OFFSET(F1424,-$Y$5+1,0))</f>
        <v>11096.65</v>
      </c>
      <c r="Z1424" s="7">
        <f t="shared" ca="1" si="332"/>
        <v>0</v>
      </c>
    </row>
    <row r="1425" spans="1:26">
      <c r="A1425" s="3" t="s">
        <v>93</v>
      </c>
      <c r="B1425" s="4">
        <v>43762</v>
      </c>
      <c r="C1425" s="3">
        <v>11232</v>
      </c>
      <c r="D1425" s="3">
        <v>11292</v>
      </c>
      <c r="E1425" s="3">
        <v>11225</v>
      </c>
      <c r="F1425" s="3">
        <v>11290</v>
      </c>
      <c r="G1425" s="3">
        <v>71647</v>
      </c>
      <c r="H1425" s="3">
        <v>1.0449999999999999</v>
      </c>
      <c r="I1425" s="2">
        <f t="shared" si="341"/>
        <v>0</v>
      </c>
      <c r="J1425" s="10">
        <f t="shared" si="343"/>
        <v>31</v>
      </c>
      <c r="K1425" s="10">
        <f t="shared" si="342"/>
        <v>58</v>
      </c>
      <c r="L1425" s="10">
        <f t="shared" ca="1" si="331"/>
        <v>0</v>
      </c>
      <c r="M1425" s="10">
        <f t="shared" ca="1" si="333"/>
        <v>0</v>
      </c>
      <c r="N1425" s="30">
        <f t="shared" ca="1" si="334"/>
        <v>0</v>
      </c>
      <c r="O1425" s="10">
        <f t="shared" ca="1" si="335"/>
        <v>0</v>
      </c>
      <c r="P1425" s="29">
        <f t="shared" ca="1" si="336"/>
        <v>0</v>
      </c>
      <c r="Q1425" s="12">
        <f t="shared" ca="1" si="337"/>
        <v>-454600</v>
      </c>
      <c r="R1425" s="10">
        <f t="shared" ca="1" si="338"/>
        <v>0</v>
      </c>
      <c r="S1425" s="10">
        <f t="shared" ca="1" si="328"/>
        <v>-1.8014438042254455</v>
      </c>
      <c r="T1425" s="14">
        <f t="shared" ca="1" si="329"/>
        <v>-0.33862768688751538</v>
      </c>
      <c r="U1425" s="12">
        <f t="shared" ca="1" si="339"/>
        <v>7900</v>
      </c>
      <c r="V1425" s="14">
        <f t="shared" ca="1" si="340"/>
        <v>-5854.4303797468356</v>
      </c>
      <c r="W1425" s="12">
        <f t="shared" ca="1" si="330"/>
        <v>-3967.0886075949365</v>
      </c>
      <c r="X1425" s="7">
        <f ca="1">AVERAGE(E1425:OFFSET(F1425,-$X$5+1,0))</f>
        <v>11190.1</v>
      </c>
      <c r="Y1425" s="7">
        <f ca="1">AVERAGE(E1425:OFFSET(F1425,-$Y$5+1,0))</f>
        <v>11124.85</v>
      </c>
      <c r="Z1425" s="7">
        <f t="shared" ca="1" si="332"/>
        <v>0</v>
      </c>
    </row>
    <row r="1426" spans="1:26">
      <c r="A1426" s="3" t="s">
        <v>93</v>
      </c>
      <c r="B1426" s="4">
        <v>43763</v>
      </c>
      <c r="C1426" s="3">
        <v>11321</v>
      </c>
      <c r="D1426" s="3">
        <v>11328</v>
      </c>
      <c r="E1426" s="3">
        <v>11264</v>
      </c>
      <c r="F1426" s="3">
        <v>11284</v>
      </c>
      <c r="G1426" s="3">
        <v>61411</v>
      </c>
      <c r="H1426" s="3">
        <v>1.0449999999999999</v>
      </c>
      <c r="I1426" s="2">
        <f t="shared" si="341"/>
        <v>0</v>
      </c>
      <c r="J1426" s="10">
        <f t="shared" si="343"/>
        <v>31</v>
      </c>
      <c r="K1426" s="10">
        <f t="shared" si="342"/>
        <v>-37</v>
      </c>
      <c r="L1426" s="10">
        <f t="shared" ca="1" si="331"/>
        <v>0</v>
      </c>
      <c r="M1426" s="10">
        <f t="shared" ca="1" si="333"/>
        <v>0</v>
      </c>
      <c r="N1426" s="30">
        <f t="shared" ca="1" si="334"/>
        <v>0</v>
      </c>
      <c r="O1426" s="10">
        <f t="shared" ca="1" si="335"/>
        <v>0</v>
      </c>
      <c r="P1426" s="29">
        <f t="shared" ca="1" si="336"/>
        <v>0</v>
      </c>
      <c r="Q1426" s="12">
        <f t="shared" ca="1" si="337"/>
        <v>-454600</v>
      </c>
      <c r="R1426" s="10">
        <f t="shared" ca="1" si="338"/>
        <v>0</v>
      </c>
      <c r="S1426" s="10">
        <f t="shared" ca="1" si="328"/>
        <v>-1.8014438042254455</v>
      </c>
      <c r="T1426" s="14">
        <f t="shared" ca="1" si="329"/>
        <v>-0.33862768688751538</v>
      </c>
      <c r="U1426" s="12">
        <f t="shared" ca="1" si="339"/>
        <v>7900</v>
      </c>
      <c r="V1426" s="14">
        <f t="shared" ca="1" si="340"/>
        <v>-5854.4303797468356</v>
      </c>
      <c r="W1426" s="12">
        <f t="shared" ca="1" si="330"/>
        <v>-3967.0886075949365</v>
      </c>
      <c r="X1426" s="7">
        <f ca="1">AVERAGE(E1426:OFFSET(F1426,-$X$5+1,0))</f>
        <v>11216.7</v>
      </c>
      <c r="Y1426" s="7">
        <f ca="1">AVERAGE(E1426:OFFSET(F1426,-$Y$5+1,0))</f>
        <v>11164.25</v>
      </c>
      <c r="Z1426" s="7">
        <f t="shared" ca="1" si="332"/>
        <v>0</v>
      </c>
    </row>
    <row r="1427" spans="1:26">
      <c r="A1427" s="3" t="s">
        <v>93</v>
      </c>
      <c r="B1427" s="4">
        <v>43766</v>
      </c>
      <c r="C1427" s="3">
        <v>11334</v>
      </c>
      <c r="D1427" s="3">
        <v>11342</v>
      </c>
      <c r="E1427" s="3">
        <v>11291</v>
      </c>
      <c r="F1427" s="3">
        <v>11311</v>
      </c>
      <c r="G1427" s="3">
        <v>52213</v>
      </c>
      <c r="H1427" s="3">
        <v>1.0449999999999999</v>
      </c>
      <c r="I1427" s="2">
        <f t="shared" si="341"/>
        <v>0</v>
      </c>
      <c r="J1427" s="10">
        <f t="shared" si="343"/>
        <v>50</v>
      </c>
      <c r="K1427" s="10">
        <f t="shared" si="342"/>
        <v>-23</v>
      </c>
      <c r="L1427" s="10">
        <f t="shared" ca="1" si="331"/>
        <v>0</v>
      </c>
      <c r="M1427" s="10">
        <f t="shared" ca="1" si="333"/>
        <v>0</v>
      </c>
      <c r="N1427" s="30">
        <f t="shared" ca="1" si="334"/>
        <v>0</v>
      </c>
      <c r="O1427" s="10">
        <f t="shared" ca="1" si="335"/>
        <v>0</v>
      </c>
      <c r="P1427" s="29">
        <f t="shared" ca="1" si="336"/>
        <v>0</v>
      </c>
      <c r="Q1427" s="12">
        <f t="shared" ca="1" si="337"/>
        <v>-454600</v>
      </c>
      <c r="R1427" s="10">
        <f t="shared" ca="1" si="338"/>
        <v>0</v>
      </c>
      <c r="S1427" s="10">
        <f t="shared" ca="1" si="328"/>
        <v>-1.8014438042254455</v>
      </c>
      <c r="T1427" s="14">
        <f t="shared" ca="1" si="329"/>
        <v>-0.33862768688751538</v>
      </c>
      <c r="U1427" s="12">
        <f t="shared" ca="1" si="339"/>
        <v>7900</v>
      </c>
      <c r="V1427" s="14">
        <f t="shared" ca="1" si="340"/>
        <v>-5854.4303797468356</v>
      </c>
      <c r="W1427" s="12">
        <f t="shared" ca="1" si="330"/>
        <v>-3967.0886075949365</v>
      </c>
      <c r="X1427" s="7">
        <f ca="1">AVERAGE(E1427:OFFSET(F1427,-$X$5+1,0))</f>
        <v>11248.1</v>
      </c>
      <c r="Y1427" s="7">
        <f ca="1">AVERAGE(E1427:OFFSET(F1427,-$Y$5+1,0))</f>
        <v>11189.05</v>
      </c>
      <c r="Z1427" s="7">
        <f t="shared" ca="1" si="332"/>
        <v>0</v>
      </c>
    </row>
    <row r="1428" spans="1:26">
      <c r="A1428" s="3" t="s">
        <v>93</v>
      </c>
      <c r="B1428" s="4">
        <v>43767</v>
      </c>
      <c r="C1428" s="3">
        <v>11348</v>
      </c>
      <c r="D1428" s="3">
        <v>11366</v>
      </c>
      <c r="E1428" s="3">
        <v>11293</v>
      </c>
      <c r="F1428" s="3">
        <v>11326</v>
      </c>
      <c r="G1428" s="3">
        <v>80689</v>
      </c>
      <c r="H1428" s="3">
        <v>1.0449999999999999</v>
      </c>
      <c r="I1428" s="2">
        <f t="shared" si="341"/>
        <v>0</v>
      </c>
      <c r="J1428" s="10">
        <f t="shared" si="343"/>
        <v>37</v>
      </c>
      <c r="K1428" s="10">
        <f t="shared" si="342"/>
        <v>-22</v>
      </c>
      <c r="L1428" s="10">
        <f t="shared" ca="1" si="331"/>
        <v>0</v>
      </c>
      <c r="M1428" s="10">
        <f t="shared" ca="1" si="333"/>
        <v>0</v>
      </c>
      <c r="N1428" s="30">
        <f t="shared" ca="1" si="334"/>
        <v>0</v>
      </c>
      <c r="O1428" s="10">
        <f t="shared" ca="1" si="335"/>
        <v>0</v>
      </c>
      <c r="P1428" s="29">
        <f t="shared" ca="1" si="336"/>
        <v>0</v>
      </c>
      <c r="Q1428" s="12">
        <f t="shared" ca="1" si="337"/>
        <v>-454600</v>
      </c>
      <c r="R1428" s="10">
        <f t="shared" ca="1" si="338"/>
        <v>0</v>
      </c>
      <c r="S1428" s="10">
        <f t="shared" ca="1" si="328"/>
        <v>-1.8014438042254455</v>
      </c>
      <c r="T1428" s="14">
        <f t="shared" ca="1" si="329"/>
        <v>-0.33862768688751538</v>
      </c>
      <c r="U1428" s="12">
        <f t="shared" ca="1" si="339"/>
        <v>7900</v>
      </c>
      <c r="V1428" s="14">
        <f t="shared" ca="1" si="340"/>
        <v>-5854.4303797468356</v>
      </c>
      <c r="W1428" s="12">
        <f t="shared" ca="1" si="330"/>
        <v>-3967.0886075949365</v>
      </c>
      <c r="X1428" s="7">
        <f ca="1">AVERAGE(E1428:OFFSET(F1428,-$X$5+1,0))</f>
        <v>11266.7</v>
      </c>
      <c r="Y1428" s="7">
        <f ca="1">AVERAGE(E1428:OFFSET(F1428,-$Y$5+1,0))</f>
        <v>11210.95</v>
      </c>
      <c r="Z1428" s="7">
        <f t="shared" ca="1" si="332"/>
        <v>0</v>
      </c>
    </row>
    <row r="1429" spans="1:26">
      <c r="A1429" s="3" t="s">
        <v>93</v>
      </c>
      <c r="B1429" s="4">
        <v>43768</v>
      </c>
      <c r="C1429" s="3">
        <v>11312</v>
      </c>
      <c r="D1429" s="3">
        <v>11351</v>
      </c>
      <c r="E1429" s="3">
        <v>11295</v>
      </c>
      <c r="F1429" s="3">
        <v>11338</v>
      </c>
      <c r="G1429" s="3">
        <v>66641</v>
      </c>
      <c r="H1429" s="3">
        <v>1.0449999999999999</v>
      </c>
      <c r="I1429" s="2">
        <f t="shared" si="341"/>
        <v>0</v>
      </c>
      <c r="J1429" s="10">
        <f t="shared" si="343"/>
        <v>-14</v>
      </c>
      <c r="K1429" s="10">
        <f t="shared" si="342"/>
        <v>26</v>
      </c>
      <c r="L1429" s="10">
        <f t="shared" ca="1" si="331"/>
        <v>0</v>
      </c>
      <c r="M1429" s="10">
        <f t="shared" ca="1" si="333"/>
        <v>0</v>
      </c>
      <c r="N1429" s="30">
        <f t="shared" ca="1" si="334"/>
        <v>0</v>
      </c>
      <c r="O1429" s="10">
        <f t="shared" ca="1" si="335"/>
        <v>0</v>
      </c>
      <c r="P1429" s="29">
        <f t="shared" ca="1" si="336"/>
        <v>0</v>
      </c>
      <c r="Q1429" s="12">
        <f t="shared" ca="1" si="337"/>
        <v>-454600</v>
      </c>
      <c r="R1429" s="10">
        <f t="shared" ca="1" si="338"/>
        <v>0</v>
      </c>
      <c r="S1429" s="10">
        <f t="shared" ca="1" si="328"/>
        <v>-1.8014438042254455</v>
      </c>
      <c r="T1429" s="14">
        <f t="shared" ca="1" si="329"/>
        <v>-0.33862768688751538</v>
      </c>
      <c r="U1429" s="12">
        <f t="shared" ca="1" si="339"/>
        <v>7900</v>
      </c>
      <c r="V1429" s="14">
        <f t="shared" ca="1" si="340"/>
        <v>-5854.4303797468356</v>
      </c>
      <c r="W1429" s="12">
        <f t="shared" ca="1" si="330"/>
        <v>-3967.0886075949365</v>
      </c>
      <c r="X1429" s="7">
        <f ca="1">AVERAGE(E1429:OFFSET(F1429,-$X$5+1,0))</f>
        <v>11291.7</v>
      </c>
      <c r="Y1429" s="7">
        <f ca="1">AVERAGE(E1429:OFFSET(F1429,-$Y$5+1,0))</f>
        <v>11228.85</v>
      </c>
      <c r="Z1429" s="7">
        <f t="shared" ca="1" si="332"/>
        <v>0</v>
      </c>
    </row>
    <row r="1430" spans="1:26">
      <c r="A1430" s="3" t="s">
        <v>93</v>
      </c>
      <c r="B1430" s="4">
        <v>43769</v>
      </c>
      <c r="C1430" s="3">
        <v>11371</v>
      </c>
      <c r="D1430" s="3">
        <v>11396</v>
      </c>
      <c r="E1430" s="3">
        <v>11341</v>
      </c>
      <c r="F1430" s="3">
        <v>11346</v>
      </c>
      <c r="G1430" s="3">
        <v>74398</v>
      </c>
      <c r="H1430" s="3">
        <v>1.0449999999999999</v>
      </c>
      <c r="I1430" s="2">
        <f t="shared" si="341"/>
        <v>0</v>
      </c>
      <c r="J1430" s="10">
        <f t="shared" si="343"/>
        <v>33</v>
      </c>
      <c r="K1430" s="10">
        <f t="shared" si="342"/>
        <v>-25</v>
      </c>
      <c r="L1430" s="10">
        <f t="shared" ca="1" si="331"/>
        <v>0</v>
      </c>
      <c r="M1430" s="10">
        <f t="shared" ca="1" si="333"/>
        <v>0</v>
      </c>
      <c r="N1430" s="30">
        <f t="shared" ca="1" si="334"/>
        <v>0</v>
      </c>
      <c r="O1430" s="10">
        <f t="shared" ca="1" si="335"/>
        <v>0</v>
      </c>
      <c r="P1430" s="29">
        <f t="shared" ca="1" si="336"/>
        <v>0</v>
      </c>
      <c r="Q1430" s="12">
        <f t="shared" ca="1" si="337"/>
        <v>-454600</v>
      </c>
      <c r="R1430" s="10">
        <f t="shared" ca="1" si="338"/>
        <v>0</v>
      </c>
      <c r="S1430" s="10">
        <f t="shared" ca="1" si="328"/>
        <v>-1.8014438042254455</v>
      </c>
      <c r="T1430" s="14">
        <f t="shared" ca="1" si="329"/>
        <v>-0.33862768688751538</v>
      </c>
      <c r="U1430" s="12">
        <f t="shared" ca="1" si="339"/>
        <v>7900</v>
      </c>
      <c r="V1430" s="14">
        <f t="shared" ca="1" si="340"/>
        <v>-5854.4303797468356</v>
      </c>
      <c r="W1430" s="12">
        <f t="shared" ca="1" si="330"/>
        <v>-3967.0886075949365</v>
      </c>
      <c r="X1430" s="7">
        <f ca="1">AVERAGE(E1430:OFFSET(F1430,-$X$5+1,0))</f>
        <v>11308.9</v>
      </c>
      <c r="Y1430" s="7">
        <f ca="1">AVERAGE(E1430:OFFSET(F1430,-$Y$5+1,0))</f>
        <v>11249.5</v>
      </c>
      <c r="Z1430" s="7">
        <f t="shared" ca="1" si="332"/>
        <v>0</v>
      </c>
    </row>
    <row r="1431" spans="1:26">
      <c r="A1431" s="3" t="s">
        <v>93</v>
      </c>
      <c r="B1431" s="4">
        <v>43770</v>
      </c>
      <c r="C1431" s="3">
        <v>11333</v>
      </c>
      <c r="D1431" s="3">
        <v>11377</v>
      </c>
      <c r="E1431" s="3">
        <v>11316</v>
      </c>
      <c r="F1431" s="3">
        <v>11371</v>
      </c>
      <c r="G1431" s="3">
        <v>60298</v>
      </c>
      <c r="H1431" s="3">
        <v>1.0449999999999999</v>
      </c>
      <c r="I1431" s="2">
        <f t="shared" si="341"/>
        <v>0</v>
      </c>
      <c r="J1431" s="10">
        <f t="shared" si="343"/>
        <v>-13</v>
      </c>
      <c r="K1431" s="10">
        <f t="shared" si="342"/>
        <v>38</v>
      </c>
      <c r="L1431" s="10">
        <f t="shared" ca="1" si="331"/>
        <v>0</v>
      </c>
      <c r="M1431" s="10">
        <f t="shared" ca="1" si="333"/>
        <v>0</v>
      </c>
      <c r="N1431" s="30">
        <f t="shared" ca="1" si="334"/>
        <v>0</v>
      </c>
      <c r="O1431" s="10">
        <f t="shared" ca="1" si="335"/>
        <v>0</v>
      </c>
      <c r="P1431" s="29">
        <f t="shared" ca="1" si="336"/>
        <v>0</v>
      </c>
      <c r="Q1431" s="12">
        <f t="shared" ca="1" si="337"/>
        <v>-454600</v>
      </c>
      <c r="R1431" s="10">
        <f t="shared" ca="1" si="338"/>
        <v>0</v>
      </c>
      <c r="S1431" s="10">
        <f t="shared" ca="1" si="328"/>
        <v>-2.7237067908801178</v>
      </c>
      <c r="T1431" s="14">
        <f t="shared" ca="1" si="329"/>
        <v>-0.44924154506137892</v>
      </c>
      <c r="U1431" s="12">
        <f t="shared" ca="1" si="339"/>
        <v>7900</v>
      </c>
      <c r="V1431" s="14">
        <f t="shared" ca="1" si="340"/>
        <v>-5854.4303797468356</v>
      </c>
      <c r="W1431" s="12">
        <f t="shared" ca="1" si="330"/>
        <v>-3967.0886075949365</v>
      </c>
      <c r="X1431" s="7">
        <f ca="1">AVERAGE(E1431:OFFSET(F1431,-$X$5+1,0))</f>
        <v>11322.8</v>
      </c>
      <c r="Y1431" s="7">
        <f ca="1">AVERAGE(E1431:OFFSET(F1431,-$Y$5+1,0))</f>
        <v>11269.75</v>
      </c>
      <c r="Z1431" s="7">
        <f t="shared" ca="1" si="332"/>
        <v>0</v>
      </c>
    </row>
    <row r="1432" spans="1:26">
      <c r="A1432" s="3" t="s">
        <v>93</v>
      </c>
      <c r="B1432" s="4">
        <v>43773</v>
      </c>
      <c r="C1432" s="3">
        <v>11416</v>
      </c>
      <c r="D1432" s="3">
        <v>11554</v>
      </c>
      <c r="E1432" s="3">
        <v>11413</v>
      </c>
      <c r="F1432" s="3">
        <v>11544</v>
      </c>
      <c r="G1432" s="3">
        <v>102908</v>
      </c>
      <c r="H1432" s="3">
        <v>1.0449999999999999</v>
      </c>
      <c r="I1432" s="2">
        <f t="shared" si="341"/>
        <v>0</v>
      </c>
      <c r="J1432" s="10">
        <f t="shared" si="343"/>
        <v>45</v>
      </c>
      <c r="K1432" s="10">
        <f t="shared" si="342"/>
        <v>128</v>
      </c>
      <c r="L1432" s="10">
        <f t="shared" ca="1" si="331"/>
        <v>0</v>
      </c>
      <c r="M1432" s="10">
        <f t="shared" ca="1" si="333"/>
        <v>0</v>
      </c>
      <c r="N1432" s="30">
        <f t="shared" ca="1" si="334"/>
        <v>0</v>
      </c>
      <c r="O1432" s="10">
        <f t="shared" ca="1" si="335"/>
        <v>0</v>
      </c>
      <c r="P1432" s="29">
        <f t="shared" ca="1" si="336"/>
        <v>0</v>
      </c>
      <c r="Q1432" s="12">
        <f t="shared" ca="1" si="337"/>
        <v>-454600</v>
      </c>
      <c r="R1432" s="10">
        <f t="shared" ca="1" si="338"/>
        <v>0</v>
      </c>
      <c r="S1432" s="10">
        <f t="shared" ca="1" si="328"/>
        <v>-2.5128708016670753</v>
      </c>
      <c r="T1432" s="14">
        <f t="shared" ca="1" si="329"/>
        <v>-0.42792932931333166</v>
      </c>
      <c r="U1432" s="12">
        <f t="shared" ca="1" si="339"/>
        <v>7900</v>
      </c>
      <c r="V1432" s="14">
        <f t="shared" ca="1" si="340"/>
        <v>-5854.4303797468356</v>
      </c>
      <c r="W1432" s="12">
        <f t="shared" ca="1" si="330"/>
        <v>-3967.0886075949365</v>
      </c>
      <c r="X1432" s="7">
        <f ca="1">AVERAGE(E1432:OFFSET(F1432,-$X$5+1,0))</f>
        <v>11358.3</v>
      </c>
      <c r="Y1432" s="7">
        <f ca="1">AVERAGE(E1432:OFFSET(F1432,-$Y$5+1,0))</f>
        <v>11303.2</v>
      </c>
      <c r="Z1432" s="7">
        <f t="shared" ca="1" si="332"/>
        <v>0</v>
      </c>
    </row>
    <row r="1433" spans="1:26">
      <c r="A1433" s="3" t="s">
        <v>93</v>
      </c>
      <c r="B1433" s="4">
        <v>43774</v>
      </c>
      <c r="C1433" s="3">
        <v>11594</v>
      </c>
      <c r="D1433" s="3">
        <v>11650</v>
      </c>
      <c r="E1433" s="3">
        <v>11566</v>
      </c>
      <c r="F1433" s="3">
        <v>11645</v>
      </c>
      <c r="G1433" s="3">
        <v>85555</v>
      </c>
      <c r="H1433" s="3">
        <v>1.0449999999999999</v>
      </c>
      <c r="I1433" s="2">
        <f t="shared" si="341"/>
        <v>0</v>
      </c>
      <c r="J1433" s="10">
        <f t="shared" si="343"/>
        <v>50</v>
      </c>
      <c r="K1433" s="10">
        <f t="shared" si="342"/>
        <v>51</v>
      </c>
      <c r="L1433" s="10">
        <f t="shared" ca="1" si="331"/>
        <v>0</v>
      </c>
      <c r="M1433" s="10">
        <f t="shared" ca="1" si="333"/>
        <v>0</v>
      </c>
      <c r="N1433" s="30">
        <f t="shared" ca="1" si="334"/>
        <v>0</v>
      </c>
      <c r="O1433" s="10">
        <f t="shared" ca="1" si="335"/>
        <v>0</v>
      </c>
      <c r="P1433" s="29">
        <f t="shared" ca="1" si="336"/>
        <v>0</v>
      </c>
      <c r="Q1433" s="12">
        <f t="shared" ca="1" si="337"/>
        <v>-454600</v>
      </c>
      <c r="R1433" s="10">
        <f t="shared" ca="1" si="338"/>
        <v>0</v>
      </c>
      <c r="S1433" s="10">
        <f t="shared" ca="1" si="328"/>
        <v>-2.8757048296151018</v>
      </c>
      <c r="T1433" s="14">
        <f t="shared" ca="1" si="329"/>
        <v>-0.47159479193430293</v>
      </c>
      <c r="U1433" s="12">
        <f t="shared" ca="1" si="339"/>
        <v>7900</v>
      </c>
      <c r="V1433" s="14">
        <f t="shared" ca="1" si="340"/>
        <v>-5854.4303797468356</v>
      </c>
      <c r="W1433" s="12">
        <f t="shared" ca="1" si="330"/>
        <v>-3967.0886075949365</v>
      </c>
      <c r="X1433" s="7">
        <f ca="1">AVERAGE(E1433:OFFSET(F1433,-$X$5+1,0))</f>
        <v>11417.5</v>
      </c>
      <c r="Y1433" s="7">
        <f ca="1">AVERAGE(E1433:OFFSET(F1433,-$Y$5+1,0))</f>
        <v>11342.1</v>
      </c>
      <c r="Z1433" s="7">
        <f t="shared" ca="1" si="332"/>
        <v>0</v>
      </c>
    </row>
    <row r="1434" spans="1:26">
      <c r="A1434" s="3" t="s">
        <v>93</v>
      </c>
      <c r="B1434" s="4">
        <v>43775</v>
      </c>
      <c r="C1434" s="3">
        <v>11644</v>
      </c>
      <c r="D1434" s="3">
        <v>11675</v>
      </c>
      <c r="E1434" s="3">
        <v>11600</v>
      </c>
      <c r="F1434" s="3">
        <v>11653</v>
      </c>
      <c r="G1434" s="3">
        <v>89714</v>
      </c>
      <c r="H1434" s="3">
        <v>1.0449999999999999</v>
      </c>
      <c r="I1434" s="2">
        <f t="shared" si="341"/>
        <v>0</v>
      </c>
      <c r="J1434" s="10">
        <f t="shared" si="343"/>
        <v>-1</v>
      </c>
      <c r="K1434" s="10">
        <f t="shared" si="342"/>
        <v>9</v>
      </c>
      <c r="L1434" s="10">
        <f t="shared" ca="1" si="331"/>
        <v>0</v>
      </c>
      <c r="M1434" s="10">
        <f t="shared" ca="1" si="333"/>
        <v>0</v>
      </c>
      <c r="N1434" s="30">
        <f t="shared" ca="1" si="334"/>
        <v>0</v>
      </c>
      <c r="O1434" s="10">
        <f t="shared" ca="1" si="335"/>
        <v>0</v>
      </c>
      <c r="P1434" s="29">
        <f t="shared" ca="1" si="336"/>
        <v>0</v>
      </c>
      <c r="Q1434" s="12">
        <f t="shared" ca="1" si="337"/>
        <v>-454600</v>
      </c>
      <c r="R1434" s="10">
        <f t="shared" ca="1" si="338"/>
        <v>0</v>
      </c>
      <c r="S1434" s="10">
        <f t="shared" ca="1" si="328"/>
        <v>-3.2483451826428045</v>
      </c>
      <c r="T1434" s="14">
        <f t="shared" ca="1" si="329"/>
        <v>-0.51642237160345561</v>
      </c>
      <c r="U1434" s="12">
        <f t="shared" ca="1" si="339"/>
        <v>7900</v>
      </c>
      <c r="V1434" s="14">
        <f t="shared" ca="1" si="340"/>
        <v>-5854.4303797468356</v>
      </c>
      <c r="W1434" s="12">
        <f t="shared" ca="1" si="330"/>
        <v>-3967.0886075949365</v>
      </c>
      <c r="X1434" s="7">
        <f ca="1">AVERAGE(E1434:OFFSET(F1434,-$X$5+1,0))</f>
        <v>11479.5</v>
      </c>
      <c r="Y1434" s="7">
        <f ca="1">AVERAGE(E1434:OFFSET(F1434,-$Y$5+1,0))</f>
        <v>11385.6</v>
      </c>
      <c r="Z1434" s="7">
        <f t="shared" ca="1" si="332"/>
        <v>0</v>
      </c>
    </row>
    <row r="1435" spans="1:26">
      <c r="A1435" s="3" t="s">
        <v>93</v>
      </c>
      <c r="B1435" s="4">
        <v>43776</v>
      </c>
      <c r="C1435" s="3">
        <v>11636</v>
      </c>
      <c r="D1435" s="3">
        <v>11637</v>
      </c>
      <c r="E1435" s="3">
        <v>11558</v>
      </c>
      <c r="F1435" s="3">
        <v>11596</v>
      </c>
      <c r="G1435" s="3">
        <v>98305</v>
      </c>
      <c r="H1435" s="3">
        <v>1.0449999999999999</v>
      </c>
      <c r="I1435" s="2">
        <f t="shared" si="341"/>
        <v>0</v>
      </c>
      <c r="J1435" s="10">
        <f t="shared" si="343"/>
        <v>-17</v>
      </c>
      <c r="K1435" s="10">
        <f t="shared" si="342"/>
        <v>-40</v>
      </c>
      <c r="L1435" s="10">
        <f t="shared" ca="1" si="331"/>
        <v>0</v>
      </c>
      <c r="M1435" s="10">
        <f t="shared" ca="1" si="333"/>
        <v>0</v>
      </c>
      <c r="N1435" s="30">
        <f t="shared" ca="1" si="334"/>
        <v>0</v>
      </c>
      <c r="O1435" s="10">
        <f t="shared" ca="1" si="335"/>
        <v>0</v>
      </c>
      <c r="P1435" s="29">
        <f t="shared" ca="1" si="336"/>
        <v>0</v>
      </c>
      <c r="Q1435" s="12">
        <f t="shared" ca="1" si="337"/>
        <v>-454600</v>
      </c>
      <c r="R1435" s="10">
        <f t="shared" ca="1" si="338"/>
        <v>0</v>
      </c>
      <c r="S1435" s="10">
        <f t="shared" ca="1" si="328"/>
        <v>-2.5864182397646482</v>
      </c>
      <c r="T1435" s="14">
        <f t="shared" ca="1" si="329"/>
        <v>-0.4368430112454928</v>
      </c>
      <c r="U1435" s="12">
        <f t="shared" ca="1" si="339"/>
        <v>7900</v>
      </c>
      <c r="V1435" s="14">
        <f t="shared" ca="1" si="340"/>
        <v>-5854.4303797468356</v>
      </c>
      <c r="W1435" s="12">
        <f t="shared" ca="1" si="330"/>
        <v>-3967.0886075949365</v>
      </c>
      <c r="X1435" s="7">
        <f ca="1">AVERAGE(E1435:OFFSET(F1435,-$X$5+1,0))</f>
        <v>11526.2</v>
      </c>
      <c r="Y1435" s="7">
        <f ca="1">AVERAGE(E1435:OFFSET(F1435,-$Y$5+1,0))</f>
        <v>11417.55</v>
      </c>
      <c r="Z1435" s="7">
        <f t="shared" ca="1" si="332"/>
        <v>0</v>
      </c>
    </row>
    <row r="1436" spans="1:26">
      <c r="A1436" s="3" t="s">
        <v>93</v>
      </c>
      <c r="B1436" s="4">
        <v>43777</v>
      </c>
      <c r="C1436" s="3">
        <v>11646</v>
      </c>
      <c r="D1436" s="3">
        <v>11648</v>
      </c>
      <c r="E1436" s="3">
        <v>11554</v>
      </c>
      <c r="F1436" s="3">
        <v>11573</v>
      </c>
      <c r="G1436" s="3">
        <v>93120</v>
      </c>
      <c r="H1436" s="3">
        <v>1.0449999999999999</v>
      </c>
      <c r="I1436" s="2">
        <f t="shared" si="341"/>
        <v>0</v>
      </c>
      <c r="J1436" s="10">
        <f t="shared" si="343"/>
        <v>50</v>
      </c>
      <c r="K1436" s="10">
        <f t="shared" si="342"/>
        <v>-73</v>
      </c>
      <c r="L1436" s="10">
        <f t="shared" ca="1" si="331"/>
        <v>0</v>
      </c>
      <c r="M1436" s="10">
        <f t="shared" ca="1" si="333"/>
        <v>0</v>
      </c>
      <c r="N1436" s="30">
        <f t="shared" ca="1" si="334"/>
        <v>0</v>
      </c>
      <c r="O1436" s="10">
        <f t="shared" ca="1" si="335"/>
        <v>0</v>
      </c>
      <c r="P1436" s="29">
        <f t="shared" ca="1" si="336"/>
        <v>0</v>
      </c>
      <c r="Q1436" s="12">
        <f t="shared" ca="1" si="337"/>
        <v>-454600</v>
      </c>
      <c r="R1436" s="10">
        <f t="shared" ca="1" si="338"/>
        <v>0</v>
      </c>
      <c r="S1436" s="10">
        <f t="shared" ca="1" si="328"/>
        <v>-2.6991909781809267</v>
      </c>
      <c r="T1436" s="14">
        <f t="shared" ca="1" si="329"/>
        <v>-0.45054188065929762</v>
      </c>
      <c r="U1436" s="12">
        <f t="shared" ca="1" si="339"/>
        <v>7900</v>
      </c>
      <c r="V1436" s="14">
        <f t="shared" ca="1" si="340"/>
        <v>-5854.4303797468356</v>
      </c>
      <c r="W1436" s="12">
        <f t="shared" ca="1" si="330"/>
        <v>-3967.0886075949365</v>
      </c>
      <c r="X1436" s="7">
        <f ca="1">AVERAGE(E1436:OFFSET(F1436,-$X$5+1,0))</f>
        <v>11570.2</v>
      </c>
      <c r="Y1436" s="7">
        <f ca="1">AVERAGE(E1436:OFFSET(F1436,-$Y$5+1,0))</f>
        <v>11446.5</v>
      </c>
      <c r="Z1436" s="7">
        <f t="shared" ca="1" si="332"/>
        <v>0</v>
      </c>
    </row>
    <row r="1437" spans="1:26">
      <c r="A1437" s="3" t="s">
        <v>93</v>
      </c>
      <c r="B1437" s="4">
        <v>43780</v>
      </c>
      <c r="C1437" s="3">
        <v>11577</v>
      </c>
      <c r="D1437" s="3">
        <v>11581</v>
      </c>
      <c r="E1437" s="3">
        <v>11424</v>
      </c>
      <c r="F1437" s="3">
        <v>11437</v>
      </c>
      <c r="G1437" s="3">
        <v>115934</v>
      </c>
      <c r="H1437" s="3">
        <v>1.0449999999999999</v>
      </c>
      <c r="I1437" s="2">
        <f t="shared" si="341"/>
        <v>0</v>
      </c>
      <c r="J1437" s="10">
        <f t="shared" si="343"/>
        <v>4</v>
      </c>
      <c r="K1437" s="10">
        <f t="shared" si="342"/>
        <v>-140</v>
      </c>
      <c r="L1437" s="10">
        <f t="shared" ca="1" si="331"/>
        <v>0</v>
      </c>
      <c r="M1437" s="10">
        <f t="shared" ca="1" si="333"/>
        <v>0</v>
      </c>
      <c r="N1437" s="30">
        <f t="shared" ca="1" si="334"/>
        <v>0</v>
      </c>
      <c r="O1437" s="10">
        <f t="shared" ca="1" si="335"/>
        <v>0</v>
      </c>
      <c r="P1437" s="29">
        <f t="shared" ca="1" si="336"/>
        <v>0</v>
      </c>
      <c r="Q1437" s="12">
        <f t="shared" ca="1" si="337"/>
        <v>-454600</v>
      </c>
      <c r="R1437" s="10">
        <f t="shared" ca="1" si="338"/>
        <v>0</v>
      </c>
      <c r="S1437" s="10">
        <f t="shared" ca="1" si="328"/>
        <v>-2.2873253248345184</v>
      </c>
      <c r="T1437" s="14">
        <f t="shared" ca="1" si="329"/>
        <v>-0.40162647342825719</v>
      </c>
      <c r="U1437" s="12">
        <f t="shared" ca="1" si="339"/>
        <v>7900</v>
      </c>
      <c r="V1437" s="14">
        <f t="shared" ca="1" si="340"/>
        <v>-5854.4303797468356</v>
      </c>
      <c r="W1437" s="12">
        <f t="shared" ca="1" si="330"/>
        <v>-3967.0886075949365</v>
      </c>
      <c r="X1437" s="7">
        <f ca="1">AVERAGE(E1437:OFFSET(F1437,-$X$5+1,0))</f>
        <v>11560.6</v>
      </c>
      <c r="Y1437" s="7">
        <f ca="1">AVERAGE(E1437:OFFSET(F1437,-$Y$5+1,0))</f>
        <v>11459.45</v>
      </c>
      <c r="Z1437" s="7">
        <f t="shared" ca="1" si="332"/>
        <v>0</v>
      </c>
    </row>
    <row r="1438" spans="1:26">
      <c r="A1438" s="3" t="s">
        <v>93</v>
      </c>
      <c r="B1438" s="4">
        <v>43781</v>
      </c>
      <c r="C1438" s="3">
        <v>11483</v>
      </c>
      <c r="D1438" s="3">
        <v>11528</v>
      </c>
      <c r="E1438" s="3">
        <v>11466</v>
      </c>
      <c r="F1438" s="3">
        <v>11523</v>
      </c>
      <c r="G1438" s="3">
        <v>77144</v>
      </c>
      <c r="H1438" s="3">
        <v>1.0449999999999999</v>
      </c>
      <c r="I1438" s="2">
        <f t="shared" si="341"/>
        <v>0</v>
      </c>
      <c r="J1438" s="10">
        <f t="shared" si="343"/>
        <v>46</v>
      </c>
      <c r="K1438" s="10">
        <f t="shared" si="342"/>
        <v>40</v>
      </c>
      <c r="L1438" s="10">
        <f t="shared" ca="1" si="331"/>
        <v>0</v>
      </c>
      <c r="M1438" s="10">
        <f t="shared" ca="1" si="333"/>
        <v>0</v>
      </c>
      <c r="N1438" s="30">
        <f t="shared" ca="1" si="334"/>
        <v>0</v>
      </c>
      <c r="O1438" s="10">
        <f t="shared" ca="1" si="335"/>
        <v>0</v>
      </c>
      <c r="P1438" s="29">
        <f t="shared" ca="1" si="336"/>
        <v>0</v>
      </c>
      <c r="Q1438" s="12">
        <f t="shared" ca="1" si="337"/>
        <v>-454600</v>
      </c>
      <c r="R1438" s="10">
        <f t="shared" ca="1" si="338"/>
        <v>0</v>
      </c>
      <c r="S1438" s="10">
        <f t="shared" ca="1" si="328"/>
        <v>-2.4883549889678842</v>
      </c>
      <c r="T1438" s="14">
        <f t="shared" ca="1" si="329"/>
        <v>-0.42944303974346276</v>
      </c>
      <c r="U1438" s="12">
        <f t="shared" ca="1" si="339"/>
        <v>7900</v>
      </c>
      <c r="V1438" s="14">
        <f t="shared" ca="1" si="340"/>
        <v>-5854.4303797468356</v>
      </c>
      <c r="W1438" s="12">
        <f t="shared" ca="1" si="330"/>
        <v>-3967.0886075949365</v>
      </c>
      <c r="X1438" s="7">
        <f ca="1">AVERAGE(E1438:OFFSET(F1438,-$X$5+1,0))</f>
        <v>11538.4</v>
      </c>
      <c r="Y1438" s="7">
        <f ca="1">AVERAGE(E1438:OFFSET(F1438,-$Y$5+1,0))</f>
        <v>11477.95</v>
      </c>
      <c r="Z1438" s="7">
        <f t="shared" ca="1" si="332"/>
        <v>0</v>
      </c>
    </row>
    <row r="1439" spans="1:26">
      <c r="A1439" s="3" t="s">
        <v>93</v>
      </c>
      <c r="B1439" s="4">
        <v>43782</v>
      </c>
      <c r="C1439" s="3">
        <v>11463</v>
      </c>
      <c r="D1439" s="3">
        <v>11494</v>
      </c>
      <c r="E1439" s="3">
        <v>11428</v>
      </c>
      <c r="F1439" s="3">
        <v>11466</v>
      </c>
      <c r="G1439" s="3">
        <v>104040</v>
      </c>
      <c r="H1439" s="3">
        <v>1.0449999999999999</v>
      </c>
      <c r="I1439" s="2">
        <f t="shared" si="341"/>
        <v>0</v>
      </c>
      <c r="J1439" s="10">
        <f t="shared" si="343"/>
        <v>-60</v>
      </c>
      <c r="K1439" s="10">
        <f t="shared" si="342"/>
        <v>3</v>
      </c>
      <c r="L1439" s="10">
        <f t="shared" ca="1" si="331"/>
        <v>0</v>
      </c>
      <c r="M1439" s="10">
        <f t="shared" ca="1" si="333"/>
        <v>0</v>
      </c>
      <c r="N1439" s="30">
        <f t="shared" ca="1" si="334"/>
        <v>0</v>
      </c>
      <c r="O1439" s="10">
        <f t="shared" ca="1" si="335"/>
        <v>0</v>
      </c>
      <c r="P1439" s="29">
        <f t="shared" ca="1" si="336"/>
        <v>0</v>
      </c>
      <c r="Q1439" s="12">
        <f t="shared" ca="1" si="337"/>
        <v>-454600</v>
      </c>
      <c r="R1439" s="10">
        <f t="shared" ca="1" si="338"/>
        <v>0</v>
      </c>
      <c r="S1439" s="10">
        <f t="shared" ca="1" si="328"/>
        <v>-2.579063495954891</v>
      </c>
      <c r="T1439" s="14">
        <f t="shared" ca="1" si="329"/>
        <v>-0.44056242044349825</v>
      </c>
      <c r="U1439" s="12">
        <f t="shared" ca="1" si="339"/>
        <v>7900</v>
      </c>
      <c r="V1439" s="14">
        <f t="shared" ca="1" si="340"/>
        <v>-5854.4303797468356</v>
      </c>
      <c r="W1439" s="12">
        <f t="shared" ca="1" si="330"/>
        <v>-3967.0886075949365</v>
      </c>
      <c r="X1439" s="7">
        <f ca="1">AVERAGE(E1439:OFFSET(F1439,-$X$5+1,0))</f>
        <v>11502.5</v>
      </c>
      <c r="Y1439" s="7">
        <f ca="1">AVERAGE(E1439:OFFSET(F1439,-$Y$5+1,0))</f>
        <v>11491</v>
      </c>
      <c r="Z1439" s="7">
        <f t="shared" ca="1" si="332"/>
        <v>0</v>
      </c>
    </row>
    <row r="1440" spans="1:26">
      <c r="A1440" s="3" t="s">
        <v>93</v>
      </c>
      <c r="B1440" s="4">
        <v>43783</v>
      </c>
      <c r="C1440" s="3">
        <v>11493</v>
      </c>
      <c r="D1440" s="3">
        <v>11496</v>
      </c>
      <c r="E1440" s="3">
        <v>11413</v>
      </c>
      <c r="F1440" s="3">
        <v>11456</v>
      </c>
      <c r="G1440" s="3">
        <v>106892</v>
      </c>
      <c r="H1440" s="3">
        <v>1.0449999999999999</v>
      </c>
      <c r="I1440" s="2">
        <f t="shared" si="341"/>
        <v>0</v>
      </c>
      <c r="J1440" s="10">
        <f t="shared" si="343"/>
        <v>27</v>
      </c>
      <c r="K1440" s="10">
        <f t="shared" si="342"/>
        <v>-37</v>
      </c>
      <c r="L1440" s="10">
        <f t="shared" ca="1" si="331"/>
        <v>-1</v>
      </c>
      <c r="M1440" s="10">
        <f t="shared" ca="1" si="333"/>
        <v>0</v>
      </c>
      <c r="N1440" s="30">
        <f t="shared" ca="1" si="334"/>
        <v>0</v>
      </c>
      <c r="O1440" s="10">
        <f t="shared" ca="1" si="335"/>
        <v>0</v>
      </c>
      <c r="P1440" s="29">
        <f t="shared" ca="1" si="336"/>
        <v>0</v>
      </c>
      <c r="Q1440" s="12">
        <f t="shared" ca="1" si="337"/>
        <v>-454600</v>
      </c>
      <c r="R1440" s="10">
        <f t="shared" ca="1" si="338"/>
        <v>0</v>
      </c>
      <c r="S1440" s="10">
        <f t="shared" ca="1" si="328"/>
        <v>-2.579063495954891</v>
      </c>
      <c r="T1440" s="14">
        <f t="shared" ca="1" si="329"/>
        <v>-0.44688487640365088</v>
      </c>
      <c r="U1440" s="12">
        <f t="shared" ca="1" si="339"/>
        <v>7900</v>
      </c>
      <c r="V1440" s="14">
        <f t="shared" ca="1" si="340"/>
        <v>-5854.4303797468356</v>
      </c>
      <c r="W1440" s="12">
        <f t="shared" ca="1" si="330"/>
        <v>-3967.0886075949365</v>
      </c>
      <c r="X1440" s="7">
        <f ca="1">AVERAGE(E1440:OFFSET(F1440,-$X$5+1,0))</f>
        <v>11474</v>
      </c>
      <c r="Y1440" s="7">
        <f ca="1">AVERAGE(E1440:OFFSET(F1440,-$Y$5+1,0))</f>
        <v>11500.1</v>
      </c>
      <c r="Z1440" s="7">
        <f t="shared" ca="1" si="332"/>
        <v>-1</v>
      </c>
    </row>
    <row r="1441" spans="1:26">
      <c r="A1441" s="3" t="s">
        <v>93</v>
      </c>
      <c r="B1441" s="4">
        <v>43784</v>
      </c>
      <c r="C1441" s="3">
        <v>11485</v>
      </c>
      <c r="D1441" s="3">
        <v>11563</v>
      </c>
      <c r="E1441" s="3">
        <v>11480</v>
      </c>
      <c r="F1441" s="3">
        <v>11532</v>
      </c>
      <c r="G1441" s="3">
        <v>107490</v>
      </c>
      <c r="H1441" s="3">
        <v>1.0449999999999999</v>
      </c>
      <c r="I1441" s="2">
        <f t="shared" si="341"/>
        <v>0</v>
      </c>
      <c r="J1441" s="10">
        <f t="shared" si="343"/>
        <v>29</v>
      </c>
      <c r="K1441" s="10">
        <f t="shared" si="342"/>
        <v>47</v>
      </c>
      <c r="L1441" s="10">
        <f t="shared" ca="1" si="331"/>
        <v>0</v>
      </c>
      <c r="M1441" s="10">
        <f t="shared" ca="1" si="333"/>
        <v>-1</v>
      </c>
      <c r="N1441" s="30">
        <f t="shared" ca="1" si="334"/>
        <v>0</v>
      </c>
      <c r="O1441" s="10">
        <f t="shared" ca="1" si="335"/>
        <v>2297000</v>
      </c>
      <c r="P1441" s="29">
        <f t="shared" ca="1" si="336"/>
        <v>-9900</v>
      </c>
      <c r="Q1441" s="12">
        <f t="shared" ca="1" si="337"/>
        <v>-464500</v>
      </c>
      <c r="R1441" s="10">
        <f t="shared" ca="1" si="338"/>
        <v>-0.43099695254680015</v>
      </c>
      <c r="S1441" s="10">
        <f t="shared" ca="1" si="328"/>
        <v>-2.8217700416768814</v>
      </c>
      <c r="T1441" s="14">
        <f t="shared" ca="1" si="329"/>
        <v>-0.47662647990142665</v>
      </c>
      <c r="U1441" s="12">
        <f t="shared" ca="1" si="339"/>
        <v>7900</v>
      </c>
      <c r="V1441" s="14">
        <f t="shared" ca="1" si="340"/>
        <v>-5979.7468354430375</v>
      </c>
      <c r="W1441" s="12">
        <f t="shared" ca="1" si="330"/>
        <v>-3967.0886075949365</v>
      </c>
      <c r="X1441" s="7">
        <f ca="1">AVERAGE(E1441:OFFSET(F1441,-$X$5+1,0))</f>
        <v>11462.5</v>
      </c>
      <c r="Y1441" s="7">
        <f ca="1">AVERAGE(E1441:OFFSET(F1441,-$Y$5+1,0))</f>
        <v>11516.35</v>
      </c>
      <c r="Z1441" s="7">
        <f t="shared" ca="1" si="332"/>
        <v>0</v>
      </c>
    </row>
    <row r="1442" spans="1:26">
      <c r="A1442" s="3" t="s">
        <v>93</v>
      </c>
      <c r="B1442" s="4">
        <v>43787</v>
      </c>
      <c r="C1442" s="3">
        <v>11533</v>
      </c>
      <c r="D1442" s="3">
        <v>11594</v>
      </c>
      <c r="E1442" s="3">
        <v>11507</v>
      </c>
      <c r="F1442" s="3">
        <v>11593</v>
      </c>
      <c r="G1442" s="3">
        <v>107411</v>
      </c>
      <c r="H1442" s="3">
        <v>1.0449999999999999</v>
      </c>
      <c r="I1442" s="2">
        <f t="shared" si="341"/>
        <v>0</v>
      </c>
      <c r="J1442" s="10">
        <f t="shared" si="343"/>
        <v>1</v>
      </c>
      <c r="K1442" s="10">
        <f t="shared" si="342"/>
        <v>60</v>
      </c>
      <c r="L1442" s="10">
        <f t="shared" ca="1" si="331"/>
        <v>0</v>
      </c>
      <c r="M1442" s="10">
        <f t="shared" ca="1" si="333"/>
        <v>-1</v>
      </c>
      <c r="N1442" s="30">
        <f t="shared" ca="1" si="334"/>
        <v>0</v>
      </c>
      <c r="O1442" s="10">
        <f t="shared" ca="1" si="335"/>
        <v>2297000</v>
      </c>
      <c r="P1442" s="29">
        <f t="shared" ca="1" si="336"/>
        <v>-12200</v>
      </c>
      <c r="Q1442" s="12">
        <f t="shared" ca="1" si="337"/>
        <v>-476700</v>
      </c>
      <c r="R1442" s="10">
        <f t="shared" ca="1" si="338"/>
        <v>-0.5311275576839356</v>
      </c>
      <c r="S1442" s="10">
        <f t="shared" ca="1" si="328"/>
        <v>-3.1208629566070116</v>
      </c>
      <c r="T1442" s="14">
        <f t="shared" ca="1" si="329"/>
        <v>-0.51260052044671134</v>
      </c>
      <c r="U1442" s="12">
        <f t="shared" ca="1" si="339"/>
        <v>7900</v>
      </c>
      <c r="V1442" s="14">
        <f t="shared" ca="1" si="340"/>
        <v>-6134.1772151898731</v>
      </c>
      <c r="W1442" s="12">
        <f t="shared" ca="1" si="330"/>
        <v>-3967.0886075949365</v>
      </c>
      <c r="X1442" s="7">
        <f ca="1">AVERAGE(E1442:OFFSET(F1442,-$X$5+1,0))</f>
        <v>11486.4</v>
      </c>
      <c r="Y1442" s="7">
        <f ca="1">AVERAGE(E1442:OFFSET(F1442,-$Y$5+1,0))</f>
        <v>11523.5</v>
      </c>
      <c r="Z1442" s="7">
        <f t="shared" ca="1" si="332"/>
        <v>0</v>
      </c>
    </row>
    <row r="1443" spans="1:26">
      <c r="A1443" s="3" t="s">
        <v>93</v>
      </c>
      <c r="B1443" s="4">
        <v>43788</v>
      </c>
      <c r="C1443" s="3">
        <v>11574</v>
      </c>
      <c r="D1443" s="3">
        <v>11654</v>
      </c>
      <c r="E1443" s="3">
        <v>11563</v>
      </c>
      <c r="F1443" s="3">
        <v>11644</v>
      </c>
      <c r="G1443" s="3">
        <v>96240</v>
      </c>
      <c r="H1443" s="3">
        <v>1.0449999999999999</v>
      </c>
      <c r="I1443" s="2">
        <f t="shared" si="341"/>
        <v>0</v>
      </c>
      <c r="J1443" s="10">
        <f t="shared" si="343"/>
        <v>-19</v>
      </c>
      <c r="K1443" s="10">
        <f t="shared" si="342"/>
        <v>70</v>
      </c>
      <c r="L1443" s="10">
        <f t="shared" ca="1" si="331"/>
        <v>0</v>
      </c>
      <c r="M1443" s="10">
        <f t="shared" ca="1" si="333"/>
        <v>-1</v>
      </c>
      <c r="N1443" s="30">
        <f t="shared" ca="1" si="334"/>
        <v>0</v>
      </c>
      <c r="O1443" s="10">
        <f t="shared" ca="1" si="335"/>
        <v>2297000</v>
      </c>
      <c r="P1443" s="29">
        <f t="shared" ca="1" si="336"/>
        <v>-10200</v>
      </c>
      <c r="Q1443" s="12">
        <f t="shared" ca="1" si="337"/>
        <v>-486900</v>
      </c>
      <c r="R1443" s="10">
        <f t="shared" ca="1" si="338"/>
        <v>-0.4440574662603396</v>
      </c>
      <c r="S1443" s="10">
        <f t="shared" ca="1" si="328"/>
        <v>-3.3709242461387596</v>
      </c>
      <c r="T1443" s="14">
        <f t="shared" ca="1" si="329"/>
        <v>-0.54272976116411542</v>
      </c>
      <c r="U1443" s="12">
        <f t="shared" ca="1" si="339"/>
        <v>7900</v>
      </c>
      <c r="V1443" s="14">
        <f t="shared" ca="1" si="340"/>
        <v>-6263.2911392405067</v>
      </c>
      <c r="W1443" s="12">
        <f t="shared" ca="1" si="330"/>
        <v>-3967.0886075949365</v>
      </c>
      <c r="X1443" s="7">
        <f ca="1">AVERAGE(E1443:OFFSET(F1443,-$X$5+1,0))</f>
        <v>11508.2</v>
      </c>
      <c r="Y1443" s="7">
        <f ca="1">AVERAGE(E1443:OFFSET(F1443,-$Y$5+1,0))</f>
        <v>11523.3</v>
      </c>
      <c r="Z1443" s="7">
        <f t="shared" ca="1" si="332"/>
        <v>0</v>
      </c>
    </row>
    <row r="1444" spans="1:26">
      <c r="A1444" s="3" t="s">
        <v>93</v>
      </c>
      <c r="B1444" s="4">
        <v>43789</v>
      </c>
      <c r="C1444" s="3">
        <v>11621</v>
      </c>
      <c r="D1444" s="3">
        <v>11644</v>
      </c>
      <c r="E1444" s="3">
        <v>11594</v>
      </c>
      <c r="F1444" s="3">
        <v>11607</v>
      </c>
      <c r="G1444" s="3">
        <v>62136</v>
      </c>
      <c r="H1444" s="3">
        <v>1.0449999999999999</v>
      </c>
      <c r="I1444" s="2">
        <f t="shared" si="341"/>
        <v>1</v>
      </c>
      <c r="J1444" s="10">
        <f t="shared" si="343"/>
        <v>-23</v>
      </c>
      <c r="K1444" s="10">
        <f t="shared" si="342"/>
        <v>-14</v>
      </c>
      <c r="L1444" s="10">
        <f t="shared" ca="1" si="331"/>
        <v>1</v>
      </c>
      <c r="M1444" s="10">
        <f t="shared" si="333"/>
        <v>0</v>
      </c>
      <c r="N1444" s="30">
        <f t="shared" si="334"/>
        <v>0</v>
      </c>
      <c r="O1444" s="10">
        <f t="shared" si="335"/>
        <v>0</v>
      </c>
      <c r="P1444" s="29">
        <f t="shared" ca="1" si="336"/>
        <v>4100</v>
      </c>
      <c r="Q1444" s="12">
        <f t="shared" ca="1" si="337"/>
        <v>-482800</v>
      </c>
      <c r="R1444" s="10">
        <f t="shared" ca="1" si="338"/>
        <v>0.17849368741837179</v>
      </c>
      <c r="S1444" s="10">
        <f t="shared" ca="1" si="328"/>
        <v>-3.2704094140720765</v>
      </c>
      <c r="T1444" s="14">
        <f t="shared" ca="1" si="329"/>
        <v>-0.53022956055680437</v>
      </c>
      <c r="U1444" s="12">
        <f t="shared" ca="1" si="339"/>
        <v>7900</v>
      </c>
      <c r="V1444" s="14">
        <f t="shared" ca="1" si="340"/>
        <v>-6211.3924050632913</v>
      </c>
      <c r="W1444" s="12">
        <f t="shared" ca="1" si="330"/>
        <v>-3967.0886075949365</v>
      </c>
      <c r="X1444" s="7">
        <f ca="1">AVERAGE(E1444:OFFSET(F1444,-$X$5+1,0))</f>
        <v>11538.9</v>
      </c>
      <c r="Y1444" s="7">
        <f ca="1">AVERAGE(E1444:OFFSET(F1444,-$Y$5+1,0))</f>
        <v>11520.7</v>
      </c>
      <c r="Z1444" s="7">
        <f t="shared" ca="1" si="332"/>
        <v>1</v>
      </c>
    </row>
    <row r="1445" spans="1:26">
      <c r="A1445" s="3" t="s">
        <v>94</v>
      </c>
      <c r="B1445" s="4">
        <v>43790</v>
      </c>
      <c r="C1445" s="3">
        <v>11529</v>
      </c>
      <c r="D1445" s="3">
        <v>11551</v>
      </c>
      <c r="E1445" s="3">
        <v>11450</v>
      </c>
      <c r="F1445" s="3">
        <v>11544</v>
      </c>
      <c r="G1445" s="3">
        <v>135473</v>
      </c>
      <c r="H1445" s="3">
        <v>1.0449999999999999</v>
      </c>
      <c r="I1445" s="2">
        <f t="shared" si="341"/>
        <v>0</v>
      </c>
      <c r="J1445" s="10">
        <f t="shared" si="343"/>
        <v>-78</v>
      </c>
      <c r="K1445" s="10">
        <f t="shared" si="342"/>
        <v>15</v>
      </c>
      <c r="L1445" s="10">
        <f t="shared" ca="1" si="331"/>
        <v>0</v>
      </c>
      <c r="M1445" s="10">
        <f t="shared" ca="1" si="333"/>
        <v>1</v>
      </c>
      <c r="N1445" s="30">
        <f t="shared" ca="1" si="334"/>
        <v>2305800</v>
      </c>
      <c r="O1445" s="10">
        <f t="shared" ca="1" si="335"/>
        <v>2305800</v>
      </c>
      <c r="P1445" s="29">
        <f t="shared" ca="1" si="336"/>
        <v>2500</v>
      </c>
      <c r="Q1445" s="12">
        <f t="shared" ca="1" si="337"/>
        <v>-480300</v>
      </c>
      <c r="R1445" s="10">
        <f t="shared" ca="1" si="338"/>
        <v>0.10842223956978056</v>
      </c>
      <c r="S1445" s="10">
        <f t="shared" ca="1" si="328"/>
        <v>-2.0501816814935472</v>
      </c>
      <c r="T1445" s="14">
        <f t="shared" ca="1" si="329"/>
        <v>-0.3802574353527351</v>
      </c>
      <c r="U1445" s="12">
        <f t="shared" ca="1" si="339"/>
        <v>7900</v>
      </c>
      <c r="V1445" s="14">
        <f t="shared" ca="1" si="340"/>
        <v>-6179.7468354430375</v>
      </c>
      <c r="W1445" s="12">
        <f t="shared" ca="1" si="330"/>
        <v>-3967.0886075949365</v>
      </c>
      <c r="X1445" s="7">
        <f ca="1">AVERAGE(E1445:OFFSET(F1445,-$X$5+1,0))</f>
        <v>11551.4</v>
      </c>
      <c r="Y1445" s="7">
        <f ca="1">AVERAGE(E1445:OFFSET(F1445,-$Y$5+1,0))</f>
        <v>11512.7</v>
      </c>
      <c r="Z1445" s="7">
        <f t="shared" ca="1" si="332"/>
        <v>0</v>
      </c>
    </row>
    <row r="1446" spans="1:26">
      <c r="A1446" s="3" t="s">
        <v>94</v>
      </c>
      <c r="B1446" s="4">
        <v>43791</v>
      </c>
      <c r="C1446" s="3">
        <v>11565</v>
      </c>
      <c r="D1446" s="3">
        <v>11592</v>
      </c>
      <c r="E1446" s="3">
        <v>11531</v>
      </c>
      <c r="F1446" s="3">
        <v>11556</v>
      </c>
      <c r="G1446" s="3">
        <v>80409</v>
      </c>
      <c r="H1446" s="3">
        <v>1.0449999999999999</v>
      </c>
      <c r="I1446" s="2">
        <f t="shared" si="341"/>
        <v>0</v>
      </c>
      <c r="J1446" s="10">
        <f t="shared" si="343"/>
        <v>21</v>
      </c>
      <c r="K1446" s="10">
        <f t="shared" si="342"/>
        <v>-9</v>
      </c>
      <c r="L1446" s="10">
        <f t="shared" ca="1" si="331"/>
        <v>0</v>
      </c>
      <c r="M1446" s="10">
        <f t="shared" ca="1" si="333"/>
        <v>1</v>
      </c>
      <c r="N1446" s="30">
        <f t="shared" ca="1" si="334"/>
        <v>0</v>
      </c>
      <c r="O1446" s="10">
        <f t="shared" ca="1" si="335"/>
        <v>2305800</v>
      </c>
      <c r="P1446" s="29">
        <f t="shared" ca="1" si="336"/>
        <v>2400</v>
      </c>
      <c r="Q1446" s="12">
        <f t="shared" ca="1" si="337"/>
        <v>-477900</v>
      </c>
      <c r="R1446" s="10">
        <f t="shared" ca="1" si="338"/>
        <v>0.10408534998698933</v>
      </c>
      <c r="S1446" s="10">
        <f t="shared" ca="1" si="328"/>
        <v>-2.0125924069665455</v>
      </c>
      <c r="T1446" s="14">
        <f t="shared" ca="1" si="329"/>
        <v>-0.3755989600312345</v>
      </c>
      <c r="U1446" s="12">
        <f t="shared" ca="1" si="339"/>
        <v>7900</v>
      </c>
      <c r="V1446" s="14">
        <f t="shared" ca="1" si="340"/>
        <v>-6149.3670886075952</v>
      </c>
      <c r="W1446" s="12">
        <f t="shared" ca="1" si="330"/>
        <v>-3967.0886075949365</v>
      </c>
      <c r="X1446" s="7">
        <f ca="1">AVERAGE(E1446:OFFSET(F1446,-$X$5+1,0))</f>
        <v>11558.9</v>
      </c>
      <c r="Y1446" s="7">
        <f ca="1">AVERAGE(E1446:OFFSET(F1446,-$Y$5+1,0))</f>
        <v>11510.7</v>
      </c>
      <c r="Z1446" s="7">
        <f t="shared" ca="1" si="332"/>
        <v>0</v>
      </c>
    </row>
    <row r="1447" spans="1:26">
      <c r="A1447" s="3" t="s">
        <v>94</v>
      </c>
      <c r="B1447" s="4">
        <v>43794</v>
      </c>
      <c r="C1447" s="3">
        <v>11615</v>
      </c>
      <c r="D1447" s="3">
        <v>11629</v>
      </c>
      <c r="E1447" s="3">
        <v>11559</v>
      </c>
      <c r="F1447" s="3">
        <v>11565</v>
      </c>
      <c r="G1447" s="3">
        <v>87376</v>
      </c>
      <c r="H1447" s="3">
        <v>1.0449999999999999</v>
      </c>
      <c r="I1447" s="2">
        <f t="shared" si="341"/>
        <v>0</v>
      </c>
      <c r="J1447" s="10">
        <f t="shared" si="343"/>
        <v>59</v>
      </c>
      <c r="K1447" s="10">
        <f t="shared" si="342"/>
        <v>-50</v>
      </c>
      <c r="L1447" s="10">
        <f t="shared" ca="1" si="331"/>
        <v>0</v>
      </c>
      <c r="M1447" s="10">
        <f t="shared" ca="1" si="333"/>
        <v>1</v>
      </c>
      <c r="N1447" s="30">
        <f t="shared" ca="1" si="334"/>
        <v>0</v>
      </c>
      <c r="O1447" s="10">
        <f t="shared" ca="1" si="335"/>
        <v>2305800</v>
      </c>
      <c r="P1447" s="29">
        <f t="shared" ca="1" si="336"/>
        <v>1800</v>
      </c>
      <c r="Q1447" s="12">
        <f t="shared" ca="1" si="337"/>
        <v>-476100</v>
      </c>
      <c r="R1447" s="10">
        <f t="shared" ca="1" si="338"/>
        <v>7.8064012490242002E-2</v>
      </c>
      <c r="S1447" s="10">
        <f t="shared" ca="1" si="328"/>
        <v>-1.9844004510712943</v>
      </c>
      <c r="T1447" s="14">
        <f t="shared" ca="1" si="329"/>
        <v>-0.37211098425631883</v>
      </c>
      <c r="U1447" s="12">
        <f t="shared" ca="1" si="339"/>
        <v>7900</v>
      </c>
      <c r="V1447" s="14">
        <f t="shared" ca="1" si="340"/>
        <v>-6126.5822784810125</v>
      </c>
      <c r="W1447" s="12">
        <f t="shared" ca="1" si="330"/>
        <v>-3967.0886075949365</v>
      </c>
      <c r="X1447" s="7">
        <f ca="1">AVERAGE(E1447:OFFSET(F1447,-$X$5+1,0))</f>
        <v>11561.3</v>
      </c>
      <c r="Y1447" s="7">
        <f ca="1">AVERAGE(E1447:OFFSET(F1447,-$Y$5+1,0))</f>
        <v>11523.85</v>
      </c>
      <c r="Z1447" s="7">
        <f t="shared" ca="1" si="332"/>
        <v>0</v>
      </c>
    </row>
    <row r="1448" spans="1:26">
      <c r="A1448" s="3" t="s">
        <v>94</v>
      </c>
      <c r="B1448" s="4">
        <v>43795</v>
      </c>
      <c r="C1448" s="3">
        <v>11620</v>
      </c>
      <c r="D1448" s="3">
        <v>11658</v>
      </c>
      <c r="E1448" s="3">
        <v>11603</v>
      </c>
      <c r="F1448" s="3">
        <v>11618</v>
      </c>
      <c r="G1448" s="3">
        <v>107977</v>
      </c>
      <c r="H1448" s="3">
        <v>1.0449999999999999</v>
      </c>
      <c r="I1448" s="2">
        <f t="shared" si="341"/>
        <v>0</v>
      </c>
      <c r="J1448" s="10">
        <f t="shared" si="343"/>
        <v>55</v>
      </c>
      <c r="K1448" s="10">
        <f t="shared" si="342"/>
        <v>-2</v>
      </c>
      <c r="L1448" s="10">
        <f t="shared" ca="1" si="331"/>
        <v>0</v>
      </c>
      <c r="M1448" s="10">
        <f t="shared" ca="1" si="333"/>
        <v>1</v>
      </c>
      <c r="N1448" s="30">
        <f t="shared" ca="1" si="334"/>
        <v>0</v>
      </c>
      <c r="O1448" s="10">
        <f t="shared" ca="1" si="335"/>
        <v>2305800</v>
      </c>
      <c r="P1448" s="29">
        <f t="shared" ca="1" si="336"/>
        <v>10600</v>
      </c>
      <c r="Q1448" s="12">
        <f t="shared" ca="1" si="337"/>
        <v>-465500</v>
      </c>
      <c r="R1448" s="10">
        <f t="shared" ca="1" si="338"/>
        <v>0.45971029577586953</v>
      </c>
      <c r="S1448" s="10">
        <f t="shared" ca="1" si="328"/>
        <v>-1.8183811552437037</v>
      </c>
      <c r="T1448" s="14">
        <f t="shared" ca="1" si="329"/>
        <v>-0.35116819639391067</v>
      </c>
      <c r="U1448" s="12">
        <f t="shared" ca="1" si="339"/>
        <v>7900</v>
      </c>
      <c r="V1448" s="14">
        <f t="shared" ca="1" si="340"/>
        <v>-5992.4050632911394</v>
      </c>
      <c r="W1448" s="12">
        <f t="shared" ca="1" si="330"/>
        <v>-3967.0886075949365</v>
      </c>
      <c r="X1448" s="7">
        <f ca="1">AVERAGE(E1448:OFFSET(F1448,-$X$5+1,0))</f>
        <v>11562.7</v>
      </c>
      <c r="Y1448" s="7">
        <f ca="1">AVERAGE(E1448:OFFSET(F1448,-$Y$5+1,0))</f>
        <v>11535.45</v>
      </c>
      <c r="Z1448" s="7">
        <f t="shared" ca="1" si="332"/>
        <v>0</v>
      </c>
    </row>
    <row r="1449" spans="1:26">
      <c r="A1449" s="3" t="s">
        <v>94</v>
      </c>
      <c r="B1449" s="4">
        <v>43796</v>
      </c>
      <c r="C1449" s="3">
        <v>11613</v>
      </c>
      <c r="D1449" s="3">
        <v>11651</v>
      </c>
      <c r="E1449" s="3">
        <v>11596</v>
      </c>
      <c r="F1449" s="3">
        <v>11647</v>
      </c>
      <c r="G1449" s="3">
        <v>70898</v>
      </c>
      <c r="H1449" s="3">
        <v>1.0449999999999999</v>
      </c>
      <c r="I1449" s="2">
        <f t="shared" si="341"/>
        <v>0</v>
      </c>
      <c r="J1449" s="10">
        <f t="shared" si="343"/>
        <v>-5</v>
      </c>
      <c r="K1449" s="10">
        <f t="shared" si="342"/>
        <v>34</v>
      </c>
      <c r="L1449" s="10">
        <f t="shared" ca="1" si="331"/>
        <v>0</v>
      </c>
      <c r="M1449" s="10">
        <f t="shared" ca="1" si="333"/>
        <v>1</v>
      </c>
      <c r="N1449" s="30">
        <f t="shared" ca="1" si="334"/>
        <v>0</v>
      </c>
      <c r="O1449" s="10">
        <f t="shared" ca="1" si="335"/>
        <v>2305800</v>
      </c>
      <c r="P1449" s="29">
        <f t="shared" ca="1" si="336"/>
        <v>5800</v>
      </c>
      <c r="Q1449" s="12">
        <f t="shared" ca="1" si="337"/>
        <v>-459700</v>
      </c>
      <c r="R1449" s="10">
        <f t="shared" ca="1" si="338"/>
        <v>0.25153959580189089</v>
      </c>
      <c r="S1449" s="10">
        <f t="shared" ca="1" si="328"/>
        <v>-1.7275404084701165</v>
      </c>
      <c r="T1449" s="14">
        <f t="shared" ca="1" si="329"/>
        <v>-0.33985772369936068</v>
      </c>
      <c r="U1449" s="12">
        <f t="shared" ca="1" si="339"/>
        <v>7900</v>
      </c>
      <c r="V1449" s="14">
        <f t="shared" ca="1" si="340"/>
        <v>-5918.9873417721519</v>
      </c>
      <c r="W1449" s="12">
        <f t="shared" ca="1" si="330"/>
        <v>-3967.0886075949365</v>
      </c>
      <c r="X1449" s="7">
        <f ca="1">AVERAGE(E1449:OFFSET(F1449,-$X$5+1,0))</f>
        <v>11566.9</v>
      </c>
      <c r="Y1449" s="7">
        <f ca="1">AVERAGE(E1449:OFFSET(F1449,-$Y$5+1,0))</f>
        <v>11552.9</v>
      </c>
      <c r="Z1449" s="7">
        <f t="shared" ca="1" si="332"/>
        <v>0</v>
      </c>
    </row>
    <row r="1450" spans="1:26">
      <c r="A1450" s="3" t="s">
        <v>94</v>
      </c>
      <c r="B1450" s="4">
        <v>43797</v>
      </c>
      <c r="C1450" s="3">
        <v>11658</v>
      </c>
      <c r="D1450" s="3">
        <v>11663</v>
      </c>
      <c r="E1450" s="3">
        <v>11605</v>
      </c>
      <c r="F1450" s="3">
        <v>11614</v>
      </c>
      <c r="G1450" s="3">
        <v>88687</v>
      </c>
      <c r="H1450" s="3">
        <v>1.0449999999999999</v>
      </c>
      <c r="I1450" s="2">
        <f t="shared" si="341"/>
        <v>0</v>
      </c>
      <c r="J1450" s="10">
        <f t="shared" si="343"/>
        <v>11</v>
      </c>
      <c r="K1450" s="10">
        <f t="shared" si="342"/>
        <v>-44</v>
      </c>
      <c r="L1450" s="10">
        <f t="shared" ca="1" si="331"/>
        <v>0</v>
      </c>
      <c r="M1450" s="10">
        <f t="shared" ca="1" si="333"/>
        <v>1</v>
      </c>
      <c r="N1450" s="30">
        <f t="shared" ca="1" si="334"/>
        <v>0</v>
      </c>
      <c r="O1450" s="10">
        <f t="shared" ca="1" si="335"/>
        <v>2305800</v>
      </c>
      <c r="P1450" s="29">
        <f t="shared" ca="1" si="336"/>
        <v>-6600</v>
      </c>
      <c r="Q1450" s="12">
        <f t="shared" ca="1" si="337"/>
        <v>-466300</v>
      </c>
      <c r="R1450" s="10">
        <f t="shared" ca="1" si="338"/>
        <v>-0.28623471246422066</v>
      </c>
      <c r="S1450" s="10">
        <f t="shared" ca="1" si="328"/>
        <v>-2.4291681801670904</v>
      </c>
      <c r="T1450" s="14">
        <f t="shared" ca="1" si="329"/>
        <v>-0.42566577066789035</v>
      </c>
      <c r="U1450" s="12">
        <f t="shared" ca="1" si="339"/>
        <v>7900</v>
      </c>
      <c r="V1450" s="14">
        <f t="shared" ca="1" si="340"/>
        <v>-6002.5316455696202</v>
      </c>
      <c r="W1450" s="12">
        <f t="shared" ca="1" si="330"/>
        <v>-3967.0886075949365</v>
      </c>
      <c r="X1450" s="7">
        <f ca="1">AVERAGE(E1450:OFFSET(F1450,-$X$5+1,0))</f>
        <v>11589.4</v>
      </c>
      <c r="Y1450" s="7">
        <f ca="1">AVERAGE(E1450:OFFSET(F1450,-$Y$5+1,0))</f>
        <v>11570.4</v>
      </c>
      <c r="Z1450" s="7">
        <f t="shared" ca="1" si="332"/>
        <v>0</v>
      </c>
    </row>
    <row r="1451" spans="1:26">
      <c r="A1451" s="3" t="s">
        <v>94</v>
      </c>
      <c r="B1451" s="4">
        <v>43798</v>
      </c>
      <c r="C1451" s="3">
        <v>11604</v>
      </c>
      <c r="D1451" s="3">
        <v>11613</v>
      </c>
      <c r="E1451" s="3">
        <v>11462</v>
      </c>
      <c r="F1451" s="3">
        <v>11465</v>
      </c>
      <c r="G1451" s="3">
        <v>131564</v>
      </c>
      <c r="H1451" s="3">
        <v>1.0449999999999999</v>
      </c>
      <c r="I1451" s="2">
        <f t="shared" si="341"/>
        <v>0</v>
      </c>
      <c r="J1451" s="10">
        <f t="shared" si="343"/>
        <v>-10</v>
      </c>
      <c r="K1451" s="10">
        <f t="shared" si="342"/>
        <v>-139</v>
      </c>
      <c r="L1451" s="10">
        <f t="shared" ca="1" si="331"/>
        <v>0</v>
      </c>
      <c r="M1451" s="10">
        <f t="shared" ca="1" si="333"/>
        <v>1</v>
      </c>
      <c r="N1451" s="30">
        <f t="shared" ca="1" si="334"/>
        <v>0</v>
      </c>
      <c r="O1451" s="10">
        <f t="shared" ca="1" si="335"/>
        <v>2305800</v>
      </c>
      <c r="P1451" s="29">
        <f t="shared" ca="1" si="336"/>
        <v>-29800</v>
      </c>
      <c r="Q1451" s="12">
        <f t="shared" ca="1" si="337"/>
        <v>-496100</v>
      </c>
      <c r="R1451" s="10">
        <f t="shared" ca="1" si="338"/>
        <v>-1.2923930956717842</v>
      </c>
      <c r="S1451" s="10">
        <f t="shared" ca="1" si="328"/>
        <v>-4.327097711587359</v>
      </c>
      <c r="T1451" s="14">
        <f t="shared" ca="1" si="329"/>
        <v>-0.65124223523754565</v>
      </c>
      <c r="U1451" s="12">
        <f t="shared" ca="1" si="339"/>
        <v>7900</v>
      </c>
      <c r="V1451" s="14">
        <f t="shared" ca="1" si="340"/>
        <v>-6379.7468354430375</v>
      </c>
      <c r="W1451" s="12">
        <f t="shared" ca="1" si="330"/>
        <v>-4169.6202531645567</v>
      </c>
      <c r="X1451" s="7">
        <f ca="1">AVERAGE(E1451:OFFSET(F1451,-$X$5+1,0))</f>
        <v>11573.4</v>
      </c>
      <c r="Y1451" s="7">
        <f ca="1">AVERAGE(E1451:OFFSET(F1451,-$Y$5+1,0))</f>
        <v>11566.15</v>
      </c>
      <c r="Z1451" s="7">
        <f t="shared" ca="1" si="332"/>
        <v>0</v>
      </c>
    </row>
    <row r="1452" spans="1:26">
      <c r="A1452" s="3" t="s">
        <v>94</v>
      </c>
      <c r="B1452" s="4">
        <v>43801</v>
      </c>
      <c r="C1452" s="3">
        <v>11527</v>
      </c>
      <c r="D1452" s="3">
        <v>11533</v>
      </c>
      <c r="E1452" s="3">
        <v>11459</v>
      </c>
      <c r="F1452" s="3">
        <v>11502</v>
      </c>
      <c r="G1452" s="3">
        <v>90579</v>
      </c>
      <c r="H1452" s="3">
        <v>1.0449999999999999</v>
      </c>
      <c r="I1452" s="2">
        <f t="shared" si="341"/>
        <v>0</v>
      </c>
      <c r="J1452" s="10">
        <f t="shared" si="343"/>
        <v>62</v>
      </c>
      <c r="K1452" s="10">
        <f t="shared" si="342"/>
        <v>-25</v>
      </c>
      <c r="L1452" s="10">
        <f t="shared" ca="1" si="331"/>
        <v>-1</v>
      </c>
      <c r="M1452" s="10">
        <f t="shared" ca="1" si="333"/>
        <v>1</v>
      </c>
      <c r="N1452" s="30">
        <f t="shared" ca="1" si="334"/>
        <v>0</v>
      </c>
      <c r="O1452" s="10">
        <f t="shared" ca="1" si="335"/>
        <v>2305800</v>
      </c>
      <c r="P1452" s="29">
        <f t="shared" ca="1" si="336"/>
        <v>7400</v>
      </c>
      <c r="Q1452" s="12">
        <f t="shared" ca="1" si="337"/>
        <v>-488700</v>
      </c>
      <c r="R1452" s="10">
        <f t="shared" ca="1" si="338"/>
        <v>0.32092982912655044</v>
      </c>
      <c r="S1452" s="10">
        <f t="shared" ref="S1452:S1515" ca="1" si="344">100*SUM(P1213:P1452)/SUM(N1213:N1452)</f>
        <v>-3.7958590628405378</v>
      </c>
      <c r="T1452" s="14">
        <f t="shared" ca="1" si="329"/>
        <v>-0.58637962167372548</v>
      </c>
      <c r="U1452" s="12">
        <f t="shared" ca="1" si="339"/>
        <v>7900</v>
      </c>
      <c r="V1452" s="14">
        <f t="shared" ca="1" si="340"/>
        <v>-6286.0759493670885</v>
      </c>
      <c r="W1452" s="12">
        <f t="shared" ca="1" si="330"/>
        <v>-4513.9240506329115</v>
      </c>
      <c r="X1452" s="7">
        <f ca="1">AVERAGE(E1452:OFFSET(F1452,-$X$5+1,0))</f>
        <v>11557.1</v>
      </c>
      <c r="Y1452" s="7">
        <f ca="1">AVERAGE(E1452:OFFSET(F1452,-$Y$5+1,0))</f>
        <v>11559.2</v>
      </c>
      <c r="Z1452" s="7">
        <f t="shared" ca="1" si="332"/>
        <v>-1</v>
      </c>
    </row>
    <row r="1453" spans="1:26">
      <c r="A1453" s="3" t="s">
        <v>94</v>
      </c>
      <c r="B1453" s="4">
        <v>43802</v>
      </c>
      <c r="C1453" s="3">
        <v>11444</v>
      </c>
      <c r="D1453" s="3">
        <v>11527</v>
      </c>
      <c r="E1453" s="3">
        <v>11439</v>
      </c>
      <c r="F1453" s="3">
        <v>11524</v>
      </c>
      <c r="G1453" s="3">
        <v>88994</v>
      </c>
      <c r="H1453" s="3">
        <v>1.0449999999999999</v>
      </c>
      <c r="I1453" s="2">
        <f t="shared" si="341"/>
        <v>0</v>
      </c>
      <c r="J1453" s="10">
        <f t="shared" si="343"/>
        <v>-58</v>
      </c>
      <c r="K1453" s="10">
        <f t="shared" si="342"/>
        <v>80</v>
      </c>
      <c r="L1453" s="10">
        <f t="shared" ca="1" si="331"/>
        <v>0</v>
      </c>
      <c r="M1453" s="10">
        <f t="shared" ca="1" si="333"/>
        <v>0</v>
      </c>
      <c r="N1453" s="30">
        <f t="shared" ca="1" si="334"/>
        <v>0</v>
      </c>
      <c r="O1453" s="10">
        <f t="shared" ca="1" si="335"/>
        <v>0</v>
      </c>
      <c r="P1453" s="29">
        <f t="shared" ca="1" si="336"/>
        <v>-12100</v>
      </c>
      <c r="Q1453" s="12">
        <f t="shared" ca="1" si="337"/>
        <v>-500800</v>
      </c>
      <c r="R1453" s="10">
        <f t="shared" ca="1" si="338"/>
        <v>-0.52476363951773786</v>
      </c>
      <c r="S1453" s="10">
        <f t="shared" ca="1" si="344"/>
        <v>-3.3259171812568109</v>
      </c>
      <c r="T1453" s="14">
        <f t="shared" ref="T1453:T1516" ca="1" si="345">(S1453-AVERAGE(H1184:H1453))/(_xlfn.STDEV.S(R1184:R1453)*SQRT(240))</f>
        <v>-0.52860207261509962</v>
      </c>
      <c r="U1453" s="12">
        <f t="shared" ca="1" si="339"/>
        <v>7900</v>
      </c>
      <c r="V1453" s="14">
        <f t="shared" ca="1" si="340"/>
        <v>-6439.2405063291135</v>
      </c>
      <c r="W1453" s="12">
        <f t="shared" ref="W1453:W1516" ca="1" si="346">MAX(V1214:V1453)</f>
        <v>-4513.9240506329115</v>
      </c>
      <c r="X1453" s="7">
        <f ca="1">AVERAGE(E1453:OFFSET(F1453,-$X$5+1,0))</f>
        <v>11531.3</v>
      </c>
      <c r="Y1453" s="7">
        <f ca="1">AVERAGE(E1453:OFFSET(F1453,-$Y$5+1,0))</f>
        <v>11547</v>
      </c>
      <c r="Z1453" s="7">
        <f t="shared" ca="1" si="332"/>
        <v>0</v>
      </c>
    </row>
    <row r="1454" spans="1:26">
      <c r="A1454" s="3" t="s">
        <v>94</v>
      </c>
      <c r="B1454" s="4">
        <v>43803</v>
      </c>
      <c r="C1454" s="3">
        <v>11492</v>
      </c>
      <c r="D1454" s="3">
        <v>11505</v>
      </c>
      <c r="E1454" s="3">
        <v>11443</v>
      </c>
      <c r="F1454" s="3">
        <v>11503</v>
      </c>
      <c r="G1454" s="3">
        <v>106806</v>
      </c>
      <c r="H1454" s="3">
        <v>1.0449999999999999</v>
      </c>
      <c r="I1454" s="2">
        <f t="shared" si="341"/>
        <v>0</v>
      </c>
      <c r="J1454" s="10">
        <f t="shared" si="343"/>
        <v>-32</v>
      </c>
      <c r="K1454" s="10">
        <f t="shared" si="342"/>
        <v>11</v>
      </c>
      <c r="L1454" s="10">
        <f t="shared" ca="1" si="331"/>
        <v>0</v>
      </c>
      <c r="M1454" s="10">
        <f t="shared" ca="1" si="333"/>
        <v>0</v>
      </c>
      <c r="N1454" s="30">
        <f t="shared" ca="1" si="334"/>
        <v>0</v>
      </c>
      <c r="O1454" s="10">
        <f t="shared" ca="1" si="335"/>
        <v>0</v>
      </c>
      <c r="P1454" s="29">
        <f t="shared" ca="1" si="336"/>
        <v>0</v>
      </c>
      <c r="Q1454" s="12">
        <f t="shared" ca="1" si="337"/>
        <v>-500800</v>
      </c>
      <c r="R1454" s="10">
        <f t="shared" ca="1" si="338"/>
        <v>0</v>
      </c>
      <c r="S1454" s="10">
        <f t="shared" ca="1" si="344"/>
        <v>-2.399654921903378</v>
      </c>
      <c r="T1454" s="14">
        <f t="shared" ca="1" si="345"/>
        <v>-0.41658344362369337</v>
      </c>
      <c r="U1454" s="12">
        <f t="shared" ca="1" si="339"/>
        <v>7900</v>
      </c>
      <c r="V1454" s="14">
        <f t="shared" ca="1" si="340"/>
        <v>-6439.2405063291135</v>
      </c>
      <c r="W1454" s="12">
        <f t="shared" ca="1" si="346"/>
        <v>-4513.9240506329115</v>
      </c>
      <c r="X1454" s="7">
        <f ca="1">AVERAGE(E1454:OFFSET(F1454,-$X$5+1,0))</f>
        <v>11501.6</v>
      </c>
      <c r="Y1454" s="7">
        <f ca="1">AVERAGE(E1454:OFFSET(F1454,-$Y$5+1,0))</f>
        <v>11534.25</v>
      </c>
      <c r="Z1454" s="7">
        <f t="shared" ca="1" si="332"/>
        <v>0</v>
      </c>
    </row>
    <row r="1455" spans="1:26">
      <c r="A1455" s="3" t="s">
        <v>94</v>
      </c>
      <c r="B1455" s="4">
        <v>43804</v>
      </c>
      <c r="C1455" s="3">
        <v>11540</v>
      </c>
      <c r="D1455" s="3">
        <v>11618</v>
      </c>
      <c r="E1455" s="3">
        <v>11532</v>
      </c>
      <c r="F1455" s="3">
        <v>11598</v>
      </c>
      <c r="G1455" s="3">
        <v>91837</v>
      </c>
      <c r="H1455" s="3">
        <v>1.0449999999999999</v>
      </c>
      <c r="I1455" s="2">
        <f t="shared" si="341"/>
        <v>0</v>
      </c>
      <c r="J1455" s="10">
        <f t="shared" si="343"/>
        <v>37</v>
      </c>
      <c r="K1455" s="10">
        <f t="shared" si="342"/>
        <v>58</v>
      </c>
      <c r="L1455" s="10">
        <f t="shared" ca="1" si="331"/>
        <v>0</v>
      </c>
      <c r="M1455" s="10">
        <f t="shared" ca="1" si="333"/>
        <v>0</v>
      </c>
      <c r="N1455" s="30">
        <f t="shared" ca="1" si="334"/>
        <v>0</v>
      </c>
      <c r="O1455" s="10">
        <f t="shared" ca="1" si="335"/>
        <v>0</v>
      </c>
      <c r="P1455" s="29">
        <f t="shared" ca="1" si="336"/>
        <v>0</v>
      </c>
      <c r="Q1455" s="12">
        <f t="shared" ca="1" si="337"/>
        <v>-500800</v>
      </c>
      <c r="R1455" s="10">
        <f t="shared" ca="1" si="338"/>
        <v>0</v>
      </c>
      <c r="S1455" s="10">
        <f t="shared" ca="1" si="344"/>
        <v>-2.7265710134398837</v>
      </c>
      <c r="T1455" s="14">
        <f t="shared" ca="1" si="345"/>
        <v>-0.45611943032654256</v>
      </c>
      <c r="U1455" s="12">
        <f t="shared" ca="1" si="339"/>
        <v>7900</v>
      </c>
      <c r="V1455" s="14">
        <f t="shared" ca="1" si="340"/>
        <v>-6439.2405063291135</v>
      </c>
      <c r="W1455" s="12">
        <f t="shared" ca="1" si="346"/>
        <v>-4513.9240506329115</v>
      </c>
      <c r="X1455" s="7">
        <f ca="1">AVERAGE(E1455:OFFSET(F1455,-$X$5+1,0))</f>
        <v>11492.7</v>
      </c>
      <c r="Y1455" s="7">
        <f ca="1">AVERAGE(E1455:OFFSET(F1455,-$Y$5+1,0))</f>
        <v>11541.05</v>
      </c>
      <c r="Z1455" s="7">
        <f t="shared" ca="1" si="332"/>
        <v>0</v>
      </c>
    </row>
    <row r="1456" spans="1:26">
      <c r="A1456" s="3" t="s">
        <v>94</v>
      </c>
      <c r="B1456" s="4">
        <v>43805</v>
      </c>
      <c r="C1456" s="3">
        <v>11645</v>
      </c>
      <c r="D1456" s="3">
        <v>11670</v>
      </c>
      <c r="E1456" s="3">
        <v>11580</v>
      </c>
      <c r="F1456" s="3">
        <v>11612</v>
      </c>
      <c r="G1456" s="3">
        <v>88309</v>
      </c>
      <c r="H1456" s="3">
        <v>1.0449999999999999</v>
      </c>
      <c r="I1456" s="2">
        <f t="shared" si="341"/>
        <v>0</v>
      </c>
      <c r="J1456" s="10">
        <f t="shared" si="343"/>
        <v>47</v>
      </c>
      <c r="K1456" s="10">
        <f t="shared" si="342"/>
        <v>-33</v>
      </c>
      <c r="L1456" s="10">
        <f t="shared" ca="1" si="331"/>
        <v>0</v>
      </c>
      <c r="M1456" s="10">
        <f t="shared" ca="1" si="333"/>
        <v>0</v>
      </c>
      <c r="N1456" s="30">
        <f t="shared" ca="1" si="334"/>
        <v>0</v>
      </c>
      <c r="O1456" s="10">
        <f t="shared" ca="1" si="335"/>
        <v>0</v>
      </c>
      <c r="P1456" s="29">
        <f t="shared" ca="1" si="336"/>
        <v>0</v>
      </c>
      <c r="Q1456" s="12">
        <f t="shared" ca="1" si="337"/>
        <v>-500800</v>
      </c>
      <c r="R1456" s="10">
        <f t="shared" ca="1" si="338"/>
        <v>0</v>
      </c>
      <c r="S1456" s="10">
        <f t="shared" ca="1" si="344"/>
        <v>-2.1817108608790412</v>
      </c>
      <c r="T1456" s="14">
        <f t="shared" ca="1" si="345"/>
        <v>-0.39022611915512723</v>
      </c>
      <c r="U1456" s="12">
        <f t="shared" ca="1" si="339"/>
        <v>7900</v>
      </c>
      <c r="V1456" s="14">
        <f t="shared" ca="1" si="340"/>
        <v>-6439.2405063291135</v>
      </c>
      <c r="W1456" s="12">
        <f t="shared" ca="1" si="346"/>
        <v>-4513.9240506329115</v>
      </c>
      <c r="X1456" s="7">
        <f ca="1">AVERAGE(E1456:OFFSET(F1456,-$X$5+1,0))</f>
        <v>11519.2</v>
      </c>
      <c r="Y1456" s="7">
        <f ca="1">AVERAGE(E1456:OFFSET(F1456,-$Y$5+1,0))</f>
        <v>11546.3</v>
      </c>
      <c r="Z1456" s="7">
        <f t="shared" ca="1" si="332"/>
        <v>0</v>
      </c>
    </row>
    <row r="1457" spans="1:26">
      <c r="A1457" s="3" t="s">
        <v>94</v>
      </c>
      <c r="B1457" s="4">
        <v>43808</v>
      </c>
      <c r="C1457" s="3">
        <v>11670</v>
      </c>
      <c r="D1457" s="3">
        <v>11699</v>
      </c>
      <c r="E1457" s="3">
        <v>11633</v>
      </c>
      <c r="F1457" s="3">
        <v>11671</v>
      </c>
      <c r="G1457" s="3">
        <v>78956</v>
      </c>
      <c r="H1457" s="3">
        <v>1.0449999999999999</v>
      </c>
      <c r="I1457" s="2">
        <f t="shared" si="341"/>
        <v>0</v>
      </c>
      <c r="J1457" s="10">
        <f t="shared" si="343"/>
        <v>58</v>
      </c>
      <c r="K1457" s="10">
        <f t="shared" si="342"/>
        <v>1</v>
      </c>
      <c r="L1457" s="10">
        <f t="shared" ca="1" si="331"/>
        <v>0</v>
      </c>
      <c r="M1457" s="10">
        <f t="shared" ca="1" si="333"/>
        <v>0</v>
      </c>
      <c r="N1457" s="30">
        <f t="shared" ca="1" si="334"/>
        <v>0</v>
      </c>
      <c r="O1457" s="10">
        <f t="shared" ca="1" si="335"/>
        <v>0</v>
      </c>
      <c r="P1457" s="29">
        <f t="shared" ca="1" si="336"/>
        <v>0</v>
      </c>
      <c r="Q1457" s="12">
        <f t="shared" ca="1" si="337"/>
        <v>-500800</v>
      </c>
      <c r="R1457" s="10">
        <f t="shared" ca="1" si="338"/>
        <v>0</v>
      </c>
      <c r="S1457" s="10">
        <f t="shared" ca="1" si="344"/>
        <v>-2.2974936432982203</v>
      </c>
      <c r="T1457" s="14">
        <f t="shared" ca="1" si="345"/>
        <v>-0.40422844777905292</v>
      </c>
      <c r="U1457" s="12">
        <f t="shared" ca="1" si="339"/>
        <v>7900</v>
      </c>
      <c r="V1457" s="14">
        <f t="shared" ca="1" si="340"/>
        <v>-6439.2405063291135</v>
      </c>
      <c r="W1457" s="12">
        <f t="shared" ca="1" si="346"/>
        <v>-4513.9240506329115</v>
      </c>
      <c r="X1457" s="7">
        <f ca="1">AVERAGE(E1457:OFFSET(F1457,-$X$5+1,0))</f>
        <v>11553.5</v>
      </c>
      <c r="Y1457" s="7">
        <f ca="1">AVERAGE(E1457:OFFSET(F1457,-$Y$5+1,0))</f>
        <v>11555.3</v>
      </c>
      <c r="Z1457" s="7">
        <f t="shared" ca="1" si="332"/>
        <v>0</v>
      </c>
    </row>
    <row r="1458" spans="1:26">
      <c r="A1458" s="3" t="s">
        <v>94</v>
      </c>
      <c r="B1458" s="4">
        <v>43809</v>
      </c>
      <c r="C1458" s="3">
        <v>11647</v>
      </c>
      <c r="D1458" s="3">
        <v>11656</v>
      </c>
      <c r="E1458" s="3">
        <v>11605</v>
      </c>
      <c r="F1458" s="3">
        <v>11625</v>
      </c>
      <c r="G1458" s="3">
        <v>73085</v>
      </c>
      <c r="H1458" s="3">
        <v>1.0449999999999999</v>
      </c>
      <c r="I1458" s="2">
        <f t="shared" si="341"/>
        <v>0</v>
      </c>
      <c r="J1458" s="10">
        <f t="shared" si="343"/>
        <v>-24</v>
      </c>
      <c r="K1458" s="10">
        <f t="shared" si="342"/>
        <v>-22</v>
      </c>
      <c r="L1458" s="10">
        <f t="shared" ca="1" si="331"/>
        <v>1</v>
      </c>
      <c r="M1458" s="10">
        <f t="shared" ca="1" si="333"/>
        <v>0</v>
      </c>
      <c r="N1458" s="30">
        <f t="shared" ca="1" si="334"/>
        <v>0</v>
      </c>
      <c r="O1458" s="10">
        <f t="shared" ca="1" si="335"/>
        <v>0</v>
      </c>
      <c r="P1458" s="29">
        <f t="shared" ca="1" si="336"/>
        <v>0</v>
      </c>
      <c r="Q1458" s="12">
        <f t="shared" ca="1" si="337"/>
        <v>-500800</v>
      </c>
      <c r="R1458" s="10">
        <f t="shared" ca="1" si="338"/>
        <v>0</v>
      </c>
      <c r="S1458" s="10">
        <f t="shared" ca="1" si="344"/>
        <v>-2.2974936432982203</v>
      </c>
      <c r="T1458" s="14">
        <f t="shared" ca="1" si="345"/>
        <v>-0.40422844777905292</v>
      </c>
      <c r="U1458" s="12">
        <f t="shared" ca="1" si="339"/>
        <v>7900</v>
      </c>
      <c r="V1458" s="14">
        <f t="shared" ca="1" si="340"/>
        <v>-6439.2405063291135</v>
      </c>
      <c r="W1458" s="12">
        <f t="shared" ca="1" si="346"/>
        <v>-4513.9240506329115</v>
      </c>
      <c r="X1458" s="7">
        <f ca="1">AVERAGE(E1458:OFFSET(F1458,-$X$5+1,0))</f>
        <v>11580.2</v>
      </c>
      <c r="Y1458" s="7">
        <f ca="1">AVERAGE(E1458:OFFSET(F1458,-$Y$5+1,0))</f>
        <v>11555.75</v>
      </c>
      <c r="Z1458" s="7">
        <f t="shared" ca="1" si="332"/>
        <v>1</v>
      </c>
    </row>
    <row r="1459" spans="1:26">
      <c r="A1459" s="3" t="s">
        <v>94</v>
      </c>
      <c r="B1459" s="4">
        <v>43810</v>
      </c>
      <c r="C1459" s="3">
        <v>11600</v>
      </c>
      <c r="D1459" s="3">
        <v>11706</v>
      </c>
      <c r="E1459" s="3">
        <v>11594</v>
      </c>
      <c r="F1459" s="3">
        <v>11706</v>
      </c>
      <c r="G1459" s="3">
        <v>92546</v>
      </c>
      <c r="H1459" s="3">
        <v>1.0449999999999999</v>
      </c>
      <c r="I1459" s="2">
        <f t="shared" si="341"/>
        <v>0</v>
      </c>
      <c r="J1459" s="10">
        <f t="shared" si="343"/>
        <v>-25</v>
      </c>
      <c r="K1459" s="10">
        <f t="shared" si="342"/>
        <v>106</v>
      </c>
      <c r="L1459" s="10">
        <f t="shared" ca="1" si="331"/>
        <v>0</v>
      </c>
      <c r="M1459" s="10">
        <f t="shared" ca="1" si="333"/>
        <v>1</v>
      </c>
      <c r="N1459" s="30">
        <f t="shared" ca="1" si="334"/>
        <v>2320000</v>
      </c>
      <c r="O1459" s="10">
        <f t="shared" ca="1" si="335"/>
        <v>2320000</v>
      </c>
      <c r="P1459" s="29">
        <f t="shared" ca="1" si="336"/>
        <v>20700</v>
      </c>
      <c r="Q1459" s="12">
        <f t="shared" ca="1" si="337"/>
        <v>-480100</v>
      </c>
      <c r="R1459" s="10">
        <f t="shared" ca="1" si="338"/>
        <v>0.89224137931034486</v>
      </c>
      <c r="S1459" s="10">
        <f t="shared" ca="1" si="344"/>
        <v>-1.1970616226504878</v>
      </c>
      <c r="T1459" s="14">
        <f t="shared" ca="1" si="345"/>
        <v>-0.26966613397917583</v>
      </c>
      <c r="U1459" s="12">
        <f t="shared" ca="1" si="339"/>
        <v>7900</v>
      </c>
      <c r="V1459" s="14">
        <f t="shared" ca="1" si="340"/>
        <v>-6177.2151898734173</v>
      </c>
      <c r="W1459" s="12">
        <f t="shared" ca="1" si="346"/>
        <v>-4513.9240506329115</v>
      </c>
      <c r="X1459" s="7">
        <f ca="1">AVERAGE(E1459:OFFSET(F1459,-$X$5+1,0))</f>
        <v>11615.6</v>
      </c>
      <c r="Y1459" s="7">
        <f ca="1">AVERAGE(E1459:OFFSET(F1459,-$Y$5+1,0))</f>
        <v>11558.6</v>
      </c>
      <c r="Z1459" s="7">
        <f t="shared" ca="1" si="332"/>
        <v>0</v>
      </c>
    </row>
    <row r="1460" spans="1:26">
      <c r="A1460" s="3" t="s">
        <v>94</v>
      </c>
      <c r="B1460" s="4">
        <v>43811</v>
      </c>
      <c r="C1460" s="3">
        <v>11765</v>
      </c>
      <c r="D1460" s="3">
        <v>11888</v>
      </c>
      <c r="E1460" s="3">
        <v>11754</v>
      </c>
      <c r="F1460" s="3">
        <v>11853</v>
      </c>
      <c r="G1460" s="3">
        <v>119427</v>
      </c>
      <c r="H1460" s="3">
        <v>1.0449999999999999</v>
      </c>
      <c r="I1460" s="2">
        <f t="shared" si="341"/>
        <v>0</v>
      </c>
      <c r="J1460" s="10">
        <f t="shared" si="343"/>
        <v>59</v>
      </c>
      <c r="K1460" s="10">
        <f t="shared" si="342"/>
        <v>88</v>
      </c>
      <c r="L1460" s="10">
        <f t="shared" ca="1" si="331"/>
        <v>0</v>
      </c>
      <c r="M1460" s="10">
        <f t="shared" ca="1" si="333"/>
        <v>1</v>
      </c>
      <c r="N1460" s="30">
        <f t="shared" ca="1" si="334"/>
        <v>0</v>
      </c>
      <c r="O1460" s="10">
        <f t="shared" ca="1" si="335"/>
        <v>2320000</v>
      </c>
      <c r="P1460" s="29">
        <f t="shared" ca="1" si="336"/>
        <v>29400</v>
      </c>
      <c r="Q1460" s="12">
        <f t="shared" ca="1" si="337"/>
        <v>-450700</v>
      </c>
      <c r="R1460" s="10">
        <f t="shared" ca="1" si="338"/>
        <v>1.2672413793103448</v>
      </c>
      <c r="S1460" s="10">
        <f t="shared" ca="1" si="344"/>
        <v>-0.75987389959552698</v>
      </c>
      <c r="T1460" s="14">
        <f t="shared" ca="1" si="345"/>
        <v>-0.21478966993717072</v>
      </c>
      <c r="U1460" s="12">
        <f t="shared" ca="1" si="339"/>
        <v>7900</v>
      </c>
      <c r="V1460" s="14">
        <f t="shared" ca="1" si="340"/>
        <v>-5805.0632911392404</v>
      </c>
      <c r="W1460" s="12">
        <f t="shared" ca="1" si="346"/>
        <v>-4513.9240506329115</v>
      </c>
      <c r="X1460" s="7">
        <f ca="1">AVERAGE(E1460:OFFSET(F1460,-$X$5+1,0))</f>
        <v>11663.3</v>
      </c>
      <c r="Y1460" s="7">
        <f ca="1">AVERAGE(E1460:OFFSET(F1460,-$Y$5+1,0))</f>
        <v>11578</v>
      </c>
      <c r="Z1460" s="7">
        <f t="shared" ca="1" si="332"/>
        <v>0</v>
      </c>
    </row>
    <row r="1461" spans="1:26">
      <c r="A1461" s="3" t="s">
        <v>94</v>
      </c>
      <c r="B1461" s="4">
        <v>43812</v>
      </c>
      <c r="C1461" s="3">
        <v>11977</v>
      </c>
      <c r="D1461" s="3">
        <v>12007</v>
      </c>
      <c r="E1461" s="3">
        <v>11917</v>
      </c>
      <c r="F1461" s="3">
        <v>11965</v>
      </c>
      <c r="G1461" s="3">
        <v>117530</v>
      </c>
      <c r="H1461" s="3">
        <v>1.0449999999999999</v>
      </c>
      <c r="I1461" s="2">
        <f t="shared" si="341"/>
        <v>0</v>
      </c>
      <c r="J1461" s="10">
        <f t="shared" si="343"/>
        <v>124</v>
      </c>
      <c r="K1461" s="10">
        <f t="shared" si="342"/>
        <v>-12</v>
      </c>
      <c r="L1461" s="10">
        <f t="shared" ca="1" si="331"/>
        <v>0</v>
      </c>
      <c r="M1461" s="10">
        <f t="shared" ca="1" si="333"/>
        <v>1</v>
      </c>
      <c r="N1461" s="30">
        <f t="shared" ca="1" si="334"/>
        <v>0</v>
      </c>
      <c r="O1461" s="10">
        <f t="shared" ca="1" si="335"/>
        <v>2320000</v>
      </c>
      <c r="P1461" s="29">
        <f t="shared" ca="1" si="336"/>
        <v>22400</v>
      </c>
      <c r="Q1461" s="12">
        <f t="shared" ca="1" si="337"/>
        <v>-428300</v>
      </c>
      <c r="R1461" s="10">
        <f t="shared" ca="1" si="338"/>
        <v>0.96551724137931039</v>
      </c>
      <c r="S1461" s="10">
        <f t="shared" ca="1" si="344"/>
        <v>-0.42677849155365216</v>
      </c>
      <c r="T1461" s="14">
        <f t="shared" ca="1" si="345"/>
        <v>-0.17410742276006508</v>
      </c>
      <c r="U1461" s="12">
        <f t="shared" ca="1" si="339"/>
        <v>7900</v>
      </c>
      <c r="V1461" s="14">
        <f t="shared" ca="1" si="340"/>
        <v>-5521.5189873417721</v>
      </c>
      <c r="W1461" s="12">
        <f t="shared" ca="1" si="346"/>
        <v>-4513.9240506329115</v>
      </c>
      <c r="X1461" s="7">
        <f ca="1">AVERAGE(E1461:OFFSET(F1461,-$X$5+1,0))</f>
        <v>11732.3</v>
      </c>
      <c r="Y1461" s="7">
        <f ca="1">AVERAGE(E1461:OFFSET(F1461,-$Y$5+1,0))</f>
        <v>11625.75</v>
      </c>
      <c r="Z1461" s="7">
        <f t="shared" ca="1" si="332"/>
        <v>0</v>
      </c>
    </row>
    <row r="1462" spans="1:26">
      <c r="A1462" s="3" t="s">
        <v>94</v>
      </c>
      <c r="B1462" s="4">
        <v>43815</v>
      </c>
      <c r="C1462" s="3">
        <v>11932</v>
      </c>
      <c r="D1462" s="3">
        <v>11976</v>
      </c>
      <c r="E1462" s="3">
        <v>11922</v>
      </c>
      <c r="F1462" s="3">
        <v>11961</v>
      </c>
      <c r="G1462" s="3">
        <v>95670</v>
      </c>
      <c r="H1462" s="3">
        <v>1.0449999999999999</v>
      </c>
      <c r="I1462" s="2">
        <f t="shared" si="341"/>
        <v>0</v>
      </c>
      <c r="J1462" s="10">
        <f t="shared" si="343"/>
        <v>-33</v>
      </c>
      <c r="K1462" s="10">
        <f t="shared" si="342"/>
        <v>29</v>
      </c>
      <c r="L1462" s="10">
        <f t="shared" ca="1" si="331"/>
        <v>0</v>
      </c>
      <c r="M1462" s="10">
        <f t="shared" ca="1" si="333"/>
        <v>1</v>
      </c>
      <c r="N1462" s="30">
        <f t="shared" ca="1" si="334"/>
        <v>0</v>
      </c>
      <c r="O1462" s="10">
        <f t="shared" ca="1" si="335"/>
        <v>2320000</v>
      </c>
      <c r="P1462" s="29">
        <f t="shared" ca="1" si="336"/>
        <v>-800</v>
      </c>
      <c r="Q1462" s="12">
        <f t="shared" ca="1" si="337"/>
        <v>-429100</v>
      </c>
      <c r="R1462" s="10">
        <f t="shared" ca="1" si="338"/>
        <v>-3.4482758620689655E-2</v>
      </c>
      <c r="S1462" s="10">
        <f t="shared" ca="1" si="344"/>
        <v>-0.43867475612657625</v>
      </c>
      <c r="T1462" s="14">
        <f t="shared" ca="1" si="345"/>
        <v>-0.17571002651847259</v>
      </c>
      <c r="U1462" s="12">
        <f t="shared" ca="1" si="339"/>
        <v>7900</v>
      </c>
      <c r="V1462" s="14">
        <f t="shared" ca="1" si="340"/>
        <v>-5531.6455696202529</v>
      </c>
      <c r="W1462" s="12">
        <f t="shared" ca="1" si="346"/>
        <v>-4513.9240506329115</v>
      </c>
      <c r="X1462" s="7">
        <f ca="1">AVERAGE(E1462:OFFSET(F1462,-$X$5+1,0))</f>
        <v>11790.2</v>
      </c>
      <c r="Y1462" s="7">
        <f ca="1">AVERAGE(E1462:OFFSET(F1462,-$Y$5+1,0))</f>
        <v>11671.85</v>
      </c>
      <c r="Z1462" s="7">
        <f t="shared" ca="1" si="332"/>
        <v>0</v>
      </c>
    </row>
    <row r="1463" spans="1:26">
      <c r="A1463" s="3" t="s">
        <v>94</v>
      </c>
      <c r="B1463" s="4">
        <v>43816</v>
      </c>
      <c r="C1463" s="3">
        <v>11974</v>
      </c>
      <c r="D1463" s="3">
        <v>12102</v>
      </c>
      <c r="E1463" s="3">
        <v>11945</v>
      </c>
      <c r="F1463" s="3">
        <v>12100</v>
      </c>
      <c r="G1463" s="3">
        <v>111124</v>
      </c>
      <c r="H1463" s="3">
        <v>1.0449999999999999</v>
      </c>
      <c r="I1463" s="2">
        <f t="shared" si="341"/>
        <v>0</v>
      </c>
      <c r="J1463" s="10">
        <f t="shared" si="343"/>
        <v>13</v>
      </c>
      <c r="K1463" s="10">
        <f t="shared" si="342"/>
        <v>126</v>
      </c>
      <c r="L1463" s="10">
        <f t="shared" ca="1" si="331"/>
        <v>0</v>
      </c>
      <c r="M1463" s="10">
        <f t="shared" ca="1" si="333"/>
        <v>1</v>
      </c>
      <c r="N1463" s="30">
        <f t="shared" ca="1" si="334"/>
        <v>0</v>
      </c>
      <c r="O1463" s="10">
        <f t="shared" ca="1" si="335"/>
        <v>2320000</v>
      </c>
      <c r="P1463" s="29">
        <f t="shared" ca="1" si="336"/>
        <v>27800</v>
      </c>
      <c r="Q1463" s="12">
        <f t="shared" ca="1" si="337"/>
        <v>-401300</v>
      </c>
      <c r="R1463" s="10">
        <f t="shared" ca="1" si="338"/>
        <v>1.1982758620689655</v>
      </c>
      <c r="S1463" s="10">
        <f t="shared" ca="1" si="344"/>
        <v>-2.5279562217463716E-2</v>
      </c>
      <c r="T1463" s="14">
        <f t="shared" ca="1" si="345"/>
        <v>-0.12606052830109127</v>
      </c>
      <c r="U1463" s="12">
        <f t="shared" ca="1" si="339"/>
        <v>7900</v>
      </c>
      <c r="V1463" s="14">
        <f t="shared" ca="1" si="340"/>
        <v>-5179.7468354430375</v>
      </c>
      <c r="W1463" s="12">
        <f t="shared" ca="1" si="346"/>
        <v>-4513.9240506329115</v>
      </c>
      <c r="X1463" s="7">
        <f ca="1">AVERAGE(E1463:OFFSET(F1463,-$X$5+1,0))</f>
        <v>11871.7</v>
      </c>
      <c r="Y1463" s="7">
        <f ca="1">AVERAGE(E1463:OFFSET(F1463,-$Y$5+1,0))</f>
        <v>11725.95</v>
      </c>
      <c r="Z1463" s="7">
        <f t="shared" ca="1" si="332"/>
        <v>0</v>
      </c>
    </row>
    <row r="1464" spans="1:26">
      <c r="A1464" s="3" t="s">
        <v>94</v>
      </c>
      <c r="B1464" s="4">
        <v>43817</v>
      </c>
      <c r="C1464" s="3">
        <v>12077</v>
      </c>
      <c r="D1464" s="3">
        <v>12129</v>
      </c>
      <c r="E1464" s="3">
        <v>12065</v>
      </c>
      <c r="F1464" s="3">
        <v>12118</v>
      </c>
      <c r="G1464" s="3">
        <v>54946</v>
      </c>
      <c r="H1464" s="3">
        <v>1.0449999999999999</v>
      </c>
      <c r="I1464" s="2">
        <f t="shared" si="341"/>
        <v>1</v>
      </c>
      <c r="J1464" s="10">
        <f t="shared" si="343"/>
        <v>-23</v>
      </c>
      <c r="K1464" s="10">
        <f t="shared" si="342"/>
        <v>41</v>
      </c>
      <c r="L1464" s="10">
        <f t="shared" ca="1" si="331"/>
        <v>0</v>
      </c>
      <c r="M1464" s="10">
        <f t="shared" si="333"/>
        <v>0</v>
      </c>
      <c r="N1464" s="30">
        <f t="shared" si="334"/>
        <v>0</v>
      </c>
      <c r="O1464" s="10">
        <f t="shared" si="335"/>
        <v>0</v>
      </c>
      <c r="P1464" s="29">
        <f t="shared" ca="1" si="336"/>
        <v>-5100</v>
      </c>
      <c r="Q1464" s="12">
        <f t="shared" ca="1" si="337"/>
        <v>-406400</v>
      </c>
      <c r="R1464" s="10">
        <f t="shared" ca="1" si="338"/>
        <v>-0.21982758620689655</v>
      </c>
      <c r="S1464" s="10">
        <f t="shared" ca="1" si="344"/>
        <v>-0.10111824886985486</v>
      </c>
      <c r="T1464" s="14">
        <f t="shared" ca="1" si="345"/>
        <v>-0.13548381516576072</v>
      </c>
      <c r="U1464" s="12">
        <f t="shared" ca="1" si="339"/>
        <v>7900</v>
      </c>
      <c r="V1464" s="14">
        <f t="shared" ca="1" si="340"/>
        <v>-5244.3037974683548</v>
      </c>
      <c r="W1464" s="12">
        <f t="shared" ca="1" si="346"/>
        <v>-4513.9240506329115</v>
      </c>
      <c r="X1464" s="7">
        <f ca="1">AVERAGE(E1464:OFFSET(F1464,-$X$5+1,0))</f>
        <v>11960</v>
      </c>
      <c r="Y1464" s="7">
        <f ca="1">AVERAGE(E1464:OFFSET(F1464,-$Y$5+1,0))</f>
        <v>11787.8</v>
      </c>
      <c r="Z1464" s="7">
        <f t="shared" ca="1" si="332"/>
        <v>0</v>
      </c>
    </row>
    <row r="1465" spans="1:26">
      <c r="A1465" s="3" t="s">
        <v>95</v>
      </c>
      <c r="B1465" s="4">
        <v>43818</v>
      </c>
      <c r="C1465" s="3">
        <v>12110</v>
      </c>
      <c r="D1465" s="3">
        <v>12115</v>
      </c>
      <c r="E1465" s="3">
        <v>12015</v>
      </c>
      <c r="F1465" s="3">
        <v>12030</v>
      </c>
      <c r="G1465" s="3">
        <v>92209</v>
      </c>
      <c r="H1465" s="3">
        <v>1.0449999999999999</v>
      </c>
      <c r="I1465" s="2">
        <f t="shared" si="341"/>
        <v>0</v>
      </c>
      <c r="J1465" s="10">
        <f t="shared" si="343"/>
        <v>-8</v>
      </c>
      <c r="K1465" s="10">
        <f t="shared" si="342"/>
        <v>-80</v>
      </c>
      <c r="L1465" s="10">
        <f t="shared" ca="1" si="331"/>
        <v>0</v>
      </c>
      <c r="M1465" s="10">
        <f t="shared" ca="1" si="333"/>
        <v>0</v>
      </c>
      <c r="N1465" s="30">
        <f t="shared" ca="1" si="334"/>
        <v>0</v>
      </c>
      <c r="O1465" s="10">
        <f t="shared" ca="1" si="335"/>
        <v>0</v>
      </c>
      <c r="P1465" s="29">
        <f t="shared" ca="1" si="336"/>
        <v>0</v>
      </c>
      <c r="Q1465" s="12">
        <f t="shared" ca="1" si="337"/>
        <v>-406400</v>
      </c>
      <c r="R1465" s="10">
        <f t="shared" ca="1" si="338"/>
        <v>0</v>
      </c>
      <c r="S1465" s="10">
        <f t="shared" ca="1" si="344"/>
        <v>1.3383297644539615E-2</v>
      </c>
      <c r="T1465" s="14">
        <f t="shared" ca="1" si="345"/>
        <v>-0.12338335822944961</v>
      </c>
      <c r="U1465" s="12">
        <f t="shared" ca="1" si="339"/>
        <v>7900</v>
      </c>
      <c r="V1465" s="14">
        <f t="shared" ca="1" si="340"/>
        <v>-5244.3037974683548</v>
      </c>
      <c r="W1465" s="12">
        <f t="shared" ca="1" si="346"/>
        <v>-4513.9240506329115</v>
      </c>
      <c r="X1465" s="7">
        <f ca="1">AVERAGE(E1465:OFFSET(F1465,-$X$5+1,0))</f>
        <v>12003.8</v>
      </c>
      <c r="Y1465" s="7">
        <f ca="1">AVERAGE(E1465:OFFSET(F1465,-$Y$5+1,0))</f>
        <v>11833.55</v>
      </c>
      <c r="Z1465" s="7">
        <f t="shared" ca="1" si="332"/>
        <v>0</v>
      </c>
    </row>
    <row r="1466" spans="1:26">
      <c r="A1466" s="3" t="s">
        <v>95</v>
      </c>
      <c r="B1466" s="4">
        <v>43819</v>
      </c>
      <c r="C1466" s="3">
        <v>12063</v>
      </c>
      <c r="D1466" s="3">
        <v>12063</v>
      </c>
      <c r="E1466" s="3">
        <v>11951</v>
      </c>
      <c r="F1466" s="3">
        <v>11979</v>
      </c>
      <c r="G1466" s="3">
        <v>126757</v>
      </c>
      <c r="H1466" s="3">
        <v>1.0449999999999999</v>
      </c>
      <c r="I1466" s="2">
        <f t="shared" si="341"/>
        <v>0</v>
      </c>
      <c r="J1466" s="10">
        <f t="shared" si="343"/>
        <v>33</v>
      </c>
      <c r="K1466" s="10">
        <f t="shared" si="342"/>
        <v>-84</v>
      </c>
      <c r="L1466" s="10">
        <f t="shared" ca="1" si="331"/>
        <v>0</v>
      </c>
      <c r="M1466" s="10">
        <f t="shared" ca="1" si="333"/>
        <v>0</v>
      </c>
      <c r="N1466" s="30">
        <f t="shared" ca="1" si="334"/>
        <v>0</v>
      </c>
      <c r="O1466" s="10">
        <f t="shared" ca="1" si="335"/>
        <v>0</v>
      </c>
      <c r="P1466" s="29">
        <f t="shared" ca="1" si="336"/>
        <v>0</v>
      </c>
      <c r="Q1466" s="12">
        <f t="shared" ca="1" si="337"/>
        <v>-406400</v>
      </c>
      <c r="R1466" s="10">
        <f t="shared" ca="1" si="338"/>
        <v>0</v>
      </c>
      <c r="S1466" s="10">
        <f t="shared" ca="1" si="344"/>
        <v>-0.20967166309778729</v>
      </c>
      <c r="T1466" s="14">
        <f t="shared" ca="1" si="345"/>
        <v>-0.15011976982755351</v>
      </c>
      <c r="U1466" s="12">
        <f t="shared" ca="1" si="339"/>
        <v>7900</v>
      </c>
      <c r="V1466" s="14">
        <f t="shared" ca="1" si="340"/>
        <v>-5244.3037974683548</v>
      </c>
      <c r="W1466" s="12">
        <f t="shared" ca="1" si="346"/>
        <v>-4513.9240506329115</v>
      </c>
      <c r="X1466" s="7">
        <f ca="1">AVERAGE(E1466:OFFSET(F1466,-$X$5+1,0))</f>
        <v>12008.6</v>
      </c>
      <c r="Y1466" s="7">
        <f ca="1">AVERAGE(E1466:OFFSET(F1466,-$Y$5+1,0))</f>
        <v>11870.45</v>
      </c>
      <c r="Z1466" s="7">
        <f t="shared" ca="1" si="332"/>
        <v>0</v>
      </c>
    </row>
    <row r="1467" spans="1:26">
      <c r="A1467" s="3" t="s">
        <v>95</v>
      </c>
      <c r="B1467" s="4">
        <v>43822</v>
      </c>
      <c r="C1467" s="3">
        <v>12000</v>
      </c>
      <c r="D1467" s="3">
        <v>12028</v>
      </c>
      <c r="E1467" s="3">
        <v>11972</v>
      </c>
      <c r="F1467" s="3">
        <v>12020</v>
      </c>
      <c r="G1467" s="3">
        <v>75298</v>
      </c>
      <c r="H1467" s="3">
        <v>1.0449999999999999</v>
      </c>
      <c r="I1467" s="2">
        <f t="shared" si="341"/>
        <v>0</v>
      </c>
      <c r="J1467" s="10">
        <f t="shared" si="343"/>
        <v>21</v>
      </c>
      <c r="K1467" s="10">
        <f t="shared" si="342"/>
        <v>20</v>
      </c>
      <c r="L1467" s="10">
        <f t="shared" ca="1" si="331"/>
        <v>0</v>
      </c>
      <c r="M1467" s="10">
        <f t="shared" ca="1" si="333"/>
        <v>0</v>
      </c>
      <c r="N1467" s="30">
        <f t="shared" ca="1" si="334"/>
        <v>0</v>
      </c>
      <c r="O1467" s="10">
        <f t="shared" ca="1" si="335"/>
        <v>0</v>
      </c>
      <c r="P1467" s="29">
        <f t="shared" ca="1" si="336"/>
        <v>0</v>
      </c>
      <c r="Q1467" s="12">
        <f t="shared" ca="1" si="337"/>
        <v>-406400</v>
      </c>
      <c r="R1467" s="10">
        <f t="shared" ca="1" si="338"/>
        <v>0</v>
      </c>
      <c r="S1467" s="10">
        <f t="shared" ca="1" si="344"/>
        <v>-0.1055793480847014</v>
      </c>
      <c r="T1467" s="14">
        <f t="shared" ca="1" si="345"/>
        <v>-0.13829719915630526</v>
      </c>
      <c r="U1467" s="12">
        <f t="shared" ca="1" si="339"/>
        <v>7900</v>
      </c>
      <c r="V1467" s="14">
        <f t="shared" ca="1" si="340"/>
        <v>-5244.3037974683548</v>
      </c>
      <c r="W1467" s="12">
        <f t="shared" ca="1" si="346"/>
        <v>-4513.9240506329115</v>
      </c>
      <c r="X1467" s="7">
        <f ca="1">AVERAGE(E1467:OFFSET(F1467,-$X$5+1,0))</f>
        <v>12019.5</v>
      </c>
      <c r="Y1467" s="7">
        <f ca="1">AVERAGE(E1467:OFFSET(F1467,-$Y$5+1,0))</f>
        <v>11904.85</v>
      </c>
      <c r="Z1467" s="7">
        <f t="shared" ca="1" si="332"/>
        <v>0</v>
      </c>
    </row>
    <row r="1468" spans="1:26">
      <c r="A1468" s="3" t="s">
        <v>95</v>
      </c>
      <c r="B1468" s="4">
        <v>43823</v>
      </c>
      <c r="C1468" s="3">
        <v>12030</v>
      </c>
      <c r="D1468" s="3">
        <v>12044</v>
      </c>
      <c r="E1468" s="3">
        <v>11982</v>
      </c>
      <c r="F1468" s="3">
        <v>11983</v>
      </c>
      <c r="G1468" s="3">
        <v>55384</v>
      </c>
      <c r="H1468" s="3">
        <v>1.0449999999999999</v>
      </c>
      <c r="I1468" s="2">
        <f t="shared" si="341"/>
        <v>0</v>
      </c>
      <c r="J1468" s="10">
        <f t="shared" si="343"/>
        <v>10</v>
      </c>
      <c r="K1468" s="10">
        <f t="shared" si="342"/>
        <v>-47</v>
      </c>
      <c r="L1468" s="10">
        <f t="shared" ca="1" si="331"/>
        <v>0</v>
      </c>
      <c r="M1468" s="10">
        <f t="shared" ca="1" si="333"/>
        <v>0</v>
      </c>
      <c r="N1468" s="30">
        <f t="shared" ca="1" si="334"/>
        <v>0</v>
      </c>
      <c r="O1468" s="10">
        <f t="shared" ca="1" si="335"/>
        <v>0</v>
      </c>
      <c r="P1468" s="29">
        <f t="shared" ca="1" si="336"/>
        <v>0</v>
      </c>
      <c r="Q1468" s="12">
        <f t="shared" ca="1" si="337"/>
        <v>-406400</v>
      </c>
      <c r="R1468" s="10">
        <f t="shared" ca="1" si="338"/>
        <v>0</v>
      </c>
      <c r="S1468" s="10">
        <f t="shared" ca="1" si="344"/>
        <v>-0.53087080656673802</v>
      </c>
      <c r="T1468" s="14">
        <f t="shared" ca="1" si="345"/>
        <v>-0.18964158678846735</v>
      </c>
      <c r="U1468" s="12">
        <f t="shared" ca="1" si="339"/>
        <v>7900</v>
      </c>
      <c r="V1468" s="14">
        <f t="shared" ca="1" si="340"/>
        <v>-5244.3037974683548</v>
      </c>
      <c r="W1468" s="12">
        <f t="shared" ca="1" si="346"/>
        <v>-4513.9240506329115</v>
      </c>
      <c r="X1468" s="7">
        <f ca="1">AVERAGE(E1468:OFFSET(F1468,-$X$5+1,0))</f>
        <v>12011.5</v>
      </c>
      <c r="Y1468" s="7">
        <f ca="1">AVERAGE(E1468:OFFSET(F1468,-$Y$5+1,0))</f>
        <v>11941.6</v>
      </c>
      <c r="Z1468" s="7">
        <f t="shared" ca="1" si="332"/>
        <v>0</v>
      </c>
    </row>
    <row r="1469" spans="1:26">
      <c r="A1469" s="3" t="s">
        <v>95</v>
      </c>
      <c r="B1469" s="4">
        <v>43824</v>
      </c>
      <c r="C1469" s="3">
        <v>11989</v>
      </c>
      <c r="D1469" s="3">
        <v>12027</v>
      </c>
      <c r="E1469" s="3">
        <v>11976</v>
      </c>
      <c r="F1469" s="3">
        <v>12020</v>
      </c>
      <c r="G1469" s="3">
        <v>41599</v>
      </c>
      <c r="H1469" s="3">
        <v>1.0449999999999999</v>
      </c>
      <c r="I1469" s="2">
        <f t="shared" si="341"/>
        <v>0</v>
      </c>
      <c r="J1469" s="10">
        <f t="shared" si="343"/>
        <v>6</v>
      </c>
      <c r="K1469" s="10">
        <f t="shared" si="342"/>
        <v>31</v>
      </c>
      <c r="L1469" s="10">
        <f t="shared" ref="L1469:L1532" ca="1" si="347">Z1469</f>
        <v>0</v>
      </c>
      <c r="M1469" s="10">
        <f t="shared" ca="1" si="333"/>
        <v>0</v>
      </c>
      <c r="N1469" s="30">
        <f t="shared" ca="1" si="334"/>
        <v>0</v>
      </c>
      <c r="O1469" s="10">
        <f t="shared" ca="1" si="335"/>
        <v>0</v>
      </c>
      <c r="P1469" s="29">
        <f t="shared" ca="1" si="336"/>
        <v>0</v>
      </c>
      <c r="Q1469" s="12">
        <f t="shared" ca="1" si="337"/>
        <v>-406400</v>
      </c>
      <c r="R1469" s="10">
        <f t="shared" ca="1" si="338"/>
        <v>0</v>
      </c>
      <c r="S1469" s="10">
        <f t="shared" ca="1" si="344"/>
        <v>-0.58440399714489655</v>
      </c>
      <c r="T1469" s="14">
        <f t="shared" ca="1" si="345"/>
        <v>-0.19613478248006605</v>
      </c>
      <c r="U1469" s="12">
        <f t="shared" ca="1" si="339"/>
        <v>7900</v>
      </c>
      <c r="V1469" s="14">
        <f t="shared" ca="1" si="340"/>
        <v>-5244.3037974683548</v>
      </c>
      <c r="W1469" s="12">
        <f t="shared" ca="1" si="346"/>
        <v>-4513.9240506329115</v>
      </c>
      <c r="X1469" s="7">
        <f ca="1">AVERAGE(E1469:OFFSET(F1469,-$X$5+1,0))</f>
        <v>11992.8</v>
      </c>
      <c r="Y1469" s="7">
        <f ca="1">AVERAGE(E1469:OFFSET(F1469,-$Y$5+1,0))</f>
        <v>11976.4</v>
      </c>
      <c r="Z1469" s="7">
        <f t="shared" ref="Z1469:Z1532" ca="1" si="348">IF(AND(X1468&lt;=Y1468,X1469&gt;Y1469),1,IF(AND(X1468&gt;Y1468,X1469&lt;=Y1469),-1,0))</f>
        <v>0</v>
      </c>
    </row>
    <row r="1470" spans="1:26">
      <c r="A1470" s="3" t="s">
        <v>95</v>
      </c>
      <c r="B1470" s="4">
        <v>43825</v>
      </c>
      <c r="C1470" s="3">
        <v>12029</v>
      </c>
      <c r="D1470" s="3">
        <v>12042</v>
      </c>
      <c r="E1470" s="3">
        <v>11986</v>
      </c>
      <c r="F1470" s="3">
        <v>12009</v>
      </c>
      <c r="G1470" s="3">
        <v>52249</v>
      </c>
      <c r="H1470" s="3">
        <v>1.0449999999999999</v>
      </c>
      <c r="I1470" s="2">
        <f t="shared" si="341"/>
        <v>0</v>
      </c>
      <c r="J1470" s="10">
        <f t="shared" si="343"/>
        <v>9</v>
      </c>
      <c r="K1470" s="10">
        <f t="shared" si="342"/>
        <v>-20</v>
      </c>
      <c r="L1470" s="10">
        <f t="shared" ca="1" si="347"/>
        <v>-1</v>
      </c>
      <c r="M1470" s="10">
        <f t="shared" ref="M1470:M1533" ca="1" si="349">IF(I1470=1,0,IF(M1469+L1469&gt;=$M$5,$M$5,IF(M1469+L1469&lt;=$M$7,$M$7,M1469+L1469)))</f>
        <v>0</v>
      </c>
      <c r="N1470" s="30">
        <f t="shared" ref="N1470:N1533" ca="1" si="350">IF(M1470=0,0,IF(M1470&gt;M1469,(C1470+N1469*M1469)*$S$5,0))</f>
        <v>0</v>
      </c>
      <c r="O1470" s="10">
        <f t="shared" ref="O1470:O1533" ca="1" si="351">IF(M1470=0,0,IF(M1470=M1469,O1469,((M1470-M1469)*C1470+N1469*M1469)*$S$5/M1470))</f>
        <v>0</v>
      </c>
      <c r="P1470" s="29">
        <f t="shared" ref="P1470:P1533" ca="1" si="352">IF(M1469=M1470,(M1469*J1470+M1470*K1470)*$S$5,(M1469*J1470+M1470*K1470)*$S$5-$S$6)</f>
        <v>0</v>
      </c>
      <c r="Q1470" s="12">
        <f t="shared" ref="Q1470:Q1533" ca="1" si="353">P1470+Q1469</f>
        <v>-406400</v>
      </c>
      <c r="R1470" s="10">
        <f t="shared" ref="R1470:R1533" ca="1" si="354">IF(P1470=0,0,IF(O1470=0,100*P1470/O1469,100*P1470/O1470))</f>
        <v>0</v>
      </c>
      <c r="S1470" s="10">
        <f t="shared" ca="1" si="344"/>
        <v>-6.6916488222698078E-2</v>
      </c>
      <c r="T1470" s="14">
        <f t="shared" ca="1" si="345"/>
        <v>-0.13384372380066287</v>
      </c>
      <c r="U1470" s="12">
        <f t="shared" ref="U1470:U1533" ca="1" si="355">IF(Q1470&gt;U1469,Q1470,U1469)</f>
        <v>7900</v>
      </c>
      <c r="V1470" s="14">
        <f t="shared" ref="V1470:V1533" ca="1" si="356">IF(U1470=0,0,100*(Q1470-U1470)/U1470)</f>
        <v>-5244.3037974683548</v>
      </c>
      <c r="W1470" s="12">
        <f t="shared" ca="1" si="346"/>
        <v>-4513.9240506329115</v>
      </c>
      <c r="X1470" s="7">
        <f ca="1">AVERAGE(E1470:OFFSET(F1470,-$X$5+1,0))</f>
        <v>11987.8</v>
      </c>
      <c r="Y1470" s="7">
        <f ca="1">AVERAGE(E1470:OFFSET(F1470,-$Y$5+1,0))</f>
        <v>11995.8</v>
      </c>
      <c r="Z1470" s="7">
        <f t="shared" ca="1" si="348"/>
        <v>-1</v>
      </c>
    </row>
    <row r="1471" spans="1:26">
      <c r="A1471" s="3" t="s">
        <v>95</v>
      </c>
      <c r="B1471" s="4">
        <v>43826</v>
      </c>
      <c r="C1471" s="3">
        <v>12038</v>
      </c>
      <c r="D1471" s="3">
        <v>12112</v>
      </c>
      <c r="E1471" s="3">
        <v>12037</v>
      </c>
      <c r="F1471" s="3">
        <v>12097</v>
      </c>
      <c r="G1471" s="3">
        <v>74454</v>
      </c>
      <c r="H1471" s="3">
        <v>1.0449999999999999</v>
      </c>
      <c r="I1471" s="2">
        <f t="shared" si="341"/>
        <v>0</v>
      </c>
      <c r="J1471" s="10">
        <f t="shared" si="343"/>
        <v>29</v>
      </c>
      <c r="K1471" s="10">
        <f t="shared" si="342"/>
        <v>59</v>
      </c>
      <c r="L1471" s="10">
        <f t="shared" ca="1" si="347"/>
        <v>0</v>
      </c>
      <c r="M1471" s="10">
        <f t="shared" ca="1" si="349"/>
        <v>-1</v>
      </c>
      <c r="N1471" s="30">
        <f t="shared" ca="1" si="350"/>
        <v>0</v>
      </c>
      <c r="O1471" s="10">
        <f t="shared" ca="1" si="351"/>
        <v>2407600</v>
      </c>
      <c r="P1471" s="29">
        <f t="shared" ca="1" si="352"/>
        <v>-12300</v>
      </c>
      <c r="Q1471" s="12">
        <f t="shared" ca="1" si="353"/>
        <v>-418700</v>
      </c>
      <c r="R1471" s="10">
        <f t="shared" ca="1" si="354"/>
        <v>-0.51088220634656922</v>
      </c>
      <c r="S1471" s="10">
        <f t="shared" ca="1" si="344"/>
        <v>-0.13680704258862716</v>
      </c>
      <c r="T1471" s="14">
        <f t="shared" ca="1" si="345"/>
        <v>-0.14202982754461493</v>
      </c>
      <c r="U1471" s="12">
        <f t="shared" ca="1" si="355"/>
        <v>7900</v>
      </c>
      <c r="V1471" s="14">
        <f t="shared" ca="1" si="356"/>
        <v>-5400</v>
      </c>
      <c r="W1471" s="12">
        <f t="shared" ca="1" si="346"/>
        <v>-4513.9240506329115</v>
      </c>
      <c r="X1471" s="7">
        <f ca="1">AVERAGE(E1471:OFFSET(F1471,-$X$5+1,0))</f>
        <v>12008.2</v>
      </c>
      <c r="Y1471" s="7">
        <f ca="1">AVERAGE(E1471:OFFSET(F1471,-$Y$5+1,0))</f>
        <v>12008.4</v>
      </c>
      <c r="Z1471" s="7">
        <f t="shared" ca="1" si="348"/>
        <v>0</v>
      </c>
    </row>
    <row r="1472" spans="1:26">
      <c r="A1472" s="3" t="s">
        <v>95</v>
      </c>
      <c r="B1472" s="4">
        <v>43829</v>
      </c>
      <c r="C1472" s="3">
        <v>12091</v>
      </c>
      <c r="D1472" s="3">
        <v>12125</v>
      </c>
      <c r="E1472" s="3">
        <v>12065</v>
      </c>
      <c r="F1472" s="3">
        <v>12069</v>
      </c>
      <c r="G1472" s="3">
        <v>66062</v>
      </c>
      <c r="H1472" s="3">
        <v>1.0449999999999999</v>
      </c>
      <c r="I1472" s="2">
        <f t="shared" si="341"/>
        <v>0</v>
      </c>
      <c r="J1472" s="10">
        <f t="shared" si="343"/>
        <v>-6</v>
      </c>
      <c r="K1472" s="10">
        <f t="shared" si="342"/>
        <v>-22</v>
      </c>
      <c r="L1472" s="10">
        <f t="shared" ca="1" si="347"/>
        <v>1</v>
      </c>
      <c r="M1472" s="10">
        <f t="shared" ca="1" si="349"/>
        <v>-1</v>
      </c>
      <c r="N1472" s="30">
        <f t="shared" ca="1" si="350"/>
        <v>0</v>
      </c>
      <c r="O1472" s="10">
        <f t="shared" ca="1" si="351"/>
        <v>2407600</v>
      </c>
      <c r="P1472" s="29">
        <f t="shared" ca="1" si="352"/>
        <v>5600</v>
      </c>
      <c r="Q1472" s="12">
        <f t="shared" ca="1" si="353"/>
        <v>-413100</v>
      </c>
      <c r="R1472" s="10">
        <f t="shared" ca="1" si="354"/>
        <v>0.23259677687323477</v>
      </c>
      <c r="S1472" s="10">
        <f t="shared" ca="1" si="344"/>
        <v>-0.45503211991434689</v>
      </c>
      <c r="T1472" s="14">
        <f t="shared" ca="1" si="345"/>
        <v>-0.18020381785375814</v>
      </c>
      <c r="U1472" s="12">
        <f t="shared" ca="1" si="355"/>
        <v>7900</v>
      </c>
      <c r="V1472" s="14">
        <f t="shared" ca="1" si="356"/>
        <v>-5329.1139240506327</v>
      </c>
      <c r="W1472" s="12">
        <f t="shared" ca="1" si="346"/>
        <v>-4513.9240506329115</v>
      </c>
      <c r="X1472" s="7">
        <f ca="1">AVERAGE(E1472:OFFSET(F1472,-$X$5+1,0))</f>
        <v>12022.4</v>
      </c>
      <c r="Y1472" s="7">
        <f ca="1">AVERAGE(E1472:OFFSET(F1472,-$Y$5+1,0))</f>
        <v>12020.95</v>
      </c>
      <c r="Z1472" s="7">
        <f t="shared" ca="1" si="348"/>
        <v>1</v>
      </c>
    </row>
    <row r="1473" spans="1:26">
      <c r="A1473" s="3" t="s">
        <v>95</v>
      </c>
      <c r="B1473" s="4">
        <v>43830</v>
      </c>
      <c r="C1473" s="3">
        <v>12029</v>
      </c>
      <c r="D1473" s="3">
        <v>12049</v>
      </c>
      <c r="E1473" s="3">
        <v>11992</v>
      </c>
      <c r="F1473" s="3">
        <v>11995</v>
      </c>
      <c r="G1473" s="3">
        <v>74341</v>
      </c>
      <c r="H1473" s="3">
        <v>1.0449999999999999</v>
      </c>
      <c r="I1473" s="2">
        <f t="shared" si="341"/>
        <v>0</v>
      </c>
      <c r="J1473" s="10">
        <f t="shared" si="343"/>
        <v>-40</v>
      </c>
      <c r="K1473" s="10">
        <f t="shared" si="342"/>
        <v>-34</v>
      </c>
      <c r="L1473" s="10">
        <f t="shared" ca="1" si="347"/>
        <v>0</v>
      </c>
      <c r="M1473" s="10">
        <f t="shared" ca="1" si="349"/>
        <v>0</v>
      </c>
      <c r="N1473" s="30">
        <f t="shared" ca="1" si="350"/>
        <v>0</v>
      </c>
      <c r="O1473" s="10">
        <f t="shared" ca="1" si="351"/>
        <v>0</v>
      </c>
      <c r="P1473" s="29">
        <f t="shared" ca="1" si="352"/>
        <v>7500</v>
      </c>
      <c r="Q1473" s="12">
        <f t="shared" ca="1" si="353"/>
        <v>-405600</v>
      </c>
      <c r="R1473" s="10">
        <f t="shared" ca="1" si="354"/>
        <v>0.31151354045522511</v>
      </c>
      <c r="S1473" s="10">
        <f t="shared" ca="1" si="344"/>
        <v>-0.62901498929336186</v>
      </c>
      <c r="T1473" s="14">
        <f t="shared" ca="1" si="345"/>
        <v>-0.20096896364736844</v>
      </c>
      <c r="U1473" s="12">
        <f t="shared" ca="1" si="355"/>
        <v>7900</v>
      </c>
      <c r="V1473" s="14">
        <f t="shared" ca="1" si="356"/>
        <v>-5234.1772151898731</v>
      </c>
      <c r="W1473" s="12">
        <f t="shared" ca="1" si="346"/>
        <v>-4513.9240506329115</v>
      </c>
      <c r="X1473" s="7">
        <f ca="1">AVERAGE(E1473:OFFSET(F1473,-$X$5+1,0))</f>
        <v>12024.6</v>
      </c>
      <c r="Y1473" s="7">
        <f ca="1">AVERAGE(E1473:OFFSET(F1473,-$Y$5+1,0))</f>
        <v>12018.05</v>
      </c>
      <c r="Z1473" s="7">
        <f t="shared" ca="1" si="348"/>
        <v>0</v>
      </c>
    </row>
    <row r="1474" spans="1:26">
      <c r="A1474" s="3" t="s">
        <v>95</v>
      </c>
      <c r="B1474" s="4">
        <v>43832</v>
      </c>
      <c r="C1474" s="3">
        <v>12044</v>
      </c>
      <c r="D1474" s="3">
        <v>12120</v>
      </c>
      <c r="E1474" s="3">
        <v>12023</v>
      </c>
      <c r="F1474" s="3">
        <v>12102</v>
      </c>
      <c r="G1474" s="3">
        <v>100401</v>
      </c>
      <c r="H1474" s="3">
        <v>1.0449999999999999</v>
      </c>
      <c r="I1474" s="2">
        <f t="shared" si="341"/>
        <v>0</v>
      </c>
      <c r="J1474" s="10">
        <f t="shared" si="343"/>
        <v>49</v>
      </c>
      <c r="K1474" s="10">
        <f t="shared" si="342"/>
        <v>58</v>
      </c>
      <c r="L1474" s="10">
        <f t="shared" ca="1" si="347"/>
        <v>0</v>
      </c>
      <c r="M1474" s="10">
        <f t="shared" ca="1" si="349"/>
        <v>0</v>
      </c>
      <c r="N1474" s="30">
        <f t="shared" ca="1" si="350"/>
        <v>0</v>
      </c>
      <c r="O1474" s="10">
        <f t="shared" ca="1" si="351"/>
        <v>0</v>
      </c>
      <c r="P1474" s="29">
        <f t="shared" ca="1" si="352"/>
        <v>0</v>
      </c>
      <c r="Q1474" s="12">
        <f t="shared" ca="1" si="353"/>
        <v>-405600</v>
      </c>
      <c r="R1474" s="10">
        <f t="shared" ca="1" si="354"/>
        <v>0</v>
      </c>
      <c r="S1474" s="10">
        <f t="shared" ca="1" si="344"/>
        <v>-0.84612181774922679</v>
      </c>
      <c r="T1474" s="14">
        <f t="shared" ca="1" si="345"/>
        <v>-0.22703308768126387</v>
      </c>
      <c r="U1474" s="12">
        <f t="shared" ca="1" si="355"/>
        <v>7900</v>
      </c>
      <c r="V1474" s="14">
        <f t="shared" ca="1" si="356"/>
        <v>-5234.1772151898731</v>
      </c>
      <c r="W1474" s="12">
        <f t="shared" ca="1" si="346"/>
        <v>-4611.3924050632913</v>
      </c>
      <c r="X1474" s="7">
        <f ca="1">AVERAGE(E1474:OFFSET(F1474,-$X$5+1,0))</f>
        <v>12037.5</v>
      </c>
      <c r="Y1474" s="7">
        <f ca="1">AVERAGE(E1474:OFFSET(F1474,-$Y$5+1,0))</f>
        <v>12015.15</v>
      </c>
      <c r="Z1474" s="7">
        <f t="shared" ca="1" si="348"/>
        <v>0</v>
      </c>
    </row>
    <row r="1475" spans="1:26">
      <c r="A1475" s="3" t="s">
        <v>95</v>
      </c>
      <c r="B1475" s="4">
        <v>43833</v>
      </c>
      <c r="C1475" s="3">
        <v>12180</v>
      </c>
      <c r="D1475" s="3">
        <v>12198</v>
      </c>
      <c r="E1475" s="3">
        <v>11996</v>
      </c>
      <c r="F1475" s="3">
        <v>12086</v>
      </c>
      <c r="G1475" s="3">
        <v>172660</v>
      </c>
      <c r="H1475" s="3">
        <v>1.0449999999999999</v>
      </c>
      <c r="I1475" s="2">
        <f t="shared" si="341"/>
        <v>0</v>
      </c>
      <c r="J1475" s="10">
        <f t="shared" si="343"/>
        <v>78</v>
      </c>
      <c r="K1475" s="10">
        <f t="shared" si="342"/>
        <v>-94</v>
      </c>
      <c r="L1475" s="10">
        <f t="shared" ca="1" si="347"/>
        <v>0</v>
      </c>
      <c r="M1475" s="10">
        <f t="shared" ca="1" si="349"/>
        <v>0</v>
      </c>
      <c r="N1475" s="30">
        <f t="shared" ca="1" si="350"/>
        <v>0</v>
      </c>
      <c r="O1475" s="10">
        <f t="shared" ca="1" si="351"/>
        <v>0</v>
      </c>
      <c r="P1475" s="29">
        <f t="shared" ca="1" si="352"/>
        <v>0</v>
      </c>
      <c r="Q1475" s="12">
        <f t="shared" ca="1" si="353"/>
        <v>-405600</v>
      </c>
      <c r="R1475" s="10">
        <f t="shared" ca="1" si="354"/>
        <v>0</v>
      </c>
      <c r="S1475" s="10">
        <f t="shared" ca="1" si="344"/>
        <v>-0.26320485367594576</v>
      </c>
      <c r="T1475" s="14">
        <f t="shared" ca="1" si="345"/>
        <v>-0.15705269986422962</v>
      </c>
      <c r="U1475" s="12">
        <f t="shared" ca="1" si="355"/>
        <v>7900</v>
      </c>
      <c r="V1475" s="14">
        <f t="shared" ca="1" si="356"/>
        <v>-5234.1772151898731</v>
      </c>
      <c r="W1475" s="12">
        <f t="shared" ca="1" si="346"/>
        <v>-4611.3924050632913</v>
      </c>
      <c r="X1475" s="7">
        <f ca="1">AVERAGE(E1475:OFFSET(F1475,-$X$5+1,0))</f>
        <v>12046.2</v>
      </c>
      <c r="Y1475" s="7">
        <f ca="1">AVERAGE(E1475:OFFSET(F1475,-$Y$5+1,0))</f>
        <v>12017</v>
      </c>
      <c r="Z1475" s="7">
        <f t="shared" ca="1" si="348"/>
        <v>0</v>
      </c>
    </row>
    <row r="1476" spans="1:26">
      <c r="A1476" s="3" t="s">
        <v>95</v>
      </c>
      <c r="B1476" s="4">
        <v>43836</v>
      </c>
      <c r="C1476" s="3">
        <v>12017</v>
      </c>
      <c r="D1476" s="3">
        <v>12034</v>
      </c>
      <c r="E1476" s="3">
        <v>11948</v>
      </c>
      <c r="F1476" s="3">
        <v>11950</v>
      </c>
      <c r="G1476" s="3">
        <v>118380</v>
      </c>
      <c r="H1476" s="3">
        <v>1.0449999999999999</v>
      </c>
      <c r="I1476" s="2">
        <f t="shared" ref="I1476:I1539" si="357">IF(A1476=A1477,0,1)</f>
        <v>0</v>
      </c>
      <c r="J1476" s="10">
        <f t="shared" si="343"/>
        <v>-69</v>
      </c>
      <c r="K1476" s="10">
        <f t="shared" ref="K1476:K1539" si="358">F1476-C1476</f>
        <v>-67</v>
      </c>
      <c r="L1476" s="10">
        <f t="shared" ca="1" si="347"/>
        <v>0</v>
      </c>
      <c r="M1476" s="10">
        <f t="shared" ca="1" si="349"/>
        <v>0</v>
      </c>
      <c r="N1476" s="30">
        <f t="shared" ca="1" si="350"/>
        <v>0</v>
      </c>
      <c r="O1476" s="10">
        <f t="shared" ca="1" si="351"/>
        <v>0</v>
      </c>
      <c r="P1476" s="29">
        <f t="shared" ca="1" si="352"/>
        <v>0</v>
      </c>
      <c r="Q1476" s="12">
        <f t="shared" ca="1" si="353"/>
        <v>-405600</v>
      </c>
      <c r="R1476" s="10">
        <f t="shared" ca="1" si="354"/>
        <v>0</v>
      </c>
      <c r="S1476" s="10">
        <f t="shared" ca="1" si="344"/>
        <v>-0.26915298596240783</v>
      </c>
      <c r="T1476" s="14">
        <f t="shared" ca="1" si="345"/>
        <v>-0.15776678545419937</v>
      </c>
      <c r="U1476" s="12">
        <f t="shared" ca="1" si="355"/>
        <v>7900</v>
      </c>
      <c r="V1476" s="14">
        <f t="shared" ca="1" si="356"/>
        <v>-5234.1772151898731</v>
      </c>
      <c r="W1476" s="12">
        <f t="shared" ca="1" si="346"/>
        <v>-4611.3924050632913</v>
      </c>
      <c r="X1476" s="7">
        <f ca="1">AVERAGE(E1476:OFFSET(F1476,-$X$5+1,0))</f>
        <v>12022.6</v>
      </c>
      <c r="Y1476" s="7">
        <f ca="1">AVERAGE(E1476:OFFSET(F1476,-$Y$5+1,0))</f>
        <v>12015.4</v>
      </c>
      <c r="Z1476" s="7">
        <f t="shared" ca="1" si="348"/>
        <v>0</v>
      </c>
    </row>
    <row r="1477" spans="1:26">
      <c r="A1477" s="3" t="s">
        <v>95</v>
      </c>
      <c r="B1477" s="4">
        <v>43837</v>
      </c>
      <c r="C1477" s="3">
        <v>11995</v>
      </c>
      <c r="D1477" s="3">
        <v>12009</v>
      </c>
      <c r="E1477" s="3">
        <v>11816</v>
      </c>
      <c r="F1477" s="3">
        <v>11871</v>
      </c>
      <c r="G1477" s="3">
        <v>157264</v>
      </c>
      <c r="H1477" s="3">
        <v>1.0449999999999999</v>
      </c>
      <c r="I1477" s="2">
        <f t="shared" si="357"/>
        <v>0</v>
      </c>
      <c r="J1477" s="10">
        <f t="shared" ref="J1477:J1540" si="359">C1477-F1476</f>
        <v>45</v>
      </c>
      <c r="K1477" s="10">
        <f t="shared" si="358"/>
        <v>-124</v>
      </c>
      <c r="L1477" s="10">
        <f t="shared" ca="1" si="347"/>
        <v>-1</v>
      </c>
      <c r="M1477" s="10">
        <f t="shared" ca="1" si="349"/>
        <v>0</v>
      </c>
      <c r="N1477" s="30">
        <f t="shared" ca="1" si="350"/>
        <v>0</v>
      </c>
      <c r="O1477" s="10">
        <f t="shared" ca="1" si="351"/>
        <v>0</v>
      </c>
      <c r="P1477" s="29">
        <f t="shared" ca="1" si="352"/>
        <v>0</v>
      </c>
      <c r="Q1477" s="12">
        <f t="shared" ca="1" si="353"/>
        <v>-405600</v>
      </c>
      <c r="R1477" s="10">
        <f t="shared" ca="1" si="354"/>
        <v>0</v>
      </c>
      <c r="S1477" s="10">
        <f t="shared" ca="1" si="344"/>
        <v>0.16803473709255293</v>
      </c>
      <c r="T1477" s="14">
        <f t="shared" ca="1" si="345"/>
        <v>-0.10528149459142373</v>
      </c>
      <c r="U1477" s="12">
        <f t="shared" ca="1" si="355"/>
        <v>7900</v>
      </c>
      <c r="V1477" s="14">
        <f t="shared" ca="1" si="356"/>
        <v>-5234.1772151898731</v>
      </c>
      <c r="W1477" s="12">
        <f t="shared" ca="1" si="346"/>
        <v>-4611.3924050632913</v>
      </c>
      <c r="X1477" s="7">
        <f ca="1">AVERAGE(E1477:OFFSET(F1477,-$X$5+1,0))</f>
        <v>11977.9</v>
      </c>
      <c r="Y1477" s="7">
        <f ca="1">AVERAGE(E1477:OFFSET(F1477,-$Y$5+1,0))</f>
        <v>12000.15</v>
      </c>
      <c r="Z1477" s="7">
        <f t="shared" ca="1" si="348"/>
        <v>-1</v>
      </c>
    </row>
    <row r="1478" spans="1:26">
      <c r="A1478" s="3" t="s">
        <v>95</v>
      </c>
      <c r="B1478" s="4">
        <v>43838</v>
      </c>
      <c r="C1478" s="3">
        <v>11728</v>
      </c>
      <c r="D1478" s="3">
        <v>11892</v>
      </c>
      <c r="E1478" s="3">
        <v>11697</v>
      </c>
      <c r="F1478" s="3">
        <v>11788</v>
      </c>
      <c r="G1478" s="3">
        <v>158971</v>
      </c>
      <c r="H1478" s="3">
        <v>1.0449999999999999</v>
      </c>
      <c r="I1478" s="2">
        <f t="shared" si="357"/>
        <v>0</v>
      </c>
      <c r="J1478" s="10">
        <f t="shared" si="359"/>
        <v>-143</v>
      </c>
      <c r="K1478" s="10">
        <f t="shared" si="358"/>
        <v>60</v>
      </c>
      <c r="L1478" s="10">
        <f t="shared" ca="1" si="347"/>
        <v>0</v>
      </c>
      <c r="M1478" s="10">
        <f t="shared" ca="1" si="349"/>
        <v>-1</v>
      </c>
      <c r="N1478" s="30">
        <f t="shared" ca="1" si="350"/>
        <v>0</v>
      </c>
      <c r="O1478" s="10">
        <f t="shared" ca="1" si="351"/>
        <v>2345600</v>
      </c>
      <c r="P1478" s="29">
        <f t="shared" ca="1" si="352"/>
        <v>-12500</v>
      </c>
      <c r="Q1478" s="12">
        <f t="shared" ca="1" si="353"/>
        <v>-418100</v>
      </c>
      <c r="R1478" s="10">
        <f t="shared" ca="1" si="354"/>
        <v>-0.532912687585266</v>
      </c>
      <c r="S1478" s="10">
        <f t="shared" ca="1" si="344"/>
        <v>-5.948132286462051E-2</v>
      </c>
      <c r="T1478" s="14">
        <f t="shared" ca="1" si="345"/>
        <v>-0.13236594374897429</v>
      </c>
      <c r="U1478" s="12">
        <f t="shared" ca="1" si="355"/>
        <v>7900</v>
      </c>
      <c r="V1478" s="14">
        <f t="shared" ca="1" si="356"/>
        <v>-5392.4050632911394</v>
      </c>
      <c r="W1478" s="12">
        <f t="shared" ca="1" si="346"/>
        <v>-4611.3924050632913</v>
      </c>
      <c r="X1478" s="7">
        <f ca="1">AVERAGE(E1478:OFFSET(F1478,-$X$5+1,0))</f>
        <v>11927.7</v>
      </c>
      <c r="Y1478" s="7">
        <f ca="1">AVERAGE(E1478:OFFSET(F1478,-$Y$5+1,0))</f>
        <v>11976.15</v>
      </c>
      <c r="Z1478" s="7">
        <f t="shared" ca="1" si="348"/>
        <v>0</v>
      </c>
    </row>
    <row r="1479" spans="1:26">
      <c r="A1479" s="3" t="s">
        <v>95</v>
      </c>
      <c r="B1479" s="4">
        <v>43839</v>
      </c>
      <c r="C1479" s="3">
        <v>11919</v>
      </c>
      <c r="D1479" s="3">
        <v>11998</v>
      </c>
      <c r="E1479" s="3">
        <v>11883</v>
      </c>
      <c r="F1479" s="3">
        <v>11968</v>
      </c>
      <c r="G1479" s="3">
        <v>115014</v>
      </c>
      <c r="H1479" s="3">
        <v>1.0449999999999999</v>
      </c>
      <c r="I1479" s="2">
        <f t="shared" si="357"/>
        <v>0</v>
      </c>
      <c r="J1479" s="10">
        <f t="shared" si="359"/>
        <v>131</v>
      </c>
      <c r="K1479" s="10">
        <f t="shared" si="358"/>
        <v>49</v>
      </c>
      <c r="L1479" s="10">
        <f t="shared" ca="1" si="347"/>
        <v>0</v>
      </c>
      <c r="M1479" s="10">
        <f t="shared" ca="1" si="349"/>
        <v>-1</v>
      </c>
      <c r="N1479" s="30">
        <f t="shared" ca="1" si="350"/>
        <v>0</v>
      </c>
      <c r="O1479" s="10">
        <f t="shared" ca="1" si="351"/>
        <v>2345600</v>
      </c>
      <c r="P1479" s="29">
        <f t="shared" ca="1" si="352"/>
        <v>-36000</v>
      </c>
      <c r="Q1479" s="12">
        <f t="shared" ca="1" si="353"/>
        <v>-454100</v>
      </c>
      <c r="R1479" s="10">
        <f t="shared" ca="1" si="354"/>
        <v>-1.5347885402455661</v>
      </c>
      <c r="S1479" s="10">
        <f t="shared" ca="1" si="344"/>
        <v>-0.39108969783487985</v>
      </c>
      <c r="T1479" s="14">
        <f t="shared" ca="1" si="345"/>
        <v>-0.16962303401120335</v>
      </c>
      <c r="U1479" s="12">
        <f t="shared" ca="1" si="355"/>
        <v>7900</v>
      </c>
      <c r="V1479" s="14">
        <f t="shared" ca="1" si="356"/>
        <v>-5848.1012658227846</v>
      </c>
      <c r="W1479" s="12">
        <f t="shared" ca="1" si="346"/>
        <v>-4611.3924050632913</v>
      </c>
      <c r="X1479" s="7">
        <f ca="1">AVERAGE(E1479:OFFSET(F1479,-$X$5+1,0))</f>
        <v>11900.3</v>
      </c>
      <c r="Y1479" s="7">
        <f ca="1">AVERAGE(E1479:OFFSET(F1479,-$Y$5+1,0))</f>
        <v>11968.9</v>
      </c>
      <c r="Z1479" s="7">
        <f t="shared" ca="1" si="348"/>
        <v>0</v>
      </c>
    </row>
    <row r="1480" spans="1:26">
      <c r="A1480" s="3" t="s">
        <v>95</v>
      </c>
      <c r="B1480" s="4">
        <v>43840</v>
      </c>
      <c r="C1480" s="3">
        <v>12005</v>
      </c>
      <c r="D1480" s="3">
        <v>12042</v>
      </c>
      <c r="E1480" s="3">
        <v>11953</v>
      </c>
      <c r="F1480" s="3">
        <v>12010</v>
      </c>
      <c r="G1480" s="3">
        <v>114171</v>
      </c>
      <c r="H1480" s="3">
        <v>1.0449999999999999</v>
      </c>
      <c r="I1480" s="2">
        <f t="shared" si="357"/>
        <v>0</v>
      </c>
      <c r="J1480" s="10">
        <f t="shared" si="359"/>
        <v>37</v>
      </c>
      <c r="K1480" s="10">
        <f t="shared" si="358"/>
        <v>5</v>
      </c>
      <c r="L1480" s="10">
        <f t="shared" ca="1" si="347"/>
        <v>0</v>
      </c>
      <c r="M1480" s="10">
        <f t="shared" ca="1" si="349"/>
        <v>-1</v>
      </c>
      <c r="N1480" s="30">
        <f t="shared" ca="1" si="350"/>
        <v>0</v>
      </c>
      <c r="O1480" s="10">
        <f t="shared" ca="1" si="351"/>
        <v>2345600</v>
      </c>
      <c r="P1480" s="29">
        <f t="shared" ca="1" si="352"/>
        <v>-8400</v>
      </c>
      <c r="Q1480" s="12">
        <f t="shared" ca="1" si="353"/>
        <v>-462500</v>
      </c>
      <c r="R1480" s="10">
        <f t="shared" ca="1" si="354"/>
        <v>-0.35811732605729879</v>
      </c>
      <c r="S1480" s="10">
        <f t="shared" ca="1" si="344"/>
        <v>-0.51600047585058295</v>
      </c>
      <c r="T1480" s="14">
        <f t="shared" ca="1" si="345"/>
        <v>-0.18451020724057179</v>
      </c>
      <c r="U1480" s="12">
        <f t="shared" ca="1" si="355"/>
        <v>7900</v>
      </c>
      <c r="V1480" s="14">
        <f t="shared" ca="1" si="356"/>
        <v>-5954.4303797468356</v>
      </c>
      <c r="W1480" s="12">
        <f t="shared" ca="1" si="346"/>
        <v>-4611.3924050632913</v>
      </c>
      <c r="X1480" s="7">
        <f ca="1">AVERAGE(E1480:OFFSET(F1480,-$X$5+1,0))</f>
        <v>11888.4</v>
      </c>
      <c r="Y1480" s="7">
        <f ca="1">AVERAGE(E1480:OFFSET(F1480,-$Y$5+1,0))</f>
        <v>11967.3</v>
      </c>
      <c r="Z1480" s="7">
        <f t="shared" ca="1" si="348"/>
        <v>0</v>
      </c>
    </row>
    <row r="1481" spans="1:26">
      <c r="A1481" s="3" t="s">
        <v>95</v>
      </c>
      <c r="B1481" s="4">
        <v>43843</v>
      </c>
      <c r="C1481" s="3">
        <v>12085</v>
      </c>
      <c r="D1481" s="3">
        <v>12121</v>
      </c>
      <c r="E1481" s="3">
        <v>12044</v>
      </c>
      <c r="F1481" s="3">
        <v>12117</v>
      </c>
      <c r="G1481" s="3">
        <v>142642</v>
      </c>
      <c r="H1481" s="3">
        <v>1.0449999999999999</v>
      </c>
      <c r="I1481" s="2">
        <f t="shared" si="357"/>
        <v>0</v>
      </c>
      <c r="J1481" s="10">
        <f t="shared" si="359"/>
        <v>75</v>
      </c>
      <c r="K1481" s="10">
        <f t="shared" si="358"/>
        <v>32</v>
      </c>
      <c r="L1481" s="10">
        <f t="shared" ca="1" si="347"/>
        <v>0</v>
      </c>
      <c r="M1481" s="10">
        <f t="shared" ca="1" si="349"/>
        <v>-1</v>
      </c>
      <c r="N1481" s="30">
        <f t="shared" ca="1" si="350"/>
        <v>0</v>
      </c>
      <c r="O1481" s="10">
        <f t="shared" ca="1" si="351"/>
        <v>2345600</v>
      </c>
      <c r="P1481" s="29">
        <f t="shared" ca="1" si="352"/>
        <v>-21400</v>
      </c>
      <c r="Q1481" s="12">
        <f t="shared" ca="1" si="353"/>
        <v>-483900</v>
      </c>
      <c r="R1481" s="10">
        <f t="shared" ca="1" si="354"/>
        <v>-0.91234652114597548</v>
      </c>
      <c r="S1481" s="10">
        <f t="shared" ca="1" si="344"/>
        <v>-0.83422555317630265</v>
      </c>
      <c r="T1481" s="14">
        <f t="shared" ca="1" si="345"/>
        <v>-0.23208982627357491</v>
      </c>
      <c r="U1481" s="12">
        <f t="shared" ca="1" si="355"/>
        <v>7900</v>
      </c>
      <c r="V1481" s="14">
        <f t="shared" ca="1" si="356"/>
        <v>-6225.3164556962029</v>
      </c>
      <c r="W1481" s="12">
        <f t="shared" ca="1" si="346"/>
        <v>-4611.3924050632913</v>
      </c>
      <c r="X1481" s="7">
        <f ca="1">AVERAGE(E1481:OFFSET(F1481,-$X$5+1,0))</f>
        <v>11914.7</v>
      </c>
      <c r="Y1481" s="7">
        <f ca="1">AVERAGE(E1481:OFFSET(F1481,-$Y$5+1,0))</f>
        <v>11968.65</v>
      </c>
      <c r="Z1481" s="7">
        <f t="shared" ca="1" si="348"/>
        <v>0</v>
      </c>
    </row>
    <row r="1482" spans="1:26">
      <c r="A1482" s="3" t="s">
        <v>95</v>
      </c>
      <c r="B1482" s="4">
        <v>43844</v>
      </c>
      <c r="C1482" s="3">
        <v>12176</v>
      </c>
      <c r="D1482" s="3">
        <v>12199</v>
      </c>
      <c r="E1482" s="3">
        <v>12148</v>
      </c>
      <c r="F1482" s="3">
        <v>12181</v>
      </c>
      <c r="G1482" s="3">
        <v>104397</v>
      </c>
      <c r="H1482" s="3">
        <v>1.0449999999999999</v>
      </c>
      <c r="I1482" s="2">
        <f t="shared" si="357"/>
        <v>0</v>
      </c>
      <c r="J1482" s="10">
        <f t="shared" si="359"/>
        <v>59</v>
      </c>
      <c r="K1482" s="10">
        <f t="shared" si="358"/>
        <v>5</v>
      </c>
      <c r="L1482" s="10">
        <f t="shared" ca="1" si="347"/>
        <v>1</v>
      </c>
      <c r="M1482" s="10">
        <f t="shared" ca="1" si="349"/>
        <v>-1</v>
      </c>
      <c r="N1482" s="30">
        <f t="shared" ca="1" si="350"/>
        <v>0</v>
      </c>
      <c r="O1482" s="10">
        <f t="shared" ca="1" si="351"/>
        <v>2345600</v>
      </c>
      <c r="P1482" s="29">
        <f t="shared" ca="1" si="352"/>
        <v>-12800</v>
      </c>
      <c r="Q1482" s="12">
        <f t="shared" ca="1" si="353"/>
        <v>-496700</v>
      </c>
      <c r="R1482" s="10">
        <f t="shared" ca="1" si="354"/>
        <v>-0.54570259208731242</v>
      </c>
      <c r="S1482" s="10">
        <f t="shared" ca="1" si="344"/>
        <v>-1.0245657863430884</v>
      </c>
      <c r="T1482" s="14">
        <f t="shared" ca="1" si="345"/>
        <v>-0.25618751806372358</v>
      </c>
      <c r="U1482" s="12">
        <f t="shared" ca="1" si="355"/>
        <v>7900</v>
      </c>
      <c r="V1482" s="14">
        <f t="shared" ca="1" si="356"/>
        <v>-6387.341772151899</v>
      </c>
      <c r="W1482" s="12">
        <f t="shared" ca="1" si="346"/>
        <v>-4611.3924050632913</v>
      </c>
      <c r="X1482" s="7">
        <f ca="1">AVERAGE(E1482:OFFSET(F1482,-$X$5+1,0))</f>
        <v>11978.9</v>
      </c>
      <c r="Y1482" s="7">
        <f ca="1">AVERAGE(E1482:OFFSET(F1482,-$Y$5+1,0))</f>
        <v>11978.4</v>
      </c>
      <c r="Z1482" s="7">
        <f t="shared" ca="1" si="348"/>
        <v>1</v>
      </c>
    </row>
    <row r="1483" spans="1:26">
      <c r="A1483" s="3" t="s">
        <v>95</v>
      </c>
      <c r="B1483" s="4">
        <v>43845</v>
      </c>
      <c r="C1483" s="3">
        <v>12159</v>
      </c>
      <c r="D1483" s="3">
        <v>12175</v>
      </c>
      <c r="E1483" s="3">
        <v>12058</v>
      </c>
      <c r="F1483" s="3">
        <v>12063</v>
      </c>
      <c r="G1483" s="3">
        <v>89882</v>
      </c>
      <c r="H1483" s="3">
        <v>1.0449999999999999</v>
      </c>
      <c r="I1483" s="2">
        <f t="shared" si="357"/>
        <v>1</v>
      </c>
      <c r="J1483" s="10">
        <f t="shared" si="359"/>
        <v>-22</v>
      </c>
      <c r="K1483" s="10">
        <f t="shared" si="358"/>
        <v>-96</v>
      </c>
      <c r="L1483" s="10">
        <f t="shared" ca="1" si="347"/>
        <v>0</v>
      </c>
      <c r="M1483" s="10">
        <f t="shared" si="349"/>
        <v>0</v>
      </c>
      <c r="N1483" s="30">
        <f t="shared" si="350"/>
        <v>0</v>
      </c>
      <c r="O1483" s="10">
        <f t="shared" si="351"/>
        <v>0</v>
      </c>
      <c r="P1483" s="29">
        <f t="shared" ca="1" si="352"/>
        <v>3900</v>
      </c>
      <c r="Q1483" s="12">
        <f t="shared" ca="1" si="353"/>
        <v>-492800</v>
      </c>
      <c r="R1483" s="10">
        <f t="shared" ca="1" si="354"/>
        <v>0.166268758526603</v>
      </c>
      <c r="S1483" s="10">
        <f t="shared" ca="1" si="344"/>
        <v>-0.96657149655008323</v>
      </c>
      <c r="T1483" s="14">
        <f t="shared" ca="1" si="345"/>
        <v>-0.25357748339031694</v>
      </c>
      <c r="U1483" s="12">
        <f t="shared" ca="1" si="355"/>
        <v>7900</v>
      </c>
      <c r="V1483" s="14">
        <f t="shared" ca="1" si="356"/>
        <v>-6337.9746835443038</v>
      </c>
      <c r="W1483" s="12">
        <f t="shared" ca="1" si="346"/>
        <v>-4611.3924050632913</v>
      </c>
      <c r="X1483" s="7">
        <f ca="1">AVERAGE(E1483:OFFSET(F1483,-$X$5+1,0))</f>
        <v>12042.5</v>
      </c>
      <c r="Y1483" s="7">
        <f ca="1">AVERAGE(E1483:OFFSET(F1483,-$Y$5+1,0))</f>
        <v>11985.1</v>
      </c>
      <c r="Z1483" s="7">
        <f t="shared" ca="1" si="348"/>
        <v>0</v>
      </c>
    </row>
    <row r="1484" spans="1:26">
      <c r="A1484" s="3" t="s">
        <v>96</v>
      </c>
      <c r="B1484" s="4">
        <v>43846</v>
      </c>
      <c r="C1484" s="3">
        <v>12040</v>
      </c>
      <c r="D1484" s="3">
        <v>12078</v>
      </c>
      <c r="E1484" s="3">
        <v>11990</v>
      </c>
      <c r="F1484" s="3">
        <v>12056</v>
      </c>
      <c r="G1484" s="3">
        <v>106272</v>
      </c>
      <c r="H1484" s="3">
        <v>1.0449999999999999</v>
      </c>
      <c r="I1484" s="2">
        <f t="shared" si="357"/>
        <v>0</v>
      </c>
      <c r="J1484" s="10">
        <f t="shared" si="359"/>
        <v>-23</v>
      </c>
      <c r="K1484" s="10">
        <f t="shared" si="358"/>
        <v>16</v>
      </c>
      <c r="L1484" s="10">
        <f t="shared" ca="1" si="347"/>
        <v>0</v>
      </c>
      <c r="M1484" s="10">
        <f t="shared" ca="1" si="349"/>
        <v>0</v>
      </c>
      <c r="N1484" s="30">
        <f t="shared" ca="1" si="350"/>
        <v>0</v>
      </c>
      <c r="O1484" s="10">
        <f t="shared" ca="1" si="351"/>
        <v>0</v>
      </c>
      <c r="P1484" s="29">
        <f t="shared" ca="1" si="352"/>
        <v>0</v>
      </c>
      <c r="Q1484" s="12">
        <f t="shared" ca="1" si="353"/>
        <v>-492800</v>
      </c>
      <c r="R1484" s="10">
        <f t="shared" ca="1" si="354"/>
        <v>0</v>
      </c>
      <c r="S1484" s="10">
        <f t="shared" ca="1" si="344"/>
        <v>-0.96657149655008323</v>
      </c>
      <c r="T1484" s="14">
        <f t="shared" ca="1" si="345"/>
        <v>-0.26139874893056425</v>
      </c>
      <c r="U1484" s="12">
        <f t="shared" ca="1" si="355"/>
        <v>7900</v>
      </c>
      <c r="V1484" s="14">
        <f t="shared" ca="1" si="356"/>
        <v>-6337.9746835443038</v>
      </c>
      <c r="W1484" s="12">
        <f t="shared" ca="1" si="346"/>
        <v>-4611.3924050632913</v>
      </c>
      <c r="X1484" s="7">
        <f ca="1">AVERAGE(E1484:OFFSET(F1484,-$X$5+1,0))</f>
        <v>12062</v>
      </c>
      <c r="Y1484" s="7">
        <f ca="1">AVERAGE(E1484:OFFSET(F1484,-$Y$5+1,0))</f>
        <v>11981.15</v>
      </c>
      <c r="Z1484" s="7">
        <f t="shared" ca="1" si="348"/>
        <v>0</v>
      </c>
    </row>
    <row r="1485" spans="1:26">
      <c r="A1485" s="3" t="s">
        <v>96</v>
      </c>
      <c r="B1485" s="4">
        <v>43847</v>
      </c>
      <c r="C1485" s="3">
        <v>12103</v>
      </c>
      <c r="D1485" s="3">
        <v>12118</v>
      </c>
      <c r="E1485" s="3">
        <v>12029</v>
      </c>
      <c r="F1485" s="3">
        <v>12072</v>
      </c>
      <c r="G1485" s="3">
        <v>101199</v>
      </c>
      <c r="H1485" s="3">
        <v>1.0449999999999999</v>
      </c>
      <c r="I1485" s="2">
        <f t="shared" si="357"/>
        <v>0</v>
      </c>
      <c r="J1485" s="10">
        <f t="shared" si="359"/>
        <v>47</v>
      </c>
      <c r="K1485" s="10">
        <f t="shared" si="358"/>
        <v>-31</v>
      </c>
      <c r="L1485" s="10">
        <f t="shared" ca="1" si="347"/>
        <v>0</v>
      </c>
      <c r="M1485" s="10">
        <f t="shared" ca="1" si="349"/>
        <v>0</v>
      </c>
      <c r="N1485" s="30">
        <f t="shared" ca="1" si="350"/>
        <v>0</v>
      </c>
      <c r="O1485" s="10">
        <f t="shared" ca="1" si="351"/>
        <v>0</v>
      </c>
      <c r="P1485" s="29">
        <f t="shared" ca="1" si="352"/>
        <v>0</v>
      </c>
      <c r="Q1485" s="12">
        <f t="shared" ca="1" si="353"/>
        <v>-492800</v>
      </c>
      <c r="R1485" s="10">
        <f t="shared" ca="1" si="354"/>
        <v>0</v>
      </c>
      <c r="S1485" s="10">
        <f t="shared" ca="1" si="344"/>
        <v>-0.96657149655008323</v>
      </c>
      <c r="T1485" s="14">
        <f t="shared" ca="1" si="345"/>
        <v>-0.2625015962266844</v>
      </c>
      <c r="U1485" s="12">
        <f t="shared" ca="1" si="355"/>
        <v>7900</v>
      </c>
      <c r="V1485" s="14">
        <f t="shared" ca="1" si="356"/>
        <v>-6337.9746835443038</v>
      </c>
      <c r="W1485" s="12">
        <f t="shared" ca="1" si="346"/>
        <v>-4611.3924050632913</v>
      </c>
      <c r="X1485" s="7">
        <f ca="1">AVERAGE(E1485:OFFSET(F1485,-$X$5+1,0))</f>
        <v>12075.8</v>
      </c>
      <c r="Y1485" s="7">
        <f ca="1">AVERAGE(E1485:OFFSET(F1485,-$Y$5+1,0))</f>
        <v>11982.1</v>
      </c>
      <c r="Z1485" s="7">
        <f t="shared" ca="1" si="348"/>
        <v>0</v>
      </c>
    </row>
    <row r="1486" spans="1:26">
      <c r="A1486" s="3" t="s">
        <v>96</v>
      </c>
      <c r="B1486" s="4">
        <v>43850</v>
      </c>
      <c r="C1486" s="3">
        <v>12119</v>
      </c>
      <c r="D1486" s="3">
        <v>12160</v>
      </c>
      <c r="E1486" s="3">
        <v>12097</v>
      </c>
      <c r="F1486" s="3">
        <v>12111</v>
      </c>
      <c r="G1486" s="3">
        <v>77557</v>
      </c>
      <c r="H1486" s="3">
        <v>1.0449999999999999</v>
      </c>
      <c r="I1486" s="2">
        <f t="shared" si="357"/>
        <v>0</v>
      </c>
      <c r="J1486" s="10">
        <f t="shared" si="359"/>
        <v>47</v>
      </c>
      <c r="K1486" s="10">
        <f t="shared" si="358"/>
        <v>-8</v>
      </c>
      <c r="L1486" s="10">
        <f t="shared" ca="1" si="347"/>
        <v>0</v>
      </c>
      <c r="M1486" s="10">
        <f t="shared" ca="1" si="349"/>
        <v>0</v>
      </c>
      <c r="N1486" s="30">
        <f t="shared" ca="1" si="350"/>
        <v>0</v>
      </c>
      <c r="O1486" s="10">
        <f t="shared" ca="1" si="351"/>
        <v>0</v>
      </c>
      <c r="P1486" s="29">
        <f t="shared" ca="1" si="352"/>
        <v>0</v>
      </c>
      <c r="Q1486" s="12">
        <f t="shared" ca="1" si="353"/>
        <v>-492800</v>
      </c>
      <c r="R1486" s="10">
        <f t="shared" ca="1" si="354"/>
        <v>0</v>
      </c>
      <c r="S1486" s="10">
        <f t="shared" ca="1" si="344"/>
        <v>-0.96657149655008323</v>
      </c>
      <c r="T1486" s="14">
        <f t="shared" ca="1" si="345"/>
        <v>-0.26539099087317164</v>
      </c>
      <c r="U1486" s="12">
        <f t="shared" ca="1" si="355"/>
        <v>7900</v>
      </c>
      <c r="V1486" s="14">
        <f t="shared" ca="1" si="356"/>
        <v>-6337.9746835443038</v>
      </c>
      <c r="W1486" s="12">
        <f t="shared" ca="1" si="346"/>
        <v>-4611.3924050632913</v>
      </c>
      <c r="X1486" s="7">
        <f ca="1">AVERAGE(E1486:OFFSET(F1486,-$X$5+1,0))</f>
        <v>12080.5</v>
      </c>
      <c r="Y1486" s="7">
        <f ca="1">AVERAGE(E1486:OFFSET(F1486,-$Y$5+1,0))</f>
        <v>11997.6</v>
      </c>
      <c r="Z1486" s="7">
        <f t="shared" ca="1" si="348"/>
        <v>0</v>
      </c>
    </row>
    <row r="1487" spans="1:26">
      <c r="A1487" s="3" t="s">
        <v>96</v>
      </c>
      <c r="B1487" s="4">
        <v>43860</v>
      </c>
      <c r="C1487" s="3">
        <v>11770</v>
      </c>
      <c r="D1487" s="3">
        <v>11798</v>
      </c>
      <c r="E1487" s="3">
        <v>11366</v>
      </c>
      <c r="F1487" s="3">
        <v>11370</v>
      </c>
      <c r="G1487" s="3">
        <v>248664</v>
      </c>
      <c r="H1487" s="3">
        <v>1.0449999999999999</v>
      </c>
      <c r="I1487" s="2">
        <f t="shared" si="357"/>
        <v>0</v>
      </c>
      <c r="J1487" s="10">
        <f t="shared" si="359"/>
        <v>-341</v>
      </c>
      <c r="K1487" s="10">
        <f t="shared" si="358"/>
        <v>-400</v>
      </c>
      <c r="L1487" s="10">
        <f t="shared" ca="1" si="347"/>
        <v>-1</v>
      </c>
      <c r="M1487" s="10">
        <f t="shared" ca="1" si="349"/>
        <v>0</v>
      </c>
      <c r="N1487" s="30">
        <f t="shared" ca="1" si="350"/>
        <v>0</v>
      </c>
      <c r="O1487" s="10">
        <f t="shared" ca="1" si="351"/>
        <v>0</v>
      </c>
      <c r="P1487" s="29">
        <f t="shared" ca="1" si="352"/>
        <v>0</v>
      </c>
      <c r="Q1487" s="12">
        <f t="shared" ca="1" si="353"/>
        <v>-492800</v>
      </c>
      <c r="R1487" s="10">
        <f t="shared" ca="1" si="354"/>
        <v>0</v>
      </c>
      <c r="S1487" s="10">
        <f t="shared" ca="1" si="344"/>
        <v>-0.96657149655008323</v>
      </c>
      <c r="T1487" s="14">
        <f t="shared" ca="1" si="345"/>
        <v>-0.26554517582787734</v>
      </c>
      <c r="U1487" s="12">
        <f t="shared" ca="1" si="355"/>
        <v>7900</v>
      </c>
      <c r="V1487" s="14">
        <f t="shared" ca="1" si="356"/>
        <v>-6337.9746835443038</v>
      </c>
      <c r="W1487" s="12">
        <f t="shared" ca="1" si="346"/>
        <v>-4611.3924050632913</v>
      </c>
      <c r="X1487" s="7">
        <f ca="1">AVERAGE(E1487:OFFSET(F1487,-$X$5+1,0))</f>
        <v>11921.2</v>
      </c>
      <c r="Y1487" s="7">
        <f ca="1">AVERAGE(E1487:OFFSET(F1487,-$Y$5+1,0))</f>
        <v>11950.05</v>
      </c>
      <c r="Z1487" s="7">
        <f t="shared" ca="1" si="348"/>
        <v>-1</v>
      </c>
    </row>
    <row r="1488" spans="1:26">
      <c r="A1488" s="3" t="s">
        <v>96</v>
      </c>
      <c r="B1488" s="4">
        <v>43861</v>
      </c>
      <c r="C1488" s="3">
        <v>11460</v>
      </c>
      <c r="D1488" s="3">
        <v>11567</v>
      </c>
      <c r="E1488" s="3">
        <v>11407</v>
      </c>
      <c r="F1488" s="3">
        <v>11468</v>
      </c>
      <c r="G1488" s="3">
        <v>154361</v>
      </c>
      <c r="H1488" s="3">
        <v>1.0449999999999999</v>
      </c>
      <c r="I1488" s="2">
        <f t="shared" si="357"/>
        <v>0</v>
      </c>
      <c r="J1488" s="10">
        <f t="shared" si="359"/>
        <v>90</v>
      </c>
      <c r="K1488" s="10">
        <f t="shared" si="358"/>
        <v>8</v>
      </c>
      <c r="L1488" s="10">
        <f t="shared" ca="1" si="347"/>
        <v>0</v>
      </c>
      <c r="M1488" s="10">
        <f t="shared" ca="1" si="349"/>
        <v>-1</v>
      </c>
      <c r="N1488" s="30">
        <f t="shared" ca="1" si="350"/>
        <v>0</v>
      </c>
      <c r="O1488" s="10">
        <f t="shared" ca="1" si="351"/>
        <v>2292000</v>
      </c>
      <c r="P1488" s="29">
        <f t="shared" ca="1" si="352"/>
        <v>-2100</v>
      </c>
      <c r="Q1488" s="12">
        <f t="shared" ca="1" si="353"/>
        <v>-494900</v>
      </c>
      <c r="R1488" s="10">
        <f t="shared" ca="1" si="354"/>
        <v>-9.1623036649214659E-2</v>
      </c>
      <c r="S1488" s="10">
        <f t="shared" ca="1" si="344"/>
        <v>-0.99779919105400905</v>
      </c>
      <c r="T1488" s="14">
        <f t="shared" ca="1" si="345"/>
        <v>-0.26965642958514102</v>
      </c>
      <c r="U1488" s="12">
        <f t="shared" ca="1" si="355"/>
        <v>7900</v>
      </c>
      <c r="V1488" s="14">
        <f t="shared" ca="1" si="356"/>
        <v>-6364.5569620253164</v>
      </c>
      <c r="W1488" s="12">
        <f t="shared" ca="1" si="346"/>
        <v>-4611.3924050632913</v>
      </c>
      <c r="X1488" s="7">
        <f ca="1">AVERAGE(E1488:OFFSET(F1488,-$X$5+1,0))</f>
        <v>11796.6</v>
      </c>
      <c r="Y1488" s="7">
        <f ca="1">AVERAGE(E1488:OFFSET(F1488,-$Y$5+1,0))</f>
        <v>11919.55</v>
      </c>
      <c r="Z1488" s="7">
        <f t="shared" ca="1" si="348"/>
        <v>0</v>
      </c>
    </row>
    <row r="1489" spans="1:26">
      <c r="A1489" s="3" t="s">
        <v>96</v>
      </c>
      <c r="B1489" s="4">
        <v>43864</v>
      </c>
      <c r="C1489" s="3">
        <v>11285</v>
      </c>
      <c r="D1489" s="3">
        <v>11370</v>
      </c>
      <c r="E1489" s="3">
        <v>11152</v>
      </c>
      <c r="F1489" s="3">
        <v>11325</v>
      </c>
      <c r="G1489" s="3">
        <v>206381</v>
      </c>
      <c r="H1489" s="3">
        <v>1.0449999999999999</v>
      </c>
      <c r="I1489" s="2">
        <f t="shared" si="357"/>
        <v>0</v>
      </c>
      <c r="J1489" s="10">
        <f t="shared" si="359"/>
        <v>-183</v>
      </c>
      <c r="K1489" s="10">
        <f t="shared" si="358"/>
        <v>40</v>
      </c>
      <c r="L1489" s="10">
        <f t="shared" ca="1" si="347"/>
        <v>0</v>
      </c>
      <c r="M1489" s="10">
        <f t="shared" ca="1" si="349"/>
        <v>-1</v>
      </c>
      <c r="N1489" s="30">
        <f t="shared" ca="1" si="350"/>
        <v>0</v>
      </c>
      <c r="O1489" s="10">
        <f t="shared" ca="1" si="351"/>
        <v>2292000</v>
      </c>
      <c r="P1489" s="29">
        <f t="shared" ca="1" si="352"/>
        <v>28600</v>
      </c>
      <c r="Q1489" s="12">
        <f t="shared" ca="1" si="353"/>
        <v>-466300</v>
      </c>
      <c r="R1489" s="10">
        <f t="shared" ca="1" si="354"/>
        <v>1.2478184991273997</v>
      </c>
      <c r="S1489" s="10">
        <f t="shared" ca="1" si="344"/>
        <v>-0.57250773257197241</v>
      </c>
      <c r="T1489" s="14">
        <f t="shared" ca="1" si="345"/>
        <v>-0.21091901212091599</v>
      </c>
      <c r="U1489" s="12">
        <f t="shared" ca="1" si="355"/>
        <v>7900</v>
      </c>
      <c r="V1489" s="14">
        <f t="shared" ca="1" si="356"/>
        <v>-6002.5316455696202</v>
      </c>
      <c r="W1489" s="12">
        <f t="shared" ca="1" si="346"/>
        <v>-4611.3924050632913</v>
      </c>
      <c r="X1489" s="7">
        <f ca="1">AVERAGE(E1489:OFFSET(F1489,-$X$5+1,0))</f>
        <v>11639.7</v>
      </c>
      <c r="Y1489" s="7">
        <f ca="1">AVERAGE(E1489:OFFSET(F1489,-$Y$5+1,0))</f>
        <v>11850.85</v>
      </c>
      <c r="Z1489" s="7">
        <f t="shared" ca="1" si="348"/>
        <v>0</v>
      </c>
    </row>
    <row r="1490" spans="1:26">
      <c r="A1490" s="3" t="s">
        <v>96</v>
      </c>
      <c r="B1490" s="4">
        <v>43865</v>
      </c>
      <c r="C1490" s="3">
        <v>11373</v>
      </c>
      <c r="D1490" s="3">
        <v>11557</v>
      </c>
      <c r="E1490" s="3">
        <v>11362</v>
      </c>
      <c r="F1490" s="3">
        <v>11534</v>
      </c>
      <c r="G1490" s="3">
        <v>145462</v>
      </c>
      <c r="H1490" s="3">
        <v>1.0449999999999999</v>
      </c>
      <c r="I1490" s="2">
        <f t="shared" si="357"/>
        <v>0</v>
      </c>
      <c r="J1490" s="10">
        <f t="shared" si="359"/>
        <v>48</v>
      </c>
      <c r="K1490" s="10">
        <f t="shared" si="358"/>
        <v>161</v>
      </c>
      <c r="L1490" s="10">
        <f t="shared" ca="1" si="347"/>
        <v>0</v>
      </c>
      <c r="M1490" s="10">
        <f t="shared" ca="1" si="349"/>
        <v>-1</v>
      </c>
      <c r="N1490" s="30">
        <f t="shared" ca="1" si="350"/>
        <v>0</v>
      </c>
      <c r="O1490" s="10">
        <f t="shared" ca="1" si="351"/>
        <v>2292000</v>
      </c>
      <c r="P1490" s="29">
        <f t="shared" ca="1" si="352"/>
        <v>-41800</v>
      </c>
      <c r="Q1490" s="12">
        <f t="shared" ca="1" si="353"/>
        <v>-508100</v>
      </c>
      <c r="R1490" s="10">
        <f t="shared" ca="1" si="354"/>
        <v>-1.8237347294938917</v>
      </c>
      <c r="S1490" s="10">
        <f t="shared" ca="1" si="344"/>
        <v>-1.1940875565072566</v>
      </c>
      <c r="T1490" s="14">
        <f t="shared" ca="1" si="345"/>
        <v>-0.28499237873975075</v>
      </c>
      <c r="U1490" s="12">
        <f t="shared" ca="1" si="355"/>
        <v>7900</v>
      </c>
      <c r="V1490" s="14">
        <f t="shared" ca="1" si="356"/>
        <v>-6531.6455696202529</v>
      </c>
      <c r="W1490" s="12">
        <f t="shared" ca="1" si="346"/>
        <v>-4611.3924050632913</v>
      </c>
      <c r="X1490" s="7">
        <f ca="1">AVERAGE(E1490:OFFSET(F1490,-$X$5+1,0))</f>
        <v>11519.2</v>
      </c>
      <c r="Y1490" s="7">
        <f ca="1">AVERAGE(E1490:OFFSET(F1490,-$Y$5+1,0))</f>
        <v>11797.5</v>
      </c>
      <c r="Z1490" s="7">
        <f t="shared" ca="1" si="348"/>
        <v>0</v>
      </c>
    </row>
    <row r="1491" spans="1:26">
      <c r="A1491" s="3" t="s">
        <v>96</v>
      </c>
      <c r="B1491" s="4">
        <v>43866</v>
      </c>
      <c r="C1491" s="3">
        <v>11603</v>
      </c>
      <c r="D1491" s="3">
        <v>11620</v>
      </c>
      <c r="E1491" s="3">
        <v>11474</v>
      </c>
      <c r="F1491" s="3">
        <v>11542</v>
      </c>
      <c r="G1491" s="3">
        <v>155144</v>
      </c>
      <c r="H1491" s="3">
        <v>1.0449999999999999</v>
      </c>
      <c r="I1491" s="2">
        <f t="shared" si="357"/>
        <v>0</v>
      </c>
      <c r="J1491" s="10">
        <f t="shared" si="359"/>
        <v>69</v>
      </c>
      <c r="K1491" s="10">
        <f t="shared" si="358"/>
        <v>-61</v>
      </c>
      <c r="L1491" s="10">
        <f t="shared" ca="1" si="347"/>
        <v>0</v>
      </c>
      <c r="M1491" s="10">
        <f t="shared" ca="1" si="349"/>
        <v>-1</v>
      </c>
      <c r="N1491" s="30">
        <f t="shared" ca="1" si="350"/>
        <v>0</v>
      </c>
      <c r="O1491" s="10">
        <f t="shared" ca="1" si="351"/>
        <v>2292000</v>
      </c>
      <c r="P1491" s="29">
        <f t="shared" ca="1" si="352"/>
        <v>-1600</v>
      </c>
      <c r="Q1491" s="12">
        <f t="shared" ca="1" si="353"/>
        <v>-509700</v>
      </c>
      <c r="R1491" s="10">
        <f t="shared" ca="1" si="354"/>
        <v>-6.9808027923211169E-2</v>
      </c>
      <c r="S1491" s="10">
        <f t="shared" ca="1" si="344"/>
        <v>-1.2178800856531049</v>
      </c>
      <c r="T1491" s="14">
        <f t="shared" ca="1" si="345"/>
        <v>-0.28801620193808569</v>
      </c>
      <c r="U1491" s="12">
        <f t="shared" ca="1" si="355"/>
        <v>7900</v>
      </c>
      <c r="V1491" s="14">
        <f t="shared" ca="1" si="356"/>
        <v>-6551.8987341772154</v>
      </c>
      <c r="W1491" s="12">
        <f t="shared" ca="1" si="346"/>
        <v>-4611.3924050632913</v>
      </c>
      <c r="X1491" s="7">
        <f ca="1">AVERAGE(E1491:OFFSET(F1491,-$X$5+1,0))</f>
        <v>11400</v>
      </c>
      <c r="Y1491" s="7">
        <f ca="1">AVERAGE(E1491:OFFSET(F1491,-$Y$5+1,0))</f>
        <v>11740.25</v>
      </c>
      <c r="Z1491" s="7">
        <f t="shared" ca="1" si="348"/>
        <v>0</v>
      </c>
    </row>
    <row r="1492" spans="1:26">
      <c r="A1492" s="3" t="s">
        <v>96</v>
      </c>
      <c r="B1492" s="4">
        <v>43867</v>
      </c>
      <c r="C1492" s="3">
        <v>11651</v>
      </c>
      <c r="D1492" s="3">
        <v>11744</v>
      </c>
      <c r="E1492" s="3">
        <v>11628</v>
      </c>
      <c r="F1492" s="3">
        <v>11741</v>
      </c>
      <c r="G1492" s="3">
        <v>122911</v>
      </c>
      <c r="H1492" s="3">
        <v>1.0449999999999999</v>
      </c>
      <c r="I1492" s="2">
        <f t="shared" si="357"/>
        <v>0</v>
      </c>
      <c r="J1492" s="10">
        <f t="shared" si="359"/>
        <v>109</v>
      </c>
      <c r="K1492" s="10">
        <f t="shared" si="358"/>
        <v>90</v>
      </c>
      <c r="L1492" s="10">
        <f t="shared" ca="1" si="347"/>
        <v>0</v>
      </c>
      <c r="M1492" s="10">
        <f t="shared" ca="1" si="349"/>
        <v>-1</v>
      </c>
      <c r="N1492" s="30">
        <f t="shared" ca="1" si="350"/>
        <v>0</v>
      </c>
      <c r="O1492" s="10">
        <f t="shared" ca="1" si="351"/>
        <v>2292000</v>
      </c>
      <c r="P1492" s="29">
        <f t="shared" ca="1" si="352"/>
        <v>-39800</v>
      </c>
      <c r="Q1492" s="12">
        <f t="shared" ca="1" si="353"/>
        <v>-549500</v>
      </c>
      <c r="R1492" s="10">
        <f t="shared" ca="1" si="354"/>
        <v>-1.7364746945898779</v>
      </c>
      <c r="S1492" s="10">
        <f t="shared" ca="1" si="344"/>
        <v>-1.8097192481560791</v>
      </c>
      <c r="T1492" s="14">
        <f t="shared" ca="1" si="345"/>
        <v>-0.35587153931868976</v>
      </c>
      <c r="U1492" s="12">
        <f t="shared" ca="1" si="355"/>
        <v>7900</v>
      </c>
      <c r="V1492" s="14">
        <f t="shared" ca="1" si="356"/>
        <v>-7055.6962025316452</v>
      </c>
      <c r="W1492" s="12">
        <f t="shared" ca="1" si="346"/>
        <v>-4611.3924050632913</v>
      </c>
      <c r="X1492" s="7">
        <f ca="1">AVERAGE(E1492:OFFSET(F1492,-$X$5+1,0))</f>
        <v>11463.3</v>
      </c>
      <c r="Y1492" s="7">
        <f ca="1">AVERAGE(E1492:OFFSET(F1492,-$Y$5+1,0))</f>
        <v>11692.25</v>
      </c>
      <c r="Z1492" s="7">
        <f t="shared" ca="1" si="348"/>
        <v>0</v>
      </c>
    </row>
    <row r="1493" spans="1:26">
      <c r="A1493" s="3" t="s">
        <v>96</v>
      </c>
      <c r="B1493" s="4">
        <v>43868</v>
      </c>
      <c r="C1493" s="3">
        <v>11660</v>
      </c>
      <c r="D1493" s="3">
        <v>11666</v>
      </c>
      <c r="E1493" s="3">
        <v>11566</v>
      </c>
      <c r="F1493" s="3">
        <v>11592</v>
      </c>
      <c r="G1493" s="3">
        <v>125747</v>
      </c>
      <c r="H1493" s="3">
        <v>1.0449999999999999</v>
      </c>
      <c r="I1493" s="2">
        <f t="shared" si="357"/>
        <v>0</v>
      </c>
      <c r="J1493" s="10">
        <f t="shared" si="359"/>
        <v>-81</v>
      </c>
      <c r="K1493" s="10">
        <f t="shared" si="358"/>
        <v>-68</v>
      </c>
      <c r="L1493" s="10">
        <f t="shared" ca="1" si="347"/>
        <v>0</v>
      </c>
      <c r="M1493" s="10">
        <f t="shared" ca="1" si="349"/>
        <v>-1</v>
      </c>
      <c r="N1493" s="30">
        <f t="shared" ca="1" si="350"/>
        <v>0</v>
      </c>
      <c r="O1493" s="10">
        <f t="shared" ca="1" si="351"/>
        <v>2292000</v>
      </c>
      <c r="P1493" s="29">
        <f t="shared" ca="1" si="352"/>
        <v>29800</v>
      </c>
      <c r="Q1493" s="12">
        <f t="shared" ca="1" si="353"/>
        <v>-519700</v>
      </c>
      <c r="R1493" s="10">
        <f t="shared" ca="1" si="354"/>
        <v>1.300174520069808</v>
      </c>
      <c r="S1493" s="10">
        <f t="shared" ca="1" si="344"/>
        <v>-1.3665833928146562</v>
      </c>
      <c r="T1493" s="14">
        <f t="shared" ca="1" si="345"/>
        <v>-0.29704429210227135</v>
      </c>
      <c r="U1493" s="12">
        <f t="shared" ca="1" si="355"/>
        <v>7900</v>
      </c>
      <c r="V1493" s="14">
        <f t="shared" ca="1" si="356"/>
        <v>-6678.4810126582279</v>
      </c>
      <c r="W1493" s="12">
        <f t="shared" ca="1" si="346"/>
        <v>-4611.3924050632913</v>
      </c>
      <c r="X1493" s="7">
        <f ca="1">AVERAGE(E1493:OFFSET(F1493,-$X$5+1,0))</f>
        <v>11491.6</v>
      </c>
      <c r="Y1493" s="7">
        <f ca="1">AVERAGE(E1493:OFFSET(F1493,-$Y$5+1,0))</f>
        <v>11644.1</v>
      </c>
      <c r="Z1493" s="7">
        <f t="shared" ca="1" si="348"/>
        <v>0</v>
      </c>
    </row>
    <row r="1494" spans="1:26">
      <c r="A1494" s="3" t="s">
        <v>96</v>
      </c>
      <c r="B1494" s="4">
        <v>43871</v>
      </c>
      <c r="C1494" s="3">
        <v>11455</v>
      </c>
      <c r="D1494" s="3">
        <v>11598</v>
      </c>
      <c r="E1494" s="3">
        <v>11402</v>
      </c>
      <c r="F1494" s="3">
        <v>11564</v>
      </c>
      <c r="G1494" s="3">
        <v>147183</v>
      </c>
      <c r="H1494" s="3">
        <v>1.0449999999999999</v>
      </c>
      <c r="I1494" s="2">
        <f t="shared" si="357"/>
        <v>0</v>
      </c>
      <c r="J1494" s="10">
        <f t="shared" si="359"/>
        <v>-137</v>
      </c>
      <c r="K1494" s="10">
        <f t="shared" si="358"/>
        <v>109</v>
      </c>
      <c r="L1494" s="10">
        <f t="shared" ca="1" si="347"/>
        <v>0</v>
      </c>
      <c r="M1494" s="10">
        <f t="shared" ca="1" si="349"/>
        <v>-1</v>
      </c>
      <c r="N1494" s="30">
        <f t="shared" ca="1" si="350"/>
        <v>0</v>
      </c>
      <c r="O1494" s="10">
        <f t="shared" ca="1" si="351"/>
        <v>2292000</v>
      </c>
      <c r="P1494" s="29">
        <f t="shared" ca="1" si="352"/>
        <v>5600</v>
      </c>
      <c r="Q1494" s="12">
        <f t="shared" ca="1" si="353"/>
        <v>-514100</v>
      </c>
      <c r="R1494" s="10">
        <f t="shared" ca="1" si="354"/>
        <v>0.24432809773123909</v>
      </c>
      <c r="S1494" s="10">
        <f t="shared" ca="1" si="344"/>
        <v>-1.2833095408041875</v>
      </c>
      <c r="T1494" s="14">
        <f t="shared" ca="1" si="345"/>
        <v>-0.28665171466178241</v>
      </c>
      <c r="U1494" s="12">
        <f t="shared" ca="1" si="355"/>
        <v>7900</v>
      </c>
      <c r="V1494" s="14">
        <f t="shared" ca="1" si="356"/>
        <v>-6607.5949367088606</v>
      </c>
      <c r="W1494" s="12">
        <f t="shared" ca="1" si="346"/>
        <v>-4611.3924050632913</v>
      </c>
      <c r="X1494" s="7">
        <f ca="1">AVERAGE(E1494:OFFSET(F1494,-$X$5+1,0))</f>
        <v>11540.5</v>
      </c>
      <c r="Y1494" s="7">
        <f ca="1">AVERAGE(E1494:OFFSET(F1494,-$Y$5+1,0))</f>
        <v>11590.1</v>
      </c>
      <c r="Z1494" s="7">
        <f t="shared" ca="1" si="348"/>
        <v>0</v>
      </c>
    </row>
    <row r="1495" spans="1:26">
      <c r="A1495" s="3" t="s">
        <v>96</v>
      </c>
      <c r="B1495" s="4">
        <v>43872</v>
      </c>
      <c r="C1495" s="3">
        <v>11625</v>
      </c>
      <c r="D1495" s="3">
        <v>11689</v>
      </c>
      <c r="E1495" s="3">
        <v>11613</v>
      </c>
      <c r="F1495" s="3">
        <v>11666</v>
      </c>
      <c r="G1495" s="3">
        <v>92406</v>
      </c>
      <c r="H1495" s="3">
        <v>1.0449999999999999</v>
      </c>
      <c r="I1495" s="2">
        <f t="shared" si="357"/>
        <v>0</v>
      </c>
      <c r="J1495" s="10">
        <f t="shared" si="359"/>
        <v>61</v>
      </c>
      <c r="K1495" s="10">
        <f t="shared" si="358"/>
        <v>41</v>
      </c>
      <c r="L1495" s="10">
        <f t="shared" ca="1" si="347"/>
        <v>1</v>
      </c>
      <c r="M1495" s="10">
        <f t="shared" ca="1" si="349"/>
        <v>-1</v>
      </c>
      <c r="N1495" s="30">
        <f t="shared" ca="1" si="350"/>
        <v>0</v>
      </c>
      <c r="O1495" s="10">
        <f t="shared" ca="1" si="351"/>
        <v>2292000</v>
      </c>
      <c r="P1495" s="29">
        <f t="shared" ca="1" si="352"/>
        <v>-20400</v>
      </c>
      <c r="Q1495" s="12">
        <f t="shared" ca="1" si="353"/>
        <v>-534500</v>
      </c>
      <c r="R1495" s="10">
        <f t="shared" ca="1" si="354"/>
        <v>-0.89005235602094246</v>
      </c>
      <c r="S1495" s="10">
        <f t="shared" ca="1" si="344"/>
        <v>-1.586664287413752</v>
      </c>
      <c r="T1495" s="14">
        <f t="shared" ca="1" si="345"/>
        <v>-0.3226682166390431</v>
      </c>
      <c r="U1495" s="12">
        <f t="shared" ca="1" si="355"/>
        <v>7900</v>
      </c>
      <c r="V1495" s="14">
        <f t="shared" ca="1" si="356"/>
        <v>-6865.8227848101269</v>
      </c>
      <c r="W1495" s="12">
        <f t="shared" ca="1" si="346"/>
        <v>-4611.3924050632913</v>
      </c>
      <c r="X1495" s="7">
        <f ca="1">AVERAGE(E1495:OFFSET(F1495,-$X$5+1,0))</f>
        <v>11578.8</v>
      </c>
      <c r="Y1495" s="7">
        <f ca="1">AVERAGE(E1495:OFFSET(F1495,-$Y$5+1,0))</f>
        <v>11549</v>
      </c>
      <c r="Z1495" s="7">
        <f t="shared" ca="1" si="348"/>
        <v>1</v>
      </c>
    </row>
    <row r="1496" spans="1:26">
      <c r="A1496" s="3" t="s">
        <v>96</v>
      </c>
      <c r="B1496" s="4">
        <v>43873</v>
      </c>
      <c r="C1496" s="3">
        <v>11663</v>
      </c>
      <c r="D1496" s="3">
        <v>11797</v>
      </c>
      <c r="E1496" s="3">
        <v>11647</v>
      </c>
      <c r="F1496" s="3">
        <v>11771</v>
      </c>
      <c r="G1496" s="3">
        <v>105501</v>
      </c>
      <c r="H1496" s="3">
        <v>1.0449999999999999</v>
      </c>
      <c r="I1496" s="2">
        <f t="shared" si="357"/>
        <v>0</v>
      </c>
      <c r="J1496" s="10">
        <f t="shared" si="359"/>
        <v>-3</v>
      </c>
      <c r="K1496" s="10">
        <f t="shared" si="358"/>
        <v>108</v>
      </c>
      <c r="L1496" s="10">
        <f t="shared" ca="1" si="347"/>
        <v>0</v>
      </c>
      <c r="M1496" s="10">
        <f t="shared" ca="1" si="349"/>
        <v>0</v>
      </c>
      <c r="N1496" s="30">
        <f t="shared" ca="1" si="350"/>
        <v>0</v>
      </c>
      <c r="O1496" s="10">
        <f t="shared" ca="1" si="351"/>
        <v>0</v>
      </c>
      <c r="P1496" s="29">
        <f t="shared" ca="1" si="352"/>
        <v>100</v>
      </c>
      <c r="Q1496" s="12">
        <f t="shared" ca="1" si="353"/>
        <v>-534400</v>
      </c>
      <c r="R1496" s="10">
        <f t="shared" ca="1" si="354"/>
        <v>4.3630017452006981E-3</v>
      </c>
      <c r="S1496" s="10">
        <f t="shared" ca="1" si="344"/>
        <v>-1.5851772543421365</v>
      </c>
      <c r="T1496" s="14">
        <f t="shared" ca="1" si="345"/>
        <v>-0.32388710195710724</v>
      </c>
      <c r="U1496" s="12">
        <f t="shared" ca="1" si="355"/>
        <v>7900</v>
      </c>
      <c r="V1496" s="14">
        <f t="shared" ca="1" si="356"/>
        <v>-6864.5569620253164</v>
      </c>
      <c r="W1496" s="12">
        <f t="shared" ca="1" si="346"/>
        <v>-4611.3924050632913</v>
      </c>
      <c r="X1496" s="7">
        <f ca="1">AVERAGE(E1496:OFFSET(F1496,-$X$5+1,0))</f>
        <v>11619</v>
      </c>
      <c r="Y1496" s="7">
        <f ca="1">AVERAGE(E1496:OFFSET(F1496,-$Y$5+1,0))</f>
        <v>11509.5</v>
      </c>
      <c r="Z1496" s="7">
        <f t="shared" ca="1" si="348"/>
        <v>0</v>
      </c>
    </row>
    <row r="1497" spans="1:26">
      <c r="A1497" s="3" t="s">
        <v>96</v>
      </c>
      <c r="B1497" s="4">
        <v>43874</v>
      </c>
      <c r="C1497" s="3">
        <v>11798</v>
      </c>
      <c r="D1497" s="3">
        <v>11837</v>
      </c>
      <c r="E1497" s="3">
        <v>11762</v>
      </c>
      <c r="F1497" s="3">
        <v>11774</v>
      </c>
      <c r="G1497" s="3">
        <v>110031</v>
      </c>
      <c r="H1497" s="3">
        <v>1.0449999999999999</v>
      </c>
      <c r="I1497" s="2">
        <f t="shared" si="357"/>
        <v>0</v>
      </c>
      <c r="J1497" s="10">
        <f t="shared" si="359"/>
        <v>27</v>
      </c>
      <c r="K1497" s="10">
        <f t="shared" si="358"/>
        <v>-24</v>
      </c>
      <c r="L1497" s="10">
        <f t="shared" ca="1" si="347"/>
        <v>0</v>
      </c>
      <c r="M1497" s="10">
        <f t="shared" ca="1" si="349"/>
        <v>0</v>
      </c>
      <c r="N1497" s="30">
        <f t="shared" ca="1" si="350"/>
        <v>0</v>
      </c>
      <c r="O1497" s="10">
        <f t="shared" ca="1" si="351"/>
        <v>0</v>
      </c>
      <c r="P1497" s="29">
        <f t="shared" ca="1" si="352"/>
        <v>0</v>
      </c>
      <c r="Q1497" s="12">
        <f t="shared" ca="1" si="353"/>
        <v>-534400</v>
      </c>
      <c r="R1497" s="10">
        <f t="shared" ca="1" si="354"/>
        <v>0</v>
      </c>
      <c r="S1497" s="10">
        <f t="shared" ca="1" si="344"/>
        <v>-1.5851772543421365</v>
      </c>
      <c r="T1497" s="14">
        <f t="shared" ca="1" si="345"/>
        <v>-0.32413851492239054</v>
      </c>
      <c r="U1497" s="12">
        <f t="shared" ca="1" si="355"/>
        <v>7900</v>
      </c>
      <c r="V1497" s="14">
        <f t="shared" ca="1" si="356"/>
        <v>-6864.5569620253164</v>
      </c>
      <c r="W1497" s="12">
        <f t="shared" ca="1" si="346"/>
        <v>-4611.3924050632913</v>
      </c>
      <c r="X1497" s="7">
        <f ca="1">AVERAGE(E1497:OFFSET(F1497,-$X$5+1,0))</f>
        <v>11635.7</v>
      </c>
      <c r="Y1497" s="7">
        <f ca="1">AVERAGE(E1497:OFFSET(F1497,-$Y$5+1,0))</f>
        <v>11549.5</v>
      </c>
      <c r="Z1497" s="7">
        <f t="shared" ca="1" si="348"/>
        <v>0</v>
      </c>
    </row>
    <row r="1498" spans="1:26">
      <c r="A1498" s="3" t="s">
        <v>96</v>
      </c>
      <c r="B1498" s="4">
        <v>43875</v>
      </c>
      <c r="C1498" s="3">
        <v>11757</v>
      </c>
      <c r="D1498" s="3">
        <v>11852</v>
      </c>
      <c r="E1498" s="3">
        <v>11755</v>
      </c>
      <c r="F1498" s="3">
        <v>11812</v>
      </c>
      <c r="G1498" s="3">
        <v>102988</v>
      </c>
      <c r="H1498" s="3">
        <v>1.0449999999999999</v>
      </c>
      <c r="I1498" s="2">
        <f t="shared" si="357"/>
        <v>0</v>
      </c>
      <c r="J1498" s="10">
        <f t="shared" si="359"/>
        <v>-17</v>
      </c>
      <c r="K1498" s="10">
        <f t="shared" si="358"/>
        <v>55</v>
      </c>
      <c r="L1498" s="10">
        <f t="shared" ca="1" si="347"/>
        <v>0</v>
      </c>
      <c r="M1498" s="10">
        <f t="shared" ca="1" si="349"/>
        <v>0</v>
      </c>
      <c r="N1498" s="30">
        <f t="shared" ca="1" si="350"/>
        <v>0</v>
      </c>
      <c r="O1498" s="10">
        <f t="shared" ca="1" si="351"/>
        <v>0</v>
      </c>
      <c r="P1498" s="29">
        <f t="shared" ca="1" si="352"/>
        <v>0</v>
      </c>
      <c r="Q1498" s="12">
        <f t="shared" ca="1" si="353"/>
        <v>-534400</v>
      </c>
      <c r="R1498" s="10">
        <f t="shared" ca="1" si="354"/>
        <v>0</v>
      </c>
      <c r="S1498" s="10">
        <f t="shared" ca="1" si="344"/>
        <v>-1.5851772543421365</v>
      </c>
      <c r="T1498" s="14">
        <f t="shared" ca="1" si="345"/>
        <v>-0.32927866789267557</v>
      </c>
      <c r="U1498" s="12">
        <f t="shared" ca="1" si="355"/>
        <v>7900</v>
      </c>
      <c r="V1498" s="14">
        <f t="shared" ca="1" si="356"/>
        <v>-6864.5569620253164</v>
      </c>
      <c r="W1498" s="12">
        <f t="shared" ca="1" si="346"/>
        <v>-4611.3924050632913</v>
      </c>
      <c r="X1498" s="7">
        <f ca="1">AVERAGE(E1498:OFFSET(F1498,-$X$5+1,0))</f>
        <v>11676.6</v>
      </c>
      <c r="Y1498" s="7">
        <f ca="1">AVERAGE(E1498:OFFSET(F1498,-$Y$5+1,0))</f>
        <v>11584.1</v>
      </c>
      <c r="Z1498" s="7">
        <f t="shared" ca="1" si="348"/>
        <v>0</v>
      </c>
    </row>
    <row r="1499" spans="1:26">
      <c r="A1499" s="3" t="s">
        <v>96</v>
      </c>
      <c r="B1499" s="4">
        <v>43878</v>
      </c>
      <c r="C1499" s="3">
        <v>11710</v>
      </c>
      <c r="D1499" s="3">
        <v>11792</v>
      </c>
      <c r="E1499" s="3">
        <v>11702</v>
      </c>
      <c r="F1499" s="3">
        <v>11770</v>
      </c>
      <c r="G1499" s="3">
        <v>109882</v>
      </c>
      <c r="H1499" s="3">
        <v>1.0449999999999999</v>
      </c>
      <c r="I1499" s="2">
        <f t="shared" si="357"/>
        <v>0</v>
      </c>
      <c r="J1499" s="10">
        <f t="shared" si="359"/>
        <v>-102</v>
      </c>
      <c r="K1499" s="10">
        <f t="shared" si="358"/>
        <v>60</v>
      </c>
      <c r="L1499" s="10">
        <f t="shared" ca="1" si="347"/>
        <v>0</v>
      </c>
      <c r="M1499" s="10">
        <f t="shared" ca="1" si="349"/>
        <v>0</v>
      </c>
      <c r="N1499" s="30">
        <f t="shared" ca="1" si="350"/>
        <v>0</v>
      </c>
      <c r="O1499" s="10">
        <f t="shared" ca="1" si="351"/>
        <v>0</v>
      </c>
      <c r="P1499" s="29">
        <f t="shared" ca="1" si="352"/>
        <v>0</v>
      </c>
      <c r="Q1499" s="12">
        <f t="shared" ca="1" si="353"/>
        <v>-534400</v>
      </c>
      <c r="R1499" s="10">
        <f t="shared" ca="1" si="354"/>
        <v>0</v>
      </c>
      <c r="S1499" s="10">
        <f t="shared" ca="1" si="344"/>
        <v>-1.5851772543421365</v>
      </c>
      <c r="T1499" s="14">
        <f t="shared" ca="1" si="345"/>
        <v>-0.32938460156580762</v>
      </c>
      <c r="U1499" s="12">
        <f t="shared" ca="1" si="355"/>
        <v>7900</v>
      </c>
      <c r="V1499" s="14">
        <f t="shared" ca="1" si="356"/>
        <v>-6864.5569620253164</v>
      </c>
      <c r="W1499" s="12">
        <f t="shared" ca="1" si="346"/>
        <v>-4611.3924050632913</v>
      </c>
      <c r="X1499" s="7">
        <f ca="1">AVERAGE(E1499:OFFSET(F1499,-$X$5+1,0))</f>
        <v>11727.2</v>
      </c>
      <c r="Y1499" s="7">
        <f ca="1">AVERAGE(E1499:OFFSET(F1499,-$Y$5+1,0))</f>
        <v>11633.85</v>
      </c>
      <c r="Z1499" s="7">
        <f t="shared" ca="1" si="348"/>
        <v>0</v>
      </c>
    </row>
    <row r="1500" spans="1:26">
      <c r="A1500" s="3" t="s">
        <v>96</v>
      </c>
      <c r="B1500" s="4">
        <v>43879</v>
      </c>
      <c r="C1500" s="3">
        <v>11715</v>
      </c>
      <c r="D1500" s="3">
        <v>11719</v>
      </c>
      <c r="E1500" s="3">
        <v>11627</v>
      </c>
      <c r="F1500" s="3">
        <v>11640</v>
      </c>
      <c r="G1500" s="3">
        <v>154544</v>
      </c>
      <c r="H1500" s="3">
        <v>1.0449999999999999</v>
      </c>
      <c r="I1500" s="2">
        <f t="shared" si="357"/>
        <v>0</v>
      </c>
      <c r="J1500" s="10">
        <f t="shared" si="359"/>
        <v>-55</v>
      </c>
      <c r="K1500" s="10">
        <f t="shared" si="358"/>
        <v>-75</v>
      </c>
      <c r="L1500" s="10">
        <f t="shared" ca="1" si="347"/>
        <v>0</v>
      </c>
      <c r="M1500" s="10">
        <f t="shared" ca="1" si="349"/>
        <v>0</v>
      </c>
      <c r="N1500" s="30">
        <f t="shared" ca="1" si="350"/>
        <v>0</v>
      </c>
      <c r="O1500" s="10">
        <f t="shared" ca="1" si="351"/>
        <v>0</v>
      </c>
      <c r="P1500" s="29">
        <f t="shared" ca="1" si="352"/>
        <v>0</v>
      </c>
      <c r="Q1500" s="12">
        <f t="shared" ca="1" si="353"/>
        <v>-534400</v>
      </c>
      <c r="R1500" s="10">
        <f t="shared" ca="1" si="354"/>
        <v>0</v>
      </c>
      <c r="S1500" s="10">
        <f t="shared" ca="1" si="344"/>
        <v>-1.5851772543421365</v>
      </c>
      <c r="T1500" s="14">
        <f t="shared" ca="1" si="345"/>
        <v>-0.33695003255166001</v>
      </c>
      <c r="U1500" s="12">
        <f t="shared" ca="1" si="355"/>
        <v>7900</v>
      </c>
      <c r="V1500" s="14">
        <f t="shared" ca="1" si="356"/>
        <v>-6864.5569620253164</v>
      </c>
      <c r="W1500" s="12">
        <f t="shared" ca="1" si="346"/>
        <v>-4611.3924050632913</v>
      </c>
      <c r="X1500" s="7">
        <f ca="1">AVERAGE(E1500:OFFSET(F1500,-$X$5+1,0))</f>
        <v>11726</v>
      </c>
      <c r="Y1500" s="7">
        <f ca="1">AVERAGE(E1500:OFFSET(F1500,-$Y$5+1,0))</f>
        <v>11652.4</v>
      </c>
      <c r="Z1500" s="7">
        <f t="shared" ca="1" si="348"/>
        <v>0</v>
      </c>
    </row>
    <row r="1501" spans="1:26">
      <c r="A1501" s="3" t="s">
        <v>96</v>
      </c>
      <c r="B1501" s="4">
        <v>43880</v>
      </c>
      <c r="C1501" s="3">
        <v>11678</v>
      </c>
      <c r="D1501" s="3">
        <v>11805</v>
      </c>
      <c r="E1501" s="3">
        <v>11637</v>
      </c>
      <c r="F1501" s="3">
        <v>11760</v>
      </c>
      <c r="G1501" s="3">
        <v>83637</v>
      </c>
      <c r="H1501" s="3">
        <v>1.0449999999999999</v>
      </c>
      <c r="I1501" s="2">
        <f t="shared" si="357"/>
        <v>1</v>
      </c>
      <c r="J1501" s="10">
        <f t="shared" si="359"/>
        <v>38</v>
      </c>
      <c r="K1501" s="10">
        <f t="shared" si="358"/>
        <v>82</v>
      </c>
      <c r="L1501" s="10">
        <f t="shared" ca="1" si="347"/>
        <v>0</v>
      </c>
      <c r="M1501" s="10">
        <f t="shared" si="349"/>
        <v>0</v>
      </c>
      <c r="N1501" s="30">
        <f t="shared" si="350"/>
        <v>0</v>
      </c>
      <c r="O1501" s="10">
        <f t="shared" si="351"/>
        <v>0</v>
      </c>
      <c r="P1501" s="29">
        <f t="shared" ca="1" si="352"/>
        <v>0</v>
      </c>
      <c r="Q1501" s="12">
        <f t="shared" ca="1" si="353"/>
        <v>-534400</v>
      </c>
      <c r="R1501" s="10">
        <f t="shared" ca="1" si="354"/>
        <v>0</v>
      </c>
      <c r="S1501" s="10">
        <f t="shared" ca="1" si="344"/>
        <v>-1.5851772543421365</v>
      </c>
      <c r="T1501" s="14">
        <f t="shared" ca="1" si="345"/>
        <v>-0.33729160791702106</v>
      </c>
      <c r="U1501" s="12">
        <f t="shared" ca="1" si="355"/>
        <v>7900</v>
      </c>
      <c r="V1501" s="14">
        <f t="shared" ca="1" si="356"/>
        <v>-6864.5569620253164</v>
      </c>
      <c r="W1501" s="12">
        <f t="shared" ca="1" si="346"/>
        <v>-4611.3924050632913</v>
      </c>
      <c r="X1501" s="7">
        <f ca="1">AVERAGE(E1501:OFFSET(F1501,-$X$5+1,0))</f>
        <v>11723.9</v>
      </c>
      <c r="Y1501" s="7">
        <f ca="1">AVERAGE(E1501:OFFSET(F1501,-$Y$5+1,0))</f>
        <v>11671.45</v>
      </c>
      <c r="Z1501" s="7">
        <f t="shared" ca="1" si="348"/>
        <v>0</v>
      </c>
    </row>
    <row r="1502" spans="1:26">
      <c r="A1502" s="3" t="s">
        <v>97</v>
      </c>
      <c r="B1502" s="4">
        <v>43881</v>
      </c>
      <c r="C1502" s="3">
        <v>11820</v>
      </c>
      <c r="D1502" s="3">
        <v>11830</v>
      </c>
      <c r="E1502" s="3">
        <v>11679</v>
      </c>
      <c r="F1502" s="3">
        <v>11715</v>
      </c>
      <c r="G1502" s="3">
        <v>137132</v>
      </c>
      <c r="H1502" s="3">
        <v>1.0449999999999999</v>
      </c>
      <c r="I1502" s="2">
        <f t="shared" si="357"/>
        <v>0</v>
      </c>
      <c r="J1502" s="10">
        <f t="shared" si="359"/>
        <v>60</v>
      </c>
      <c r="K1502" s="10">
        <f t="shared" si="358"/>
        <v>-105</v>
      </c>
      <c r="L1502" s="10">
        <f t="shared" ca="1" si="347"/>
        <v>0</v>
      </c>
      <c r="M1502" s="10">
        <f t="shared" ca="1" si="349"/>
        <v>0</v>
      </c>
      <c r="N1502" s="30">
        <f t="shared" ca="1" si="350"/>
        <v>0</v>
      </c>
      <c r="O1502" s="10">
        <f t="shared" ca="1" si="351"/>
        <v>0</v>
      </c>
      <c r="P1502" s="29">
        <f t="shared" ca="1" si="352"/>
        <v>0</v>
      </c>
      <c r="Q1502" s="12">
        <f t="shared" ca="1" si="353"/>
        <v>-534400</v>
      </c>
      <c r="R1502" s="10">
        <f t="shared" ca="1" si="354"/>
        <v>0</v>
      </c>
      <c r="S1502" s="10">
        <f t="shared" ca="1" si="344"/>
        <v>-1.5851772543421365</v>
      </c>
      <c r="T1502" s="14">
        <f t="shared" ca="1" si="345"/>
        <v>-0.34244436397643502</v>
      </c>
      <c r="U1502" s="12">
        <f t="shared" ca="1" si="355"/>
        <v>7900</v>
      </c>
      <c r="V1502" s="14">
        <f t="shared" ca="1" si="356"/>
        <v>-6864.5569620253164</v>
      </c>
      <c r="W1502" s="12">
        <f t="shared" ca="1" si="346"/>
        <v>-4611.3924050632913</v>
      </c>
      <c r="X1502" s="7">
        <f ca="1">AVERAGE(E1502:OFFSET(F1502,-$X$5+1,0))</f>
        <v>11709.7</v>
      </c>
      <c r="Y1502" s="7">
        <f ca="1">AVERAGE(E1502:OFFSET(F1502,-$Y$5+1,0))</f>
        <v>11672.7</v>
      </c>
      <c r="Z1502" s="7">
        <f t="shared" ca="1" si="348"/>
        <v>0</v>
      </c>
    </row>
    <row r="1503" spans="1:26">
      <c r="A1503" s="3" t="s">
        <v>97</v>
      </c>
      <c r="B1503" s="4">
        <v>43882</v>
      </c>
      <c r="C1503" s="3">
        <v>11665</v>
      </c>
      <c r="D1503" s="3">
        <v>11765</v>
      </c>
      <c r="E1503" s="3">
        <v>11636</v>
      </c>
      <c r="F1503" s="3">
        <v>11664</v>
      </c>
      <c r="G1503" s="3">
        <v>139432</v>
      </c>
      <c r="H1503" s="3">
        <v>1.0449999999999999</v>
      </c>
      <c r="I1503" s="2">
        <f t="shared" si="357"/>
        <v>0</v>
      </c>
      <c r="J1503" s="10">
        <f t="shared" si="359"/>
        <v>-50</v>
      </c>
      <c r="K1503" s="10">
        <f t="shared" si="358"/>
        <v>-1</v>
      </c>
      <c r="L1503" s="10">
        <f t="shared" ca="1" si="347"/>
        <v>0</v>
      </c>
      <c r="M1503" s="10">
        <f t="shared" ca="1" si="349"/>
        <v>0</v>
      </c>
      <c r="N1503" s="30">
        <f t="shared" ca="1" si="350"/>
        <v>0</v>
      </c>
      <c r="O1503" s="10">
        <f t="shared" ca="1" si="351"/>
        <v>0</v>
      </c>
      <c r="P1503" s="29">
        <f t="shared" ca="1" si="352"/>
        <v>0</v>
      </c>
      <c r="Q1503" s="12">
        <f t="shared" ca="1" si="353"/>
        <v>-534400</v>
      </c>
      <c r="R1503" s="10">
        <f t="shared" ca="1" si="354"/>
        <v>0</v>
      </c>
      <c r="S1503" s="10">
        <f t="shared" ca="1" si="344"/>
        <v>-1.5851772543421365</v>
      </c>
      <c r="T1503" s="14">
        <f t="shared" ca="1" si="345"/>
        <v>-0.34520208520945977</v>
      </c>
      <c r="U1503" s="12">
        <f t="shared" ca="1" si="355"/>
        <v>7900</v>
      </c>
      <c r="V1503" s="14">
        <f t="shared" ca="1" si="356"/>
        <v>-6864.5569620253164</v>
      </c>
      <c r="W1503" s="12">
        <f t="shared" ca="1" si="346"/>
        <v>-4611.3924050632913</v>
      </c>
      <c r="X1503" s="7">
        <f ca="1">AVERAGE(E1503:OFFSET(F1503,-$X$5+1,0))</f>
        <v>11683</v>
      </c>
      <c r="Y1503" s="7">
        <f ca="1">AVERAGE(E1503:OFFSET(F1503,-$Y$5+1,0))</f>
        <v>11679.8</v>
      </c>
      <c r="Z1503" s="7">
        <f t="shared" ca="1" si="348"/>
        <v>0</v>
      </c>
    </row>
    <row r="1504" spans="1:26">
      <c r="A1504" s="3" t="s">
        <v>97</v>
      </c>
      <c r="B1504" s="4">
        <v>43885</v>
      </c>
      <c r="C1504" s="3">
        <v>11509</v>
      </c>
      <c r="D1504" s="3">
        <v>11587</v>
      </c>
      <c r="E1504" s="3">
        <v>11476</v>
      </c>
      <c r="F1504" s="3">
        <v>11508</v>
      </c>
      <c r="G1504" s="3">
        <v>136123</v>
      </c>
      <c r="H1504" s="3">
        <v>1.0449999999999999</v>
      </c>
      <c r="I1504" s="2">
        <f t="shared" si="357"/>
        <v>0</v>
      </c>
      <c r="J1504" s="10">
        <f t="shared" si="359"/>
        <v>-155</v>
      </c>
      <c r="K1504" s="10">
        <f t="shared" si="358"/>
        <v>-1</v>
      </c>
      <c r="L1504" s="10">
        <f t="shared" ca="1" si="347"/>
        <v>-1</v>
      </c>
      <c r="M1504" s="10">
        <f t="shared" ca="1" si="349"/>
        <v>0</v>
      </c>
      <c r="N1504" s="30">
        <f t="shared" ca="1" si="350"/>
        <v>0</v>
      </c>
      <c r="O1504" s="10">
        <f t="shared" ca="1" si="351"/>
        <v>0</v>
      </c>
      <c r="P1504" s="29">
        <f t="shared" ca="1" si="352"/>
        <v>0</v>
      </c>
      <c r="Q1504" s="12">
        <f t="shared" ca="1" si="353"/>
        <v>-534400</v>
      </c>
      <c r="R1504" s="10">
        <f t="shared" ca="1" si="354"/>
        <v>0</v>
      </c>
      <c r="S1504" s="10">
        <f t="shared" ca="1" si="344"/>
        <v>-1.5851772543421365</v>
      </c>
      <c r="T1504" s="14">
        <f t="shared" ca="1" si="345"/>
        <v>-0.34686872023353016</v>
      </c>
      <c r="U1504" s="12">
        <f t="shared" ca="1" si="355"/>
        <v>7900</v>
      </c>
      <c r="V1504" s="14">
        <f t="shared" ca="1" si="356"/>
        <v>-6864.5569620253164</v>
      </c>
      <c r="W1504" s="12">
        <f t="shared" ca="1" si="346"/>
        <v>-4611.3924050632913</v>
      </c>
      <c r="X1504" s="7">
        <f ca="1">AVERAGE(E1504:OFFSET(F1504,-$X$5+1,0))</f>
        <v>11634.2</v>
      </c>
      <c r="Y1504" s="7">
        <f ca="1">AVERAGE(E1504:OFFSET(F1504,-$Y$5+1,0))</f>
        <v>11680.7</v>
      </c>
      <c r="Z1504" s="7">
        <f t="shared" ca="1" si="348"/>
        <v>-1</v>
      </c>
    </row>
    <row r="1505" spans="1:26">
      <c r="A1505" s="3" t="s">
        <v>97</v>
      </c>
      <c r="B1505" s="4">
        <v>43886</v>
      </c>
      <c r="C1505" s="3">
        <v>11400</v>
      </c>
      <c r="D1505" s="3">
        <v>11561</v>
      </c>
      <c r="E1505" s="3">
        <v>11386</v>
      </c>
      <c r="F1505" s="3">
        <v>11542</v>
      </c>
      <c r="G1505" s="3">
        <v>148777</v>
      </c>
      <c r="H1505" s="3">
        <v>1.0449999999999999</v>
      </c>
      <c r="I1505" s="2">
        <f t="shared" si="357"/>
        <v>0</v>
      </c>
      <c r="J1505" s="10">
        <f t="shared" si="359"/>
        <v>-108</v>
      </c>
      <c r="K1505" s="10">
        <f t="shared" si="358"/>
        <v>142</v>
      </c>
      <c r="L1505" s="10">
        <f t="shared" ca="1" si="347"/>
        <v>0</v>
      </c>
      <c r="M1505" s="10">
        <f t="shared" ca="1" si="349"/>
        <v>-1</v>
      </c>
      <c r="N1505" s="30">
        <f t="shared" ca="1" si="350"/>
        <v>0</v>
      </c>
      <c r="O1505" s="10">
        <f t="shared" ca="1" si="351"/>
        <v>2280000</v>
      </c>
      <c r="P1505" s="29">
        <f t="shared" ca="1" si="352"/>
        <v>-28900</v>
      </c>
      <c r="Q1505" s="12">
        <f t="shared" ca="1" si="353"/>
        <v>-563300</v>
      </c>
      <c r="R1505" s="10">
        <f t="shared" ca="1" si="354"/>
        <v>-1.2675438596491229</v>
      </c>
      <c r="S1505" s="10">
        <f t="shared" ca="1" si="344"/>
        <v>-2.0149298120390196</v>
      </c>
      <c r="T1505" s="14">
        <f t="shared" ca="1" si="345"/>
        <v>-0.41158059601531422</v>
      </c>
      <c r="U1505" s="12">
        <f t="shared" ca="1" si="355"/>
        <v>7900</v>
      </c>
      <c r="V1505" s="14">
        <f t="shared" ca="1" si="356"/>
        <v>-7230.3797468354433</v>
      </c>
      <c r="W1505" s="12">
        <f t="shared" ca="1" si="346"/>
        <v>-4611.3924050632913</v>
      </c>
      <c r="X1505" s="7">
        <f ca="1">AVERAGE(E1505:OFFSET(F1505,-$X$5+1,0))</f>
        <v>11600.3</v>
      </c>
      <c r="Y1505" s="7">
        <f ca="1">AVERAGE(E1505:OFFSET(F1505,-$Y$5+1,0))</f>
        <v>11663.15</v>
      </c>
      <c r="Z1505" s="7">
        <f t="shared" ca="1" si="348"/>
        <v>0</v>
      </c>
    </row>
    <row r="1506" spans="1:26">
      <c r="A1506" s="3" t="s">
        <v>97</v>
      </c>
      <c r="B1506" s="4">
        <v>43887</v>
      </c>
      <c r="C1506" s="3">
        <v>11383</v>
      </c>
      <c r="D1506" s="3">
        <v>11482</v>
      </c>
      <c r="E1506" s="3">
        <v>11365</v>
      </c>
      <c r="F1506" s="3">
        <v>11421</v>
      </c>
      <c r="G1506" s="3">
        <v>162698</v>
      </c>
      <c r="H1506" s="3">
        <v>1.0449999999999999</v>
      </c>
      <c r="I1506" s="2">
        <f t="shared" si="357"/>
        <v>0</v>
      </c>
      <c r="J1506" s="10">
        <f t="shared" si="359"/>
        <v>-159</v>
      </c>
      <c r="K1506" s="10">
        <f t="shared" si="358"/>
        <v>38</v>
      </c>
      <c r="L1506" s="10">
        <f t="shared" ca="1" si="347"/>
        <v>0</v>
      </c>
      <c r="M1506" s="10">
        <f t="shared" ca="1" si="349"/>
        <v>-1</v>
      </c>
      <c r="N1506" s="30">
        <f t="shared" ca="1" si="350"/>
        <v>0</v>
      </c>
      <c r="O1506" s="10">
        <f t="shared" ca="1" si="351"/>
        <v>2280000</v>
      </c>
      <c r="P1506" s="29">
        <f t="shared" ca="1" si="352"/>
        <v>24200</v>
      </c>
      <c r="Q1506" s="12">
        <f t="shared" ca="1" si="353"/>
        <v>-539100</v>
      </c>
      <c r="R1506" s="10">
        <f t="shared" ca="1" si="354"/>
        <v>1.0614035087719298</v>
      </c>
      <c r="S1506" s="10">
        <f t="shared" ca="1" si="344"/>
        <v>-1.6550678087080657</v>
      </c>
      <c r="T1506" s="14">
        <f t="shared" ca="1" si="345"/>
        <v>-0.35975088663594496</v>
      </c>
      <c r="U1506" s="12">
        <f t="shared" ca="1" si="355"/>
        <v>7900</v>
      </c>
      <c r="V1506" s="14">
        <f t="shared" ca="1" si="356"/>
        <v>-6924.0506329113923</v>
      </c>
      <c r="W1506" s="12">
        <f t="shared" ca="1" si="346"/>
        <v>-4611.3924050632913</v>
      </c>
      <c r="X1506" s="7">
        <f ca="1">AVERAGE(E1506:OFFSET(F1506,-$X$5+1,0))</f>
        <v>11539.2</v>
      </c>
      <c r="Y1506" s="7">
        <f ca="1">AVERAGE(E1506:OFFSET(F1506,-$Y$5+1,0))</f>
        <v>11631.55</v>
      </c>
      <c r="Z1506" s="7">
        <f t="shared" ca="1" si="348"/>
        <v>0</v>
      </c>
    </row>
    <row r="1507" spans="1:26">
      <c r="A1507" s="3" t="s">
        <v>97</v>
      </c>
      <c r="B1507" s="4">
        <v>43888</v>
      </c>
      <c r="C1507" s="3">
        <v>11395</v>
      </c>
      <c r="D1507" s="3">
        <v>11447</v>
      </c>
      <c r="E1507" s="3">
        <v>11237</v>
      </c>
      <c r="F1507" s="3">
        <v>11273</v>
      </c>
      <c r="G1507" s="3">
        <v>168661</v>
      </c>
      <c r="H1507" s="3">
        <v>1.0449999999999999</v>
      </c>
      <c r="I1507" s="2">
        <f t="shared" si="357"/>
        <v>0</v>
      </c>
      <c r="J1507" s="10">
        <f t="shared" si="359"/>
        <v>-26</v>
      </c>
      <c r="K1507" s="10">
        <f t="shared" si="358"/>
        <v>-122</v>
      </c>
      <c r="L1507" s="10">
        <f t="shared" ca="1" si="347"/>
        <v>0</v>
      </c>
      <c r="M1507" s="10">
        <f t="shared" ca="1" si="349"/>
        <v>-1</v>
      </c>
      <c r="N1507" s="30">
        <f t="shared" ca="1" si="350"/>
        <v>0</v>
      </c>
      <c r="O1507" s="10">
        <f t="shared" ca="1" si="351"/>
        <v>2280000</v>
      </c>
      <c r="P1507" s="29">
        <f t="shared" ca="1" si="352"/>
        <v>29600</v>
      </c>
      <c r="Q1507" s="12">
        <f t="shared" ca="1" si="353"/>
        <v>-509500</v>
      </c>
      <c r="R1507" s="10">
        <f t="shared" ca="1" si="354"/>
        <v>1.2982456140350878</v>
      </c>
      <c r="S1507" s="10">
        <f t="shared" ca="1" si="344"/>
        <v>-1.214906019509874</v>
      </c>
      <c r="T1507" s="14">
        <f t="shared" ca="1" si="345"/>
        <v>-0.30236868978431081</v>
      </c>
      <c r="U1507" s="12">
        <f t="shared" ca="1" si="355"/>
        <v>7900</v>
      </c>
      <c r="V1507" s="14">
        <f t="shared" ca="1" si="356"/>
        <v>-6549.3670886075952</v>
      </c>
      <c r="W1507" s="12">
        <f t="shared" ca="1" si="346"/>
        <v>-4611.3924050632913</v>
      </c>
      <c r="X1507" s="7">
        <f ca="1">AVERAGE(E1507:OFFSET(F1507,-$X$5+1,0))</f>
        <v>11450.8</v>
      </c>
      <c r="Y1507" s="7">
        <f ca="1">AVERAGE(E1507:OFFSET(F1507,-$Y$5+1,0))</f>
        <v>11580.25</v>
      </c>
      <c r="Z1507" s="7">
        <f t="shared" ca="1" si="348"/>
        <v>0</v>
      </c>
    </row>
    <row r="1508" spans="1:26">
      <c r="A1508" s="3" t="s">
        <v>97</v>
      </c>
      <c r="B1508" s="4">
        <v>43892</v>
      </c>
      <c r="C1508" s="3">
        <v>11011</v>
      </c>
      <c r="D1508" s="3">
        <v>11278</v>
      </c>
      <c r="E1508" s="3">
        <v>11005</v>
      </c>
      <c r="F1508" s="3">
        <v>11174</v>
      </c>
      <c r="G1508" s="3">
        <v>203861</v>
      </c>
      <c r="H1508" s="3">
        <v>1.0449999999999999</v>
      </c>
      <c r="I1508" s="2">
        <f t="shared" si="357"/>
        <v>0</v>
      </c>
      <c r="J1508" s="10">
        <f t="shared" si="359"/>
        <v>-262</v>
      </c>
      <c r="K1508" s="10">
        <f t="shared" si="358"/>
        <v>163</v>
      </c>
      <c r="L1508" s="10">
        <f t="shared" ca="1" si="347"/>
        <v>0</v>
      </c>
      <c r="M1508" s="10">
        <f t="shared" ca="1" si="349"/>
        <v>-1</v>
      </c>
      <c r="N1508" s="30">
        <f t="shared" ca="1" si="350"/>
        <v>0</v>
      </c>
      <c r="O1508" s="10">
        <f t="shared" ca="1" si="351"/>
        <v>2280000</v>
      </c>
      <c r="P1508" s="29">
        <f t="shared" ca="1" si="352"/>
        <v>19800</v>
      </c>
      <c r="Q1508" s="12">
        <f t="shared" ca="1" si="353"/>
        <v>-489700</v>
      </c>
      <c r="R1508" s="10">
        <f t="shared" ca="1" si="354"/>
        <v>0.86842105263157898</v>
      </c>
      <c r="S1508" s="10">
        <f t="shared" ca="1" si="344"/>
        <v>-0.92047347133000235</v>
      </c>
      <c r="T1508" s="14">
        <f t="shared" ca="1" si="345"/>
        <v>-0.26140434125894163</v>
      </c>
      <c r="U1508" s="12">
        <f t="shared" ca="1" si="355"/>
        <v>7900</v>
      </c>
      <c r="V1508" s="14">
        <f t="shared" ca="1" si="356"/>
        <v>-6298.7341772151894</v>
      </c>
      <c r="W1508" s="12">
        <f t="shared" ca="1" si="346"/>
        <v>-4611.3924050632913</v>
      </c>
      <c r="X1508" s="7">
        <f ca="1">AVERAGE(E1508:OFFSET(F1508,-$X$5+1,0))</f>
        <v>11338.7</v>
      </c>
      <c r="Y1508" s="7">
        <f ca="1">AVERAGE(E1508:OFFSET(F1508,-$Y$5+1,0))</f>
        <v>11510.85</v>
      </c>
      <c r="Z1508" s="7">
        <f t="shared" ca="1" si="348"/>
        <v>0</v>
      </c>
    </row>
    <row r="1509" spans="1:26">
      <c r="A1509" s="3" t="s">
        <v>97</v>
      </c>
      <c r="B1509" s="4">
        <v>43893</v>
      </c>
      <c r="C1509" s="3">
        <v>11313</v>
      </c>
      <c r="D1509" s="3">
        <v>11375</v>
      </c>
      <c r="E1509" s="3">
        <v>11278</v>
      </c>
      <c r="F1509" s="3">
        <v>11324</v>
      </c>
      <c r="G1509" s="3">
        <v>165499</v>
      </c>
      <c r="H1509" s="3">
        <v>1.0449999999999999</v>
      </c>
      <c r="I1509" s="2">
        <f t="shared" si="357"/>
        <v>0</v>
      </c>
      <c r="J1509" s="10">
        <f t="shared" si="359"/>
        <v>139</v>
      </c>
      <c r="K1509" s="10">
        <f t="shared" si="358"/>
        <v>11</v>
      </c>
      <c r="L1509" s="10">
        <f t="shared" ca="1" si="347"/>
        <v>0</v>
      </c>
      <c r="M1509" s="10">
        <f t="shared" ca="1" si="349"/>
        <v>-1</v>
      </c>
      <c r="N1509" s="30">
        <f t="shared" ca="1" si="350"/>
        <v>0</v>
      </c>
      <c r="O1509" s="10">
        <f t="shared" ca="1" si="351"/>
        <v>2280000</v>
      </c>
      <c r="P1509" s="29">
        <f t="shared" ca="1" si="352"/>
        <v>-30000</v>
      </c>
      <c r="Q1509" s="12">
        <f t="shared" ca="1" si="353"/>
        <v>-519700</v>
      </c>
      <c r="R1509" s="10">
        <f t="shared" ca="1" si="354"/>
        <v>-1.3157894736842106</v>
      </c>
      <c r="S1509" s="10">
        <f t="shared" ca="1" si="344"/>
        <v>-1.3665833928146562</v>
      </c>
      <c r="T1509" s="14">
        <f t="shared" ca="1" si="345"/>
        <v>-0.31772418481220555</v>
      </c>
      <c r="U1509" s="12">
        <f t="shared" ca="1" si="355"/>
        <v>7900</v>
      </c>
      <c r="V1509" s="14">
        <f t="shared" ca="1" si="356"/>
        <v>-6678.4810126582279</v>
      </c>
      <c r="W1509" s="12">
        <f t="shared" ca="1" si="346"/>
        <v>-4611.3924050632913</v>
      </c>
      <c r="X1509" s="7">
        <f ca="1">AVERAGE(E1509:OFFSET(F1509,-$X$5+1,0))</f>
        <v>11300.5</v>
      </c>
      <c r="Y1509" s="7">
        <f ca="1">AVERAGE(E1509:OFFSET(F1509,-$Y$5+1,0))</f>
        <v>11467.35</v>
      </c>
      <c r="Z1509" s="7">
        <f t="shared" ca="1" si="348"/>
        <v>0</v>
      </c>
    </row>
    <row r="1510" spans="1:26">
      <c r="A1510" s="3" t="s">
        <v>97</v>
      </c>
      <c r="B1510" s="4">
        <v>43894</v>
      </c>
      <c r="C1510" s="3">
        <v>11348</v>
      </c>
      <c r="D1510" s="3">
        <v>11369</v>
      </c>
      <c r="E1510" s="3">
        <v>11267</v>
      </c>
      <c r="F1510" s="3">
        <v>11364</v>
      </c>
      <c r="G1510" s="3">
        <v>142617</v>
      </c>
      <c r="H1510" s="3">
        <v>1.0449999999999999</v>
      </c>
      <c r="I1510" s="2">
        <f t="shared" si="357"/>
        <v>0</v>
      </c>
      <c r="J1510" s="10">
        <f t="shared" si="359"/>
        <v>24</v>
      </c>
      <c r="K1510" s="10">
        <f t="shared" si="358"/>
        <v>16</v>
      </c>
      <c r="L1510" s="10">
        <f t="shared" ca="1" si="347"/>
        <v>0</v>
      </c>
      <c r="M1510" s="10">
        <f t="shared" ca="1" si="349"/>
        <v>-1</v>
      </c>
      <c r="N1510" s="30">
        <f t="shared" ca="1" si="350"/>
        <v>0</v>
      </c>
      <c r="O1510" s="10">
        <f t="shared" ca="1" si="351"/>
        <v>2280000</v>
      </c>
      <c r="P1510" s="29">
        <f t="shared" ca="1" si="352"/>
        <v>-8000</v>
      </c>
      <c r="Q1510" s="12">
        <f t="shared" ca="1" si="353"/>
        <v>-527700</v>
      </c>
      <c r="R1510" s="10">
        <f t="shared" ca="1" si="354"/>
        <v>-0.35087719298245612</v>
      </c>
      <c r="S1510" s="10">
        <f t="shared" ca="1" si="344"/>
        <v>-1.5673328574827503</v>
      </c>
      <c r="T1510" s="14">
        <f t="shared" ca="1" si="345"/>
        <v>-0.34387564734670123</v>
      </c>
      <c r="U1510" s="12">
        <f t="shared" ca="1" si="355"/>
        <v>7900</v>
      </c>
      <c r="V1510" s="14">
        <f t="shared" ca="1" si="356"/>
        <v>-6779.7468354430375</v>
      </c>
      <c r="W1510" s="12">
        <f t="shared" ca="1" si="346"/>
        <v>-4611.3924050632913</v>
      </c>
      <c r="X1510" s="7">
        <f ca="1">AVERAGE(E1510:OFFSET(F1510,-$X$5+1,0))</f>
        <v>11270.8</v>
      </c>
      <c r="Y1510" s="7">
        <f ca="1">AVERAGE(E1510:OFFSET(F1510,-$Y$5+1,0))</f>
        <v>11435.55</v>
      </c>
      <c r="Z1510" s="7">
        <f t="shared" ca="1" si="348"/>
        <v>0</v>
      </c>
    </row>
    <row r="1511" spans="1:26">
      <c r="A1511" s="3" t="s">
        <v>97</v>
      </c>
      <c r="B1511" s="4">
        <v>43895</v>
      </c>
      <c r="C1511" s="3">
        <v>11450</v>
      </c>
      <c r="D1511" s="3">
        <v>11501</v>
      </c>
      <c r="E1511" s="3">
        <v>11428</v>
      </c>
      <c r="F1511" s="3">
        <v>11492</v>
      </c>
      <c r="G1511" s="3">
        <v>112997</v>
      </c>
      <c r="H1511" s="3">
        <v>1.0449999999999999</v>
      </c>
      <c r="I1511" s="2">
        <f t="shared" si="357"/>
        <v>0</v>
      </c>
      <c r="J1511" s="10">
        <f t="shared" si="359"/>
        <v>86</v>
      </c>
      <c r="K1511" s="10">
        <f t="shared" si="358"/>
        <v>42</v>
      </c>
      <c r="L1511" s="10">
        <f t="shared" ca="1" si="347"/>
        <v>0</v>
      </c>
      <c r="M1511" s="10">
        <f t="shared" ca="1" si="349"/>
        <v>-1</v>
      </c>
      <c r="N1511" s="30">
        <f t="shared" ca="1" si="350"/>
        <v>0</v>
      </c>
      <c r="O1511" s="10">
        <f t="shared" ca="1" si="351"/>
        <v>2280000</v>
      </c>
      <c r="P1511" s="29">
        <f t="shared" ca="1" si="352"/>
        <v>-25600</v>
      </c>
      <c r="Q1511" s="12">
        <f t="shared" ca="1" si="353"/>
        <v>-553300</v>
      </c>
      <c r="R1511" s="10">
        <f t="shared" ca="1" si="354"/>
        <v>-1.1228070175438596</v>
      </c>
      <c r="S1511" s="10">
        <f t="shared" ca="1" si="344"/>
        <v>-1.8617654056626218</v>
      </c>
      <c r="T1511" s="14">
        <f t="shared" ca="1" si="345"/>
        <v>-0.37908149982456801</v>
      </c>
      <c r="U1511" s="12">
        <f t="shared" ca="1" si="355"/>
        <v>7900</v>
      </c>
      <c r="V1511" s="14">
        <f t="shared" ca="1" si="356"/>
        <v>-7103.7974683544307</v>
      </c>
      <c r="W1511" s="12">
        <f t="shared" ca="1" si="346"/>
        <v>-4611.3924050632913</v>
      </c>
      <c r="X1511" s="7">
        <f ca="1">AVERAGE(E1511:OFFSET(F1511,-$X$5+1,0))</f>
        <v>11284.2</v>
      </c>
      <c r="Y1511" s="7">
        <f ca="1">AVERAGE(E1511:OFFSET(F1511,-$Y$5+1,0))</f>
        <v>11411.7</v>
      </c>
      <c r="Z1511" s="7">
        <f t="shared" ca="1" si="348"/>
        <v>0</v>
      </c>
    </row>
    <row r="1512" spans="1:26">
      <c r="A1512" s="3" t="s">
        <v>97</v>
      </c>
      <c r="B1512" s="4">
        <v>43896</v>
      </c>
      <c r="C1512" s="3">
        <v>11400</v>
      </c>
      <c r="D1512" s="3">
        <v>11420</v>
      </c>
      <c r="E1512" s="3">
        <v>11260</v>
      </c>
      <c r="F1512" s="3">
        <v>11269</v>
      </c>
      <c r="G1512" s="3">
        <v>154698</v>
      </c>
      <c r="H1512" s="3">
        <v>1.0449999999999999</v>
      </c>
      <c r="I1512" s="2">
        <f t="shared" si="357"/>
        <v>0</v>
      </c>
      <c r="J1512" s="10">
        <f t="shared" si="359"/>
        <v>-92</v>
      </c>
      <c r="K1512" s="10">
        <f t="shared" si="358"/>
        <v>-131</v>
      </c>
      <c r="L1512" s="10">
        <f t="shared" ca="1" si="347"/>
        <v>0</v>
      </c>
      <c r="M1512" s="10">
        <f t="shared" ca="1" si="349"/>
        <v>-1</v>
      </c>
      <c r="N1512" s="30">
        <f t="shared" ca="1" si="350"/>
        <v>0</v>
      </c>
      <c r="O1512" s="10">
        <f t="shared" ca="1" si="351"/>
        <v>2280000</v>
      </c>
      <c r="P1512" s="29">
        <f t="shared" ca="1" si="352"/>
        <v>44600</v>
      </c>
      <c r="Q1512" s="12">
        <f t="shared" ca="1" si="353"/>
        <v>-508700</v>
      </c>
      <c r="R1512" s="10">
        <f t="shared" ca="1" si="354"/>
        <v>1.9561403508771931</v>
      </c>
      <c r="S1512" s="10">
        <f t="shared" ca="1" si="344"/>
        <v>-0.84463478467761122</v>
      </c>
      <c r="T1512" s="14">
        <f t="shared" ca="1" si="345"/>
        <v>-0.23945885336594247</v>
      </c>
      <c r="U1512" s="12">
        <f t="shared" ca="1" si="355"/>
        <v>7900</v>
      </c>
      <c r="V1512" s="14">
        <f t="shared" ca="1" si="356"/>
        <v>-6539.2405063291135</v>
      </c>
      <c r="W1512" s="12">
        <f t="shared" ca="1" si="346"/>
        <v>-4611.3924050632913</v>
      </c>
      <c r="X1512" s="7">
        <f ca="1">AVERAGE(E1512:OFFSET(F1512,-$X$5+1,0))</f>
        <v>11286.1</v>
      </c>
      <c r="Y1512" s="7">
        <f ca="1">AVERAGE(E1512:OFFSET(F1512,-$Y$5+1,0))</f>
        <v>11368.45</v>
      </c>
      <c r="Z1512" s="7">
        <f t="shared" ca="1" si="348"/>
        <v>0</v>
      </c>
    </row>
    <row r="1513" spans="1:26">
      <c r="A1513" s="3" t="s">
        <v>97</v>
      </c>
      <c r="B1513" s="4">
        <v>43899</v>
      </c>
      <c r="C1513" s="3">
        <v>10975</v>
      </c>
      <c r="D1513" s="3">
        <v>11108</v>
      </c>
      <c r="E1513" s="3">
        <v>10916</v>
      </c>
      <c r="F1513" s="3">
        <v>10950</v>
      </c>
      <c r="G1513" s="3">
        <v>213069</v>
      </c>
      <c r="H1513" s="3">
        <v>1.0449999999999999</v>
      </c>
      <c r="I1513" s="2">
        <f t="shared" si="357"/>
        <v>0</v>
      </c>
      <c r="J1513" s="10">
        <f t="shared" si="359"/>
        <v>-294</v>
      </c>
      <c r="K1513" s="10">
        <f t="shared" si="358"/>
        <v>-25</v>
      </c>
      <c r="L1513" s="10">
        <f t="shared" ca="1" si="347"/>
        <v>0</v>
      </c>
      <c r="M1513" s="10">
        <f t="shared" ca="1" si="349"/>
        <v>-1</v>
      </c>
      <c r="N1513" s="30">
        <f t="shared" ca="1" si="350"/>
        <v>0</v>
      </c>
      <c r="O1513" s="10">
        <f t="shared" ca="1" si="351"/>
        <v>2280000</v>
      </c>
      <c r="P1513" s="29">
        <f t="shared" ca="1" si="352"/>
        <v>63800</v>
      </c>
      <c r="Q1513" s="12">
        <f t="shared" ca="1" si="353"/>
        <v>-444900</v>
      </c>
      <c r="R1513" s="10">
        <f t="shared" ca="1" si="354"/>
        <v>2.7982456140350878</v>
      </c>
      <c r="S1513" s="10">
        <f t="shared" ca="1" si="344"/>
        <v>0.15465143944801332</v>
      </c>
      <c r="T1513" s="14">
        <f t="shared" ca="1" si="345"/>
        <v>-0.10695168661311975</v>
      </c>
      <c r="U1513" s="12">
        <f t="shared" ca="1" si="355"/>
        <v>7900</v>
      </c>
      <c r="V1513" s="14">
        <f t="shared" ca="1" si="356"/>
        <v>-5731.6455696202529</v>
      </c>
      <c r="W1513" s="12">
        <f t="shared" ca="1" si="346"/>
        <v>-4611.3924050632913</v>
      </c>
      <c r="X1513" s="7">
        <f ca="1">AVERAGE(E1513:OFFSET(F1513,-$X$5+1,0))</f>
        <v>11254.8</v>
      </c>
      <c r="Y1513" s="7">
        <f ca="1">AVERAGE(E1513:OFFSET(F1513,-$Y$5+1,0))</f>
        <v>11296.75</v>
      </c>
      <c r="Z1513" s="7">
        <f t="shared" ca="1" si="348"/>
        <v>0</v>
      </c>
    </row>
    <row r="1514" spans="1:26">
      <c r="A1514" s="3" t="s">
        <v>97</v>
      </c>
      <c r="B1514" s="4">
        <v>43900</v>
      </c>
      <c r="C1514" s="3">
        <v>10830</v>
      </c>
      <c r="D1514" s="3">
        <v>10996</v>
      </c>
      <c r="E1514" s="3">
        <v>10779</v>
      </c>
      <c r="F1514" s="3">
        <v>10984</v>
      </c>
      <c r="G1514" s="3">
        <v>209076</v>
      </c>
      <c r="H1514" s="3">
        <v>1.0449999999999999</v>
      </c>
      <c r="I1514" s="2">
        <f t="shared" si="357"/>
        <v>0</v>
      </c>
      <c r="J1514" s="10">
        <f t="shared" si="359"/>
        <v>-120</v>
      </c>
      <c r="K1514" s="10">
        <f t="shared" si="358"/>
        <v>154</v>
      </c>
      <c r="L1514" s="10">
        <f t="shared" ca="1" si="347"/>
        <v>0</v>
      </c>
      <c r="M1514" s="10">
        <f t="shared" ca="1" si="349"/>
        <v>-1</v>
      </c>
      <c r="N1514" s="30">
        <f t="shared" ca="1" si="350"/>
        <v>0</v>
      </c>
      <c r="O1514" s="10">
        <f t="shared" ca="1" si="351"/>
        <v>2280000</v>
      </c>
      <c r="P1514" s="29">
        <f t="shared" ca="1" si="352"/>
        <v>-6800</v>
      </c>
      <c r="Q1514" s="12">
        <f t="shared" ca="1" si="353"/>
        <v>-451700</v>
      </c>
      <c r="R1514" s="10">
        <f t="shared" ca="1" si="354"/>
        <v>-0.2982456140350877</v>
      </c>
      <c r="S1514" s="10">
        <f t="shared" ca="1" si="344"/>
        <v>-2.676659528907923E-2</v>
      </c>
      <c r="T1514" s="14">
        <f t="shared" ca="1" si="345"/>
        <v>-0.12867261342289371</v>
      </c>
      <c r="U1514" s="12">
        <f t="shared" ca="1" si="355"/>
        <v>7900</v>
      </c>
      <c r="V1514" s="14">
        <f t="shared" ca="1" si="356"/>
        <v>-5817.7215189873414</v>
      </c>
      <c r="W1514" s="12">
        <f t="shared" ca="1" si="346"/>
        <v>-4611.3924050632913</v>
      </c>
      <c r="X1514" s="7">
        <f ca="1">AVERAGE(E1514:OFFSET(F1514,-$X$5+1,0))</f>
        <v>11170.9</v>
      </c>
      <c r="Y1514" s="7">
        <f ca="1">AVERAGE(E1514:OFFSET(F1514,-$Y$5+1,0))</f>
        <v>11235.7</v>
      </c>
      <c r="Z1514" s="7">
        <f t="shared" ca="1" si="348"/>
        <v>0</v>
      </c>
    </row>
    <row r="1515" spans="1:26">
      <c r="A1515" s="3" t="s">
        <v>97</v>
      </c>
      <c r="B1515" s="4">
        <v>43901</v>
      </c>
      <c r="C1515" s="3">
        <v>10979</v>
      </c>
      <c r="D1515" s="3">
        <v>11029</v>
      </c>
      <c r="E1515" s="3">
        <v>10807</v>
      </c>
      <c r="F1515" s="3">
        <v>10821</v>
      </c>
      <c r="G1515" s="3">
        <v>183871</v>
      </c>
      <c r="H1515" s="3">
        <v>1.0449999999999999</v>
      </c>
      <c r="I1515" s="2">
        <f t="shared" si="357"/>
        <v>0</v>
      </c>
      <c r="J1515" s="10">
        <f t="shared" si="359"/>
        <v>-5</v>
      </c>
      <c r="K1515" s="10">
        <f t="shared" si="358"/>
        <v>-158</v>
      </c>
      <c r="L1515" s="10">
        <f t="shared" ca="1" si="347"/>
        <v>0</v>
      </c>
      <c r="M1515" s="10">
        <f t="shared" ca="1" si="349"/>
        <v>-1</v>
      </c>
      <c r="N1515" s="30">
        <f t="shared" ca="1" si="350"/>
        <v>0</v>
      </c>
      <c r="O1515" s="10">
        <f t="shared" ca="1" si="351"/>
        <v>2280000</v>
      </c>
      <c r="P1515" s="29">
        <f t="shared" ca="1" si="352"/>
        <v>32600</v>
      </c>
      <c r="Q1515" s="12">
        <f t="shared" ca="1" si="353"/>
        <v>-419100</v>
      </c>
      <c r="R1515" s="10">
        <f t="shared" ca="1" si="354"/>
        <v>1.4298245614035088</v>
      </c>
      <c r="S1515" s="10">
        <f t="shared" ca="1" si="344"/>
        <v>0.68403521294313585</v>
      </c>
      <c r="T1515" s="14">
        <f t="shared" ca="1" si="345"/>
        <v>-4.2775975105070849E-2</v>
      </c>
      <c r="U1515" s="12">
        <f t="shared" ca="1" si="355"/>
        <v>7900</v>
      </c>
      <c r="V1515" s="14">
        <f t="shared" ca="1" si="356"/>
        <v>-5405.0632911392404</v>
      </c>
      <c r="W1515" s="12">
        <f t="shared" ca="1" si="346"/>
        <v>-4611.3924050632913</v>
      </c>
      <c r="X1515" s="7">
        <f ca="1">AVERAGE(E1515:OFFSET(F1515,-$X$5+1,0))</f>
        <v>11070.6</v>
      </c>
      <c r="Y1515" s="7">
        <f ca="1">AVERAGE(E1515:OFFSET(F1515,-$Y$5+1,0))</f>
        <v>11170.7</v>
      </c>
      <c r="Z1515" s="7">
        <f t="shared" ca="1" si="348"/>
        <v>0</v>
      </c>
    </row>
    <row r="1516" spans="1:26">
      <c r="A1516" s="3" t="s">
        <v>97</v>
      </c>
      <c r="B1516" s="4">
        <v>43902</v>
      </c>
      <c r="C1516" s="3">
        <v>10750</v>
      </c>
      <c r="D1516" s="3">
        <v>10765</v>
      </c>
      <c r="E1516" s="3">
        <v>10161</v>
      </c>
      <c r="F1516" s="3">
        <v>10367</v>
      </c>
      <c r="G1516" s="3">
        <v>331510</v>
      </c>
      <c r="H1516" s="3">
        <v>1.0449999999999999</v>
      </c>
      <c r="I1516" s="2">
        <f t="shared" si="357"/>
        <v>0</v>
      </c>
      <c r="J1516" s="10">
        <f t="shared" si="359"/>
        <v>-71</v>
      </c>
      <c r="K1516" s="10">
        <f t="shared" si="358"/>
        <v>-383</v>
      </c>
      <c r="L1516" s="10">
        <f t="shared" ca="1" si="347"/>
        <v>0</v>
      </c>
      <c r="M1516" s="10">
        <f t="shared" ca="1" si="349"/>
        <v>-1</v>
      </c>
      <c r="N1516" s="30">
        <f t="shared" ca="1" si="350"/>
        <v>0</v>
      </c>
      <c r="O1516" s="10">
        <f t="shared" ca="1" si="351"/>
        <v>2280000</v>
      </c>
      <c r="P1516" s="29">
        <f t="shared" ca="1" si="352"/>
        <v>90800</v>
      </c>
      <c r="Q1516" s="12">
        <f t="shared" ca="1" si="353"/>
        <v>-328300</v>
      </c>
      <c r="R1516" s="10">
        <f t="shared" ca="1" si="354"/>
        <v>3.9824561403508771</v>
      </c>
      <c r="S1516" s="10">
        <f t="shared" ref="S1516:S1579" ca="1" si="360">100*SUM(P1277:P1516)/SUM(N1277:N1516)</f>
        <v>2.1100999286224127</v>
      </c>
      <c r="T1516" s="14">
        <f t="shared" ca="1" si="345"/>
        <v>0.11532200407025348</v>
      </c>
      <c r="U1516" s="12">
        <f t="shared" ca="1" si="355"/>
        <v>7900</v>
      </c>
      <c r="V1516" s="14">
        <f t="shared" ca="1" si="356"/>
        <v>-4255.6962025316452</v>
      </c>
      <c r="W1516" s="12">
        <f t="shared" ca="1" si="346"/>
        <v>-4255.6962025316452</v>
      </c>
      <c r="X1516" s="7">
        <f ca="1">AVERAGE(E1516:OFFSET(F1516,-$X$5+1,0))</f>
        <v>10831.4</v>
      </c>
      <c r="Y1516" s="7">
        <f ca="1">AVERAGE(E1516:OFFSET(F1516,-$Y$5+1,0))</f>
        <v>11057.8</v>
      </c>
      <c r="Z1516" s="7">
        <f t="shared" ca="1" si="348"/>
        <v>0</v>
      </c>
    </row>
    <row r="1517" spans="1:26">
      <c r="A1517" s="3" t="s">
        <v>97</v>
      </c>
      <c r="B1517" s="4">
        <v>43903</v>
      </c>
      <c r="C1517" s="3">
        <v>9749</v>
      </c>
      <c r="D1517" s="3">
        <v>10147</v>
      </c>
      <c r="E1517" s="3">
        <v>9450</v>
      </c>
      <c r="F1517" s="3">
        <v>10021</v>
      </c>
      <c r="G1517" s="3">
        <v>348943</v>
      </c>
      <c r="H1517" s="3">
        <v>1.0449999999999999</v>
      </c>
      <c r="I1517" s="2">
        <f t="shared" si="357"/>
        <v>0</v>
      </c>
      <c r="J1517" s="10">
        <f t="shared" si="359"/>
        <v>-618</v>
      </c>
      <c r="K1517" s="10">
        <f t="shared" si="358"/>
        <v>272</v>
      </c>
      <c r="L1517" s="10">
        <f t="shared" ca="1" si="347"/>
        <v>0</v>
      </c>
      <c r="M1517" s="10">
        <f t="shared" ca="1" si="349"/>
        <v>-1</v>
      </c>
      <c r="N1517" s="30">
        <f t="shared" ca="1" si="350"/>
        <v>0</v>
      </c>
      <c r="O1517" s="10">
        <f t="shared" ca="1" si="351"/>
        <v>2280000</v>
      </c>
      <c r="P1517" s="29">
        <f t="shared" ca="1" si="352"/>
        <v>69200</v>
      </c>
      <c r="Q1517" s="12">
        <f t="shared" ca="1" si="353"/>
        <v>-259100</v>
      </c>
      <c r="R1517" s="10">
        <f t="shared" ca="1" si="354"/>
        <v>3.0350877192982457</v>
      </c>
      <c r="S1517" s="10">
        <f t="shared" ca="1" si="360"/>
        <v>3.1391268141803472</v>
      </c>
      <c r="T1517" s="14">
        <f t="shared" ref="T1517:T1580" ca="1" si="361">(S1517-AVERAGE(H1248:H1517))/(_xlfn.STDEV.S(R1248:R1517)*SQRT(240))</f>
        <v>0.21667795091774275</v>
      </c>
      <c r="U1517" s="12">
        <f t="shared" ca="1" si="355"/>
        <v>7900</v>
      </c>
      <c r="V1517" s="14">
        <f t="shared" ca="1" si="356"/>
        <v>-3379.746835443038</v>
      </c>
      <c r="W1517" s="12">
        <f t="shared" ref="W1517:W1580" ca="1" si="362">MAX(V1278:V1517)</f>
        <v>-3379.746835443038</v>
      </c>
      <c r="X1517" s="7">
        <f ca="1">AVERAGE(E1517:OFFSET(F1517,-$X$5+1,0))</f>
        <v>10525.6</v>
      </c>
      <c r="Y1517" s="7">
        <f ca="1">AVERAGE(E1517:OFFSET(F1517,-$Y$5+1,0))</f>
        <v>10905.85</v>
      </c>
      <c r="Z1517" s="7">
        <f t="shared" ca="1" si="348"/>
        <v>0</v>
      </c>
    </row>
    <row r="1518" spans="1:26">
      <c r="A1518" s="3" t="s">
        <v>97</v>
      </c>
      <c r="B1518" s="4">
        <v>43906</v>
      </c>
      <c r="C1518" s="3">
        <v>9919</v>
      </c>
      <c r="D1518" s="3">
        <v>10055</v>
      </c>
      <c r="E1518" s="3">
        <v>9636</v>
      </c>
      <c r="F1518" s="3">
        <v>9668</v>
      </c>
      <c r="G1518" s="3">
        <v>260020</v>
      </c>
      <c r="H1518" s="3">
        <v>1.0449999999999999</v>
      </c>
      <c r="I1518" s="2">
        <f t="shared" si="357"/>
        <v>0</v>
      </c>
      <c r="J1518" s="10">
        <f t="shared" si="359"/>
        <v>-102</v>
      </c>
      <c r="K1518" s="10">
        <f t="shared" si="358"/>
        <v>-251</v>
      </c>
      <c r="L1518" s="10">
        <f t="shared" ca="1" si="347"/>
        <v>0</v>
      </c>
      <c r="M1518" s="10">
        <f t="shared" ca="1" si="349"/>
        <v>-1</v>
      </c>
      <c r="N1518" s="30">
        <f t="shared" ca="1" si="350"/>
        <v>0</v>
      </c>
      <c r="O1518" s="10">
        <f t="shared" ca="1" si="351"/>
        <v>2280000</v>
      </c>
      <c r="P1518" s="29">
        <f t="shared" ca="1" si="352"/>
        <v>70600</v>
      </c>
      <c r="Q1518" s="12">
        <f t="shared" ca="1" si="353"/>
        <v>-188500</v>
      </c>
      <c r="R1518" s="10">
        <f t="shared" ca="1" si="354"/>
        <v>3.0964912280701755</v>
      </c>
      <c r="S1518" s="10">
        <f t="shared" ca="1" si="360"/>
        <v>4.1889721627408996</v>
      </c>
      <c r="T1518" s="14">
        <f t="shared" ca="1" si="361"/>
        <v>0.31163254859317752</v>
      </c>
      <c r="U1518" s="12">
        <f t="shared" ca="1" si="355"/>
        <v>7900</v>
      </c>
      <c r="V1518" s="14">
        <f t="shared" ca="1" si="356"/>
        <v>-2486.0759493670885</v>
      </c>
      <c r="W1518" s="12">
        <f t="shared" ca="1" si="362"/>
        <v>-2486.0759493670885</v>
      </c>
      <c r="X1518" s="7">
        <f ca="1">AVERAGE(E1518:OFFSET(F1518,-$X$5+1,0))</f>
        <v>10269.4</v>
      </c>
      <c r="Y1518" s="7">
        <f ca="1">AVERAGE(E1518:OFFSET(F1518,-$Y$5+1,0))</f>
        <v>10762.1</v>
      </c>
      <c r="Z1518" s="7">
        <f t="shared" ca="1" si="348"/>
        <v>0</v>
      </c>
    </row>
    <row r="1519" spans="1:26">
      <c r="A1519" s="3" t="s">
        <v>97</v>
      </c>
      <c r="B1519" s="4">
        <v>43907</v>
      </c>
      <c r="C1519" s="3">
        <v>9379</v>
      </c>
      <c r="D1519" s="3">
        <v>9677</v>
      </c>
      <c r="E1519" s="3">
        <v>9271</v>
      </c>
      <c r="F1519" s="3">
        <v>9363</v>
      </c>
      <c r="G1519" s="3">
        <v>257921</v>
      </c>
      <c r="H1519" s="3">
        <v>1.0449999999999999</v>
      </c>
      <c r="I1519" s="2">
        <f t="shared" si="357"/>
        <v>0</v>
      </c>
      <c r="J1519" s="10">
        <f t="shared" si="359"/>
        <v>-289</v>
      </c>
      <c r="K1519" s="10">
        <f t="shared" si="358"/>
        <v>-16</v>
      </c>
      <c r="L1519" s="10">
        <f t="shared" ca="1" si="347"/>
        <v>0</v>
      </c>
      <c r="M1519" s="10">
        <f t="shared" ca="1" si="349"/>
        <v>-1</v>
      </c>
      <c r="N1519" s="30">
        <f t="shared" ca="1" si="350"/>
        <v>0</v>
      </c>
      <c r="O1519" s="10">
        <f t="shared" ca="1" si="351"/>
        <v>2280000</v>
      </c>
      <c r="P1519" s="29">
        <f t="shared" ca="1" si="352"/>
        <v>61000</v>
      </c>
      <c r="Q1519" s="12">
        <f t="shared" ca="1" si="353"/>
        <v>-127500</v>
      </c>
      <c r="R1519" s="10">
        <f t="shared" ca="1" si="354"/>
        <v>2.6754385964912282</v>
      </c>
      <c r="S1519" s="10">
        <f t="shared" ca="1" si="360"/>
        <v>5.0960623364263622</v>
      </c>
      <c r="T1519" s="14">
        <f t="shared" ca="1" si="361"/>
        <v>0.38988046962583361</v>
      </c>
      <c r="U1519" s="12">
        <f t="shared" ca="1" si="355"/>
        <v>7900</v>
      </c>
      <c r="V1519" s="14">
        <f t="shared" ca="1" si="356"/>
        <v>-1713.9240506329113</v>
      </c>
      <c r="W1519" s="12">
        <f t="shared" ca="1" si="362"/>
        <v>-1713.9240506329113</v>
      </c>
      <c r="X1519" s="7">
        <f ca="1">AVERAGE(E1519:OFFSET(F1519,-$X$5+1,0))</f>
        <v>9956.5</v>
      </c>
      <c r="Y1519" s="7">
        <f ca="1">AVERAGE(E1519:OFFSET(F1519,-$Y$5+1,0))</f>
        <v>10563.7</v>
      </c>
      <c r="Z1519" s="7">
        <f t="shared" ca="1" si="348"/>
        <v>0</v>
      </c>
    </row>
    <row r="1520" spans="1:26">
      <c r="A1520" s="3" t="s">
        <v>97</v>
      </c>
      <c r="B1520" s="4">
        <v>43908</v>
      </c>
      <c r="C1520" s="3">
        <v>9366</v>
      </c>
      <c r="D1520" s="3">
        <v>9489</v>
      </c>
      <c r="E1520" s="3">
        <v>9205</v>
      </c>
      <c r="F1520" s="3">
        <v>9263</v>
      </c>
      <c r="G1520" s="3">
        <v>111426</v>
      </c>
      <c r="H1520" s="3">
        <v>1.0449999999999999</v>
      </c>
      <c r="I1520" s="2">
        <f t="shared" si="357"/>
        <v>1</v>
      </c>
      <c r="J1520" s="10">
        <f t="shared" si="359"/>
        <v>3</v>
      </c>
      <c r="K1520" s="10">
        <f t="shared" si="358"/>
        <v>-103</v>
      </c>
      <c r="L1520" s="10">
        <f t="shared" ca="1" si="347"/>
        <v>0</v>
      </c>
      <c r="M1520" s="10">
        <f t="shared" si="349"/>
        <v>0</v>
      </c>
      <c r="N1520" s="30">
        <f t="shared" si="350"/>
        <v>0</v>
      </c>
      <c r="O1520" s="10">
        <f t="shared" si="351"/>
        <v>0</v>
      </c>
      <c r="P1520" s="29">
        <f t="shared" ca="1" si="352"/>
        <v>-1100</v>
      </c>
      <c r="Q1520" s="12">
        <f t="shared" ca="1" si="353"/>
        <v>-128600</v>
      </c>
      <c r="R1520" s="10">
        <f t="shared" ca="1" si="354"/>
        <v>-4.8245614035087717E-2</v>
      </c>
      <c r="S1520" s="10">
        <f t="shared" ca="1" si="360"/>
        <v>5.0797049726385914</v>
      </c>
      <c r="T1520" s="14">
        <f t="shared" ca="1" si="361"/>
        <v>0.38829506061608898</v>
      </c>
      <c r="U1520" s="12">
        <f t="shared" ca="1" si="355"/>
        <v>7900</v>
      </c>
      <c r="V1520" s="14">
        <f t="shared" ca="1" si="356"/>
        <v>-1727.8481012658228</v>
      </c>
      <c r="W1520" s="12">
        <f t="shared" ca="1" si="362"/>
        <v>-1713.9240506329113</v>
      </c>
      <c r="X1520" s="7">
        <f ca="1">AVERAGE(E1520:OFFSET(F1520,-$X$5+1,0))</f>
        <v>9640.5</v>
      </c>
      <c r="Y1520" s="7">
        <f ca="1">AVERAGE(E1520:OFFSET(F1520,-$Y$5+1,0))</f>
        <v>10355.549999999999</v>
      </c>
      <c r="Z1520" s="7">
        <f t="shared" ca="1" si="348"/>
        <v>0</v>
      </c>
    </row>
    <row r="1521" spans="1:26">
      <c r="A1521" s="3" t="s">
        <v>98</v>
      </c>
      <c r="B1521" s="4">
        <v>43909</v>
      </c>
      <c r="C1521" s="3">
        <v>8820</v>
      </c>
      <c r="D1521" s="3">
        <v>8872</v>
      </c>
      <c r="E1521" s="3">
        <v>8268</v>
      </c>
      <c r="F1521" s="3">
        <v>8353</v>
      </c>
      <c r="G1521" s="3">
        <v>307231</v>
      </c>
      <c r="H1521" s="3">
        <v>1.0449999999999999</v>
      </c>
      <c r="I1521" s="2">
        <f t="shared" si="357"/>
        <v>0</v>
      </c>
      <c r="J1521" s="10">
        <f t="shared" si="359"/>
        <v>-443</v>
      </c>
      <c r="K1521" s="10">
        <f t="shared" si="358"/>
        <v>-467</v>
      </c>
      <c r="L1521" s="10">
        <f t="shared" ca="1" si="347"/>
        <v>0</v>
      </c>
      <c r="M1521" s="10">
        <f t="shared" ca="1" si="349"/>
        <v>0</v>
      </c>
      <c r="N1521" s="30">
        <f t="shared" ca="1" si="350"/>
        <v>0</v>
      </c>
      <c r="O1521" s="10">
        <f t="shared" ca="1" si="351"/>
        <v>0</v>
      </c>
      <c r="P1521" s="29">
        <f t="shared" ca="1" si="352"/>
        <v>0</v>
      </c>
      <c r="Q1521" s="12">
        <f t="shared" ca="1" si="353"/>
        <v>-128600</v>
      </c>
      <c r="R1521" s="10">
        <f t="shared" ca="1" si="354"/>
        <v>0</v>
      </c>
      <c r="S1521" s="10">
        <f t="shared" ca="1" si="360"/>
        <v>5.0797049726385914</v>
      </c>
      <c r="T1521" s="14">
        <f t="shared" ca="1" si="361"/>
        <v>0.38829506061608898</v>
      </c>
      <c r="U1521" s="12">
        <f t="shared" ca="1" si="355"/>
        <v>7900</v>
      </c>
      <c r="V1521" s="14">
        <f t="shared" ca="1" si="356"/>
        <v>-1727.8481012658228</v>
      </c>
      <c r="W1521" s="12">
        <f t="shared" ca="1" si="362"/>
        <v>-1713.9240506329113</v>
      </c>
      <c r="X1521" s="7">
        <f ca="1">AVERAGE(E1521:OFFSET(F1521,-$X$5+1,0))</f>
        <v>9249.7999999999993</v>
      </c>
      <c r="Y1521" s="7">
        <f ca="1">AVERAGE(E1521:OFFSET(F1521,-$Y$5+1,0))</f>
        <v>10040.6</v>
      </c>
      <c r="Z1521" s="7">
        <f t="shared" ca="1" si="348"/>
        <v>0</v>
      </c>
    </row>
    <row r="1522" spans="1:26">
      <c r="A1522" s="3" t="s">
        <v>98</v>
      </c>
      <c r="B1522" s="4">
        <v>43910</v>
      </c>
      <c r="C1522" s="3">
        <v>8562</v>
      </c>
      <c r="D1522" s="3">
        <v>9166</v>
      </c>
      <c r="E1522" s="3">
        <v>8544</v>
      </c>
      <c r="F1522" s="3">
        <v>9013</v>
      </c>
      <c r="G1522" s="3">
        <v>266159</v>
      </c>
      <c r="H1522" s="3">
        <v>0.79500000000000004</v>
      </c>
      <c r="I1522" s="2">
        <f t="shared" si="357"/>
        <v>0</v>
      </c>
      <c r="J1522" s="10">
        <f t="shared" si="359"/>
        <v>209</v>
      </c>
      <c r="K1522" s="10">
        <f t="shared" si="358"/>
        <v>451</v>
      </c>
      <c r="L1522" s="10">
        <f t="shared" ca="1" si="347"/>
        <v>0</v>
      </c>
      <c r="M1522" s="10">
        <f t="shared" ca="1" si="349"/>
        <v>0</v>
      </c>
      <c r="N1522" s="30">
        <f t="shared" ca="1" si="350"/>
        <v>0</v>
      </c>
      <c r="O1522" s="10">
        <f t="shared" ca="1" si="351"/>
        <v>0</v>
      </c>
      <c r="P1522" s="29">
        <f t="shared" ca="1" si="352"/>
        <v>0</v>
      </c>
      <c r="Q1522" s="12">
        <f t="shared" ca="1" si="353"/>
        <v>-128600</v>
      </c>
      <c r="R1522" s="10">
        <f t="shared" ca="1" si="354"/>
        <v>0</v>
      </c>
      <c r="S1522" s="10">
        <f t="shared" ca="1" si="360"/>
        <v>5.0797049726385914</v>
      </c>
      <c r="T1522" s="14">
        <f t="shared" ca="1" si="361"/>
        <v>0.38838417059215208</v>
      </c>
      <c r="U1522" s="12">
        <f t="shared" ca="1" si="355"/>
        <v>7900</v>
      </c>
      <c r="V1522" s="14">
        <f t="shared" ca="1" si="356"/>
        <v>-1727.8481012658228</v>
      </c>
      <c r="W1522" s="12">
        <f t="shared" ca="1" si="362"/>
        <v>-1713.9240506329113</v>
      </c>
      <c r="X1522" s="7">
        <f ca="1">AVERAGE(E1522:OFFSET(F1522,-$X$5+1,0))</f>
        <v>9058.4</v>
      </c>
      <c r="Y1522" s="7">
        <f ca="1">AVERAGE(E1522:OFFSET(F1522,-$Y$5+1,0))</f>
        <v>9792</v>
      </c>
      <c r="Z1522" s="7">
        <f t="shared" ca="1" si="348"/>
        <v>0</v>
      </c>
    </row>
    <row r="1523" spans="1:26">
      <c r="A1523" s="3" t="s">
        <v>98</v>
      </c>
      <c r="B1523" s="4">
        <v>43913</v>
      </c>
      <c r="C1523" s="3">
        <v>8609</v>
      </c>
      <c r="D1523" s="3">
        <v>8868</v>
      </c>
      <c r="E1523" s="3">
        <v>8555</v>
      </c>
      <c r="F1523" s="3">
        <v>8688</v>
      </c>
      <c r="G1523" s="3">
        <v>180341</v>
      </c>
      <c r="H1523" s="3">
        <v>0.79500000000000004</v>
      </c>
      <c r="I1523" s="2">
        <f t="shared" si="357"/>
        <v>0</v>
      </c>
      <c r="J1523" s="10">
        <f t="shared" si="359"/>
        <v>-404</v>
      </c>
      <c r="K1523" s="10">
        <f t="shared" si="358"/>
        <v>79</v>
      </c>
      <c r="L1523" s="10">
        <f t="shared" ca="1" si="347"/>
        <v>0</v>
      </c>
      <c r="M1523" s="10">
        <f t="shared" ca="1" si="349"/>
        <v>0</v>
      </c>
      <c r="N1523" s="30">
        <f t="shared" ca="1" si="350"/>
        <v>0</v>
      </c>
      <c r="O1523" s="10">
        <f t="shared" ca="1" si="351"/>
        <v>0</v>
      </c>
      <c r="P1523" s="29">
        <f t="shared" ca="1" si="352"/>
        <v>0</v>
      </c>
      <c r="Q1523" s="12">
        <f t="shared" ca="1" si="353"/>
        <v>-128600</v>
      </c>
      <c r="R1523" s="10">
        <f t="shared" ca="1" si="354"/>
        <v>0</v>
      </c>
      <c r="S1523" s="10">
        <f t="shared" ca="1" si="360"/>
        <v>5.0797049726385914</v>
      </c>
      <c r="T1523" s="14">
        <f t="shared" ca="1" si="361"/>
        <v>0.38847328056821512</v>
      </c>
      <c r="U1523" s="12">
        <f t="shared" ca="1" si="355"/>
        <v>7900</v>
      </c>
      <c r="V1523" s="14">
        <f t="shared" ca="1" si="356"/>
        <v>-1727.8481012658228</v>
      </c>
      <c r="W1523" s="12">
        <f t="shared" ca="1" si="362"/>
        <v>-1713.9240506329113</v>
      </c>
      <c r="X1523" s="7">
        <f ca="1">AVERAGE(E1523:OFFSET(F1523,-$X$5+1,0))</f>
        <v>8852.2999999999993</v>
      </c>
      <c r="Y1523" s="7">
        <f ca="1">AVERAGE(E1523:OFFSET(F1523,-$Y$5+1,0))</f>
        <v>9560.85</v>
      </c>
      <c r="Z1523" s="7">
        <f t="shared" ca="1" si="348"/>
        <v>0</v>
      </c>
    </row>
    <row r="1524" spans="1:26">
      <c r="A1524" s="3" t="s">
        <v>98</v>
      </c>
      <c r="B1524" s="4">
        <v>43914</v>
      </c>
      <c r="C1524" s="3">
        <v>8998</v>
      </c>
      <c r="D1524" s="3">
        <v>9295</v>
      </c>
      <c r="E1524" s="3">
        <v>8986</v>
      </c>
      <c r="F1524" s="3">
        <v>9193</v>
      </c>
      <c r="G1524" s="3">
        <v>179105</v>
      </c>
      <c r="H1524" s="3">
        <v>0.79500000000000004</v>
      </c>
      <c r="I1524" s="2">
        <f t="shared" si="357"/>
        <v>0</v>
      </c>
      <c r="J1524" s="10">
        <f t="shared" si="359"/>
        <v>310</v>
      </c>
      <c r="K1524" s="10">
        <f t="shared" si="358"/>
        <v>195</v>
      </c>
      <c r="L1524" s="10">
        <f t="shared" ca="1" si="347"/>
        <v>0</v>
      </c>
      <c r="M1524" s="10">
        <f t="shared" ca="1" si="349"/>
        <v>0</v>
      </c>
      <c r="N1524" s="30">
        <f t="shared" ca="1" si="350"/>
        <v>0</v>
      </c>
      <c r="O1524" s="10">
        <f t="shared" ca="1" si="351"/>
        <v>0</v>
      </c>
      <c r="P1524" s="29">
        <f t="shared" ca="1" si="352"/>
        <v>0</v>
      </c>
      <c r="Q1524" s="12">
        <f t="shared" ca="1" si="353"/>
        <v>-128600</v>
      </c>
      <c r="R1524" s="10">
        <f t="shared" ca="1" si="354"/>
        <v>0</v>
      </c>
      <c r="S1524" s="10">
        <f t="shared" ca="1" si="360"/>
        <v>5.0797049726385914</v>
      </c>
      <c r="T1524" s="14">
        <f t="shared" ca="1" si="361"/>
        <v>0.38856239054427816</v>
      </c>
      <c r="U1524" s="12">
        <f t="shared" ca="1" si="355"/>
        <v>7900</v>
      </c>
      <c r="V1524" s="14">
        <f t="shared" ca="1" si="356"/>
        <v>-1727.8481012658228</v>
      </c>
      <c r="W1524" s="12">
        <f t="shared" ca="1" si="362"/>
        <v>-1713.9240506329113</v>
      </c>
      <c r="X1524" s="7">
        <f ca="1">AVERAGE(E1524:OFFSET(F1524,-$X$5+1,0))</f>
        <v>8806.7999999999993</v>
      </c>
      <c r="Y1524" s="7">
        <f ca="1">AVERAGE(E1524:OFFSET(F1524,-$Y$5+1,0))</f>
        <v>9381.65</v>
      </c>
      <c r="Z1524" s="7">
        <f t="shared" ca="1" si="348"/>
        <v>0</v>
      </c>
    </row>
    <row r="1525" spans="1:26">
      <c r="A1525" s="3" t="s">
        <v>98</v>
      </c>
      <c r="B1525" s="4">
        <v>43915</v>
      </c>
      <c r="C1525" s="3">
        <v>9410</v>
      </c>
      <c r="D1525" s="3">
        <v>9624</v>
      </c>
      <c r="E1525" s="3">
        <v>9370</v>
      </c>
      <c r="F1525" s="3">
        <v>9583</v>
      </c>
      <c r="G1525" s="3">
        <v>209717</v>
      </c>
      <c r="H1525" s="3">
        <v>0.79500000000000004</v>
      </c>
      <c r="I1525" s="2">
        <f t="shared" si="357"/>
        <v>0</v>
      </c>
      <c r="J1525" s="10">
        <f t="shared" si="359"/>
        <v>217</v>
      </c>
      <c r="K1525" s="10">
        <f t="shared" si="358"/>
        <v>173</v>
      </c>
      <c r="L1525" s="10">
        <f t="shared" ca="1" si="347"/>
        <v>0</v>
      </c>
      <c r="M1525" s="10">
        <f t="shared" ca="1" si="349"/>
        <v>0</v>
      </c>
      <c r="N1525" s="30">
        <f t="shared" ca="1" si="350"/>
        <v>0</v>
      </c>
      <c r="O1525" s="10">
        <f t="shared" ca="1" si="351"/>
        <v>0</v>
      </c>
      <c r="P1525" s="29">
        <f t="shared" ca="1" si="352"/>
        <v>0</v>
      </c>
      <c r="Q1525" s="12">
        <f t="shared" ca="1" si="353"/>
        <v>-128600</v>
      </c>
      <c r="R1525" s="10">
        <f t="shared" ca="1" si="354"/>
        <v>0</v>
      </c>
      <c r="S1525" s="10">
        <f t="shared" ca="1" si="360"/>
        <v>5.0797049726385914</v>
      </c>
      <c r="T1525" s="14">
        <f t="shared" ca="1" si="361"/>
        <v>0.38865150052034125</v>
      </c>
      <c r="U1525" s="12">
        <f t="shared" ca="1" si="355"/>
        <v>7900</v>
      </c>
      <c r="V1525" s="14">
        <f t="shared" ca="1" si="356"/>
        <v>-1727.8481012658228</v>
      </c>
      <c r="W1525" s="12">
        <f t="shared" ca="1" si="362"/>
        <v>-1713.9240506329113</v>
      </c>
      <c r="X1525" s="7">
        <f ca="1">AVERAGE(E1525:OFFSET(F1525,-$X$5+1,0))</f>
        <v>8855.2999999999993</v>
      </c>
      <c r="Y1525" s="7">
        <f ca="1">AVERAGE(E1525:OFFSET(F1525,-$Y$5+1,0))</f>
        <v>9247.9</v>
      </c>
      <c r="Z1525" s="7">
        <f t="shared" ca="1" si="348"/>
        <v>0</v>
      </c>
    </row>
    <row r="1526" spans="1:26">
      <c r="A1526" s="3" t="s">
        <v>98</v>
      </c>
      <c r="B1526" s="4">
        <v>43916</v>
      </c>
      <c r="C1526" s="3">
        <v>9679</v>
      </c>
      <c r="D1526" s="3">
        <v>9690</v>
      </c>
      <c r="E1526" s="3">
        <v>9426</v>
      </c>
      <c r="F1526" s="3">
        <v>9638</v>
      </c>
      <c r="G1526" s="3">
        <v>190488</v>
      </c>
      <c r="H1526" s="3">
        <v>0.79500000000000004</v>
      </c>
      <c r="I1526" s="2">
        <f t="shared" si="357"/>
        <v>0</v>
      </c>
      <c r="J1526" s="10">
        <f t="shared" si="359"/>
        <v>96</v>
      </c>
      <c r="K1526" s="10">
        <f t="shared" si="358"/>
        <v>-41</v>
      </c>
      <c r="L1526" s="10">
        <f t="shared" ca="1" si="347"/>
        <v>0</v>
      </c>
      <c r="M1526" s="10">
        <f t="shared" ca="1" si="349"/>
        <v>0</v>
      </c>
      <c r="N1526" s="30">
        <f t="shared" ca="1" si="350"/>
        <v>0</v>
      </c>
      <c r="O1526" s="10">
        <f t="shared" ca="1" si="351"/>
        <v>0</v>
      </c>
      <c r="P1526" s="29">
        <f t="shared" ca="1" si="352"/>
        <v>0</v>
      </c>
      <c r="Q1526" s="12">
        <f t="shared" ca="1" si="353"/>
        <v>-128600</v>
      </c>
      <c r="R1526" s="10">
        <f t="shared" ca="1" si="354"/>
        <v>0</v>
      </c>
      <c r="S1526" s="10">
        <f t="shared" ca="1" si="360"/>
        <v>4.9652034261241971</v>
      </c>
      <c r="T1526" s="14">
        <f t="shared" ca="1" si="361"/>
        <v>0.37772112202179436</v>
      </c>
      <c r="U1526" s="12">
        <f t="shared" ca="1" si="355"/>
        <v>7900</v>
      </c>
      <c r="V1526" s="14">
        <f t="shared" ca="1" si="356"/>
        <v>-1727.8481012658228</v>
      </c>
      <c r="W1526" s="12">
        <f t="shared" ca="1" si="362"/>
        <v>-1713.9240506329113</v>
      </c>
      <c r="X1526" s="7">
        <f ca="1">AVERAGE(E1526:OFFSET(F1526,-$X$5+1,0))</f>
        <v>9099.6</v>
      </c>
      <c r="Y1526" s="7">
        <f ca="1">AVERAGE(E1526:OFFSET(F1526,-$Y$5+1,0))</f>
        <v>9174.7000000000007</v>
      </c>
      <c r="Z1526" s="7">
        <f t="shared" ca="1" si="348"/>
        <v>0</v>
      </c>
    </row>
    <row r="1527" spans="1:26">
      <c r="A1527" s="3" t="s">
        <v>98</v>
      </c>
      <c r="B1527" s="4">
        <v>43917</v>
      </c>
      <c r="C1527" s="3">
        <v>9899</v>
      </c>
      <c r="D1527" s="3">
        <v>9910</v>
      </c>
      <c r="E1527" s="3">
        <v>9548</v>
      </c>
      <c r="F1527" s="3">
        <v>9583</v>
      </c>
      <c r="G1527" s="3">
        <v>187676</v>
      </c>
      <c r="H1527" s="3">
        <v>0.79500000000000004</v>
      </c>
      <c r="I1527" s="2">
        <f t="shared" si="357"/>
        <v>0</v>
      </c>
      <c r="J1527" s="10">
        <f t="shared" si="359"/>
        <v>261</v>
      </c>
      <c r="K1527" s="10">
        <f t="shared" si="358"/>
        <v>-316</v>
      </c>
      <c r="L1527" s="10">
        <f t="shared" ca="1" si="347"/>
        <v>1</v>
      </c>
      <c r="M1527" s="10">
        <f t="shared" ca="1" si="349"/>
        <v>0</v>
      </c>
      <c r="N1527" s="30">
        <f t="shared" ca="1" si="350"/>
        <v>0</v>
      </c>
      <c r="O1527" s="10">
        <f t="shared" ca="1" si="351"/>
        <v>0</v>
      </c>
      <c r="P1527" s="29">
        <f t="shared" ca="1" si="352"/>
        <v>0</v>
      </c>
      <c r="Q1527" s="12">
        <f t="shared" ca="1" si="353"/>
        <v>-128600</v>
      </c>
      <c r="R1527" s="10">
        <f t="shared" ca="1" si="354"/>
        <v>0</v>
      </c>
      <c r="S1527" s="10">
        <f t="shared" ca="1" si="360"/>
        <v>5.1213418986438262</v>
      </c>
      <c r="T1527" s="14">
        <f t="shared" ca="1" si="361"/>
        <v>0.39283680719050751</v>
      </c>
      <c r="U1527" s="12">
        <f t="shared" ca="1" si="355"/>
        <v>7900</v>
      </c>
      <c r="V1527" s="14">
        <f t="shared" ca="1" si="356"/>
        <v>-1727.8481012658228</v>
      </c>
      <c r="W1527" s="12">
        <f t="shared" ca="1" si="362"/>
        <v>-1713.9240506329113</v>
      </c>
      <c r="X1527" s="7">
        <f ca="1">AVERAGE(E1527:OFFSET(F1527,-$X$5+1,0))</f>
        <v>9257</v>
      </c>
      <c r="Y1527" s="7">
        <f ca="1">AVERAGE(E1527:OFFSET(F1527,-$Y$5+1,0))</f>
        <v>9157.7000000000007</v>
      </c>
      <c r="Z1527" s="7">
        <f t="shared" ca="1" si="348"/>
        <v>1</v>
      </c>
    </row>
    <row r="1528" spans="1:26">
      <c r="A1528" s="3" t="s">
        <v>98</v>
      </c>
      <c r="B1528" s="4">
        <v>43920</v>
      </c>
      <c r="C1528" s="3">
        <v>9376</v>
      </c>
      <c r="D1528" s="3">
        <v>9576</v>
      </c>
      <c r="E1528" s="3">
        <v>9266</v>
      </c>
      <c r="F1528" s="3">
        <v>9576</v>
      </c>
      <c r="G1528" s="3">
        <v>164970</v>
      </c>
      <c r="H1528" s="3">
        <v>0.79500000000000004</v>
      </c>
      <c r="I1528" s="2">
        <f t="shared" si="357"/>
        <v>0</v>
      </c>
      <c r="J1528" s="10">
        <f t="shared" si="359"/>
        <v>-207</v>
      </c>
      <c r="K1528" s="10">
        <f t="shared" si="358"/>
        <v>200</v>
      </c>
      <c r="L1528" s="10">
        <f t="shared" ca="1" si="347"/>
        <v>0</v>
      </c>
      <c r="M1528" s="10">
        <f t="shared" ca="1" si="349"/>
        <v>1</v>
      </c>
      <c r="N1528" s="30">
        <f t="shared" ca="1" si="350"/>
        <v>1875200</v>
      </c>
      <c r="O1528" s="10">
        <f t="shared" ca="1" si="351"/>
        <v>1875200</v>
      </c>
      <c r="P1528" s="29">
        <f t="shared" ca="1" si="352"/>
        <v>39500</v>
      </c>
      <c r="Q1528" s="12">
        <f t="shared" ca="1" si="353"/>
        <v>-89100</v>
      </c>
      <c r="R1528" s="10">
        <f t="shared" ca="1" si="354"/>
        <v>2.1064419795221845</v>
      </c>
      <c r="S1528" s="10">
        <f t="shared" ca="1" si="360"/>
        <v>4.463953488372093</v>
      </c>
      <c r="T1528" s="14">
        <f t="shared" ca="1" si="361"/>
        <v>0.32405890170807977</v>
      </c>
      <c r="U1528" s="12">
        <f t="shared" ca="1" si="355"/>
        <v>7900</v>
      </c>
      <c r="V1528" s="14">
        <f t="shared" ca="1" si="356"/>
        <v>-1227.8481012658228</v>
      </c>
      <c r="W1528" s="12">
        <f t="shared" ca="1" si="362"/>
        <v>-1227.8481012658228</v>
      </c>
      <c r="X1528" s="7">
        <f ca="1">AVERAGE(E1528:OFFSET(F1528,-$X$5+1,0))</f>
        <v>9416.9</v>
      </c>
      <c r="Y1528" s="7">
        <f ca="1">AVERAGE(E1528:OFFSET(F1528,-$Y$5+1,0))</f>
        <v>9134.6</v>
      </c>
      <c r="Z1528" s="7">
        <f t="shared" ca="1" si="348"/>
        <v>0</v>
      </c>
    </row>
    <row r="1529" spans="1:26">
      <c r="A1529" s="3" t="s">
        <v>98</v>
      </c>
      <c r="B1529" s="4">
        <v>43921</v>
      </c>
      <c r="C1529" s="3">
        <v>9666</v>
      </c>
      <c r="D1529" s="3">
        <v>9717</v>
      </c>
      <c r="E1529" s="3">
        <v>9495</v>
      </c>
      <c r="F1529" s="3">
        <v>9596</v>
      </c>
      <c r="G1529" s="3">
        <v>142747</v>
      </c>
      <c r="H1529" s="3">
        <v>0.79500000000000004</v>
      </c>
      <c r="I1529" s="2">
        <f t="shared" si="357"/>
        <v>0</v>
      </c>
      <c r="J1529" s="10">
        <f t="shared" si="359"/>
        <v>90</v>
      </c>
      <c r="K1529" s="10">
        <f t="shared" si="358"/>
        <v>-70</v>
      </c>
      <c r="L1529" s="10">
        <f t="shared" ca="1" si="347"/>
        <v>0</v>
      </c>
      <c r="M1529" s="10">
        <f t="shared" ca="1" si="349"/>
        <v>1</v>
      </c>
      <c r="N1529" s="30">
        <f t="shared" ca="1" si="350"/>
        <v>0</v>
      </c>
      <c r="O1529" s="10">
        <f t="shared" ca="1" si="351"/>
        <v>1875200</v>
      </c>
      <c r="P1529" s="29">
        <f t="shared" ca="1" si="352"/>
        <v>4000</v>
      </c>
      <c r="Q1529" s="12">
        <f t="shared" ca="1" si="353"/>
        <v>-85100</v>
      </c>
      <c r="R1529" s="10">
        <f t="shared" ca="1" si="354"/>
        <v>0.21331058020477817</v>
      </c>
      <c r="S1529" s="10">
        <f t="shared" ca="1" si="360"/>
        <v>4.5104651162790699</v>
      </c>
      <c r="T1529" s="14">
        <f t="shared" ca="1" si="361"/>
        <v>0.32851833638500244</v>
      </c>
      <c r="U1529" s="12">
        <f t="shared" ca="1" si="355"/>
        <v>7900</v>
      </c>
      <c r="V1529" s="14">
        <f t="shared" ca="1" si="356"/>
        <v>-1177.2151898734178</v>
      </c>
      <c r="W1529" s="12">
        <f t="shared" ca="1" si="362"/>
        <v>-1177.2151898734178</v>
      </c>
      <c r="X1529" s="7">
        <f ca="1">AVERAGE(E1529:OFFSET(F1529,-$X$5+1,0))</f>
        <v>9508.1</v>
      </c>
      <c r="Y1529" s="7">
        <f ca="1">AVERAGE(E1529:OFFSET(F1529,-$Y$5+1,0))</f>
        <v>9157.4500000000007</v>
      </c>
      <c r="Z1529" s="7">
        <f t="shared" ca="1" si="348"/>
        <v>0</v>
      </c>
    </row>
    <row r="1530" spans="1:26">
      <c r="A1530" s="3" t="s">
        <v>98</v>
      </c>
      <c r="B1530" s="4">
        <v>43922</v>
      </c>
      <c r="C1530" s="3">
        <v>9588</v>
      </c>
      <c r="D1530" s="3">
        <v>9650</v>
      </c>
      <c r="E1530" s="3">
        <v>9551</v>
      </c>
      <c r="F1530" s="3">
        <v>9552</v>
      </c>
      <c r="G1530" s="3">
        <v>116273</v>
      </c>
      <c r="H1530" s="3">
        <v>0.79500000000000004</v>
      </c>
      <c r="I1530" s="2">
        <f t="shared" si="357"/>
        <v>0</v>
      </c>
      <c r="J1530" s="10">
        <f t="shared" si="359"/>
        <v>-8</v>
      </c>
      <c r="K1530" s="10">
        <f t="shared" si="358"/>
        <v>-36</v>
      </c>
      <c r="L1530" s="10">
        <f t="shared" ca="1" si="347"/>
        <v>0</v>
      </c>
      <c r="M1530" s="10">
        <f t="shared" ca="1" si="349"/>
        <v>1</v>
      </c>
      <c r="N1530" s="30">
        <f t="shared" ca="1" si="350"/>
        <v>0</v>
      </c>
      <c r="O1530" s="10">
        <f t="shared" ca="1" si="351"/>
        <v>1875200</v>
      </c>
      <c r="P1530" s="29">
        <f t="shared" ca="1" si="352"/>
        <v>-8800</v>
      </c>
      <c r="Q1530" s="12">
        <f t="shared" ca="1" si="353"/>
        <v>-93900</v>
      </c>
      <c r="R1530" s="10">
        <f t="shared" ca="1" si="354"/>
        <v>-0.46928327645051193</v>
      </c>
      <c r="S1530" s="10">
        <f t="shared" ca="1" si="360"/>
        <v>4.4081395348837207</v>
      </c>
      <c r="T1530" s="14">
        <f t="shared" ca="1" si="361"/>
        <v>0.31858020716804397</v>
      </c>
      <c r="U1530" s="12">
        <f t="shared" ca="1" si="355"/>
        <v>7900</v>
      </c>
      <c r="V1530" s="14">
        <f t="shared" ca="1" si="356"/>
        <v>-1288.6075949367089</v>
      </c>
      <c r="W1530" s="12">
        <f t="shared" ca="1" si="362"/>
        <v>-1177.2151898734178</v>
      </c>
      <c r="X1530" s="7">
        <f ca="1">AVERAGE(E1530:OFFSET(F1530,-$X$5+1,0))</f>
        <v>9523.1</v>
      </c>
      <c r="Y1530" s="7">
        <f ca="1">AVERAGE(E1530:OFFSET(F1530,-$Y$5+1,0))</f>
        <v>9189.2000000000007</v>
      </c>
      <c r="Z1530" s="7">
        <f t="shared" ca="1" si="348"/>
        <v>0</v>
      </c>
    </row>
    <row r="1531" spans="1:26">
      <c r="A1531" s="3" t="s">
        <v>98</v>
      </c>
      <c r="B1531" s="4">
        <v>43927</v>
      </c>
      <c r="C1531" s="3">
        <v>9741</v>
      </c>
      <c r="D1531" s="3">
        <v>9860</v>
      </c>
      <c r="E1531" s="3">
        <v>9582</v>
      </c>
      <c r="F1531" s="3">
        <v>9826</v>
      </c>
      <c r="G1531" s="3">
        <v>146380</v>
      </c>
      <c r="H1531" s="3">
        <v>0.79500000000000004</v>
      </c>
      <c r="I1531" s="2">
        <f t="shared" si="357"/>
        <v>0</v>
      </c>
      <c r="J1531" s="10">
        <f t="shared" si="359"/>
        <v>189</v>
      </c>
      <c r="K1531" s="10">
        <f t="shared" si="358"/>
        <v>85</v>
      </c>
      <c r="L1531" s="10">
        <f t="shared" ca="1" si="347"/>
        <v>0</v>
      </c>
      <c r="M1531" s="10">
        <f t="shared" ca="1" si="349"/>
        <v>1</v>
      </c>
      <c r="N1531" s="30">
        <f t="shared" ca="1" si="350"/>
        <v>0</v>
      </c>
      <c r="O1531" s="10">
        <f t="shared" ca="1" si="351"/>
        <v>1875200</v>
      </c>
      <c r="P1531" s="29">
        <f t="shared" ca="1" si="352"/>
        <v>54800</v>
      </c>
      <c r="Q1531" s="12">
        <f t="shared" ca="1" si="353"/>
        <v>-39100</v>
      </c>
      <c r="R1531" s="10">
        <f t="shared" ca="1" si="354"/>
        <v>2.9223549488054608</v>
      </c>
      <c r="S1531" s="10">
        <f t="shared" ca="1" si="360"/>
        <v>5.0453488372093025</v>
      </c>
      <c r="T1531" s="14">
        <f t="shared" ca="1" si="361"/>
        <v>0.36709472034925633</v>
      </c>
      <c r="U1531" s="12">
        <f t="shared" ca="1" si="355"/>
        <v>7900</v>
      </c>
      <c r="V1531" s="14">
        <f t="shared" ca="1" si="356"/>
        <v>-594.9367088607595</v>
      </c>
      <c r="W1531" s="12">
        <f t="shared" ca="1" si="362"/>
        <v>-594.9367088607595</v>
      </c>
      <c r="X1531" s="7">
        <f ca="1">AVERAGE(E1531:OFFSET(F1531,-$X$5+1,0))</f>
        <v>9557.5</v>
      </c>
      <c r="Y1531" s="7">
        <f ca="1">AVERAGE(E1531:OFFSET(F1531,-$Y$5+1,0))</f>
        <v>9328.5499999999993</v>
      </c>
      <c r="Z1531" s="7">
        <f t="shared" ca="1" si="348"/>
        <v>0</v>
      </c>
    </row>
    <row r="1532" spans="1:26">
      <c r="A1532" s="3" t="s">
        <v>98</v>
      </c>
      <c r="B1532" s="4">
        <v>43928</v>
      </c>
      <c r="C1532" s="3">
        <v>9955</v>
      </c>
      <c r="D1532" s="3">
        <v>10020</v>
      </c>
      <c r="E1532" s="3">
        <v>9878</v>
      </c>
      <c r="F1532" s="3">
        <v>9997</v>
      </c>
      <c r="G1532" s="3">
        <v>137022</v>
      </c>
      <c r="H1532" s="3">
        <v>0.79500000000000004</v>
      </c>
      <c r="I1532" s="2">
        <f t="shared" si="357"/>
        <v>0</v>
      </c>
      <c r="J1532" s="10">
        <f t="shared" si="359"/>
        <v>129</v>
      </c>
      <c r="K1532" s="10">
        <f t="shared" si="358"/>
        <v>42</v>
      </c>
      <c r="L1532" s="10">
        <f t="shared" ca="1" si="347"/>
        <v>0</v>
      </c>
      <c r="M1532" s="10">
        <f t="shared" ca="1" si="349"/>
        <v>1</v>
      </c>
      <c r="N1532" s="30">
        <f t="shared" ca="1" si="350"/>
        <v>0</v>
      </c>
      <c r="O1532" s="10">
        <f t="shared" ca="1" si="351"/>
        <v>1875200</v>
      </c>
      <c r="P1532" s="29">
        <f t="shared" ca="1" si="352"/>
        <v>34200</v>
      </c>
      <c r="Q1532" s="12">
        <f t="shared" ca="1" si="353"/>
        <v>-4900</v>
      </c>
      <c r="R1532" s="10">
        <f t="shared" ca="1" si="354"/>
        <v>1.8238054607508531</v>
      </c>
      <c r="S1532" s="10">
        <f t="shared" ca="1" si="360"/>
        <v>5.4430232558139533</v>
      </c>
      <c r="T1532" s="14">
        <f t="shared" ca="1" si="361"/>
        <v>0.39902605418758913</v>
      </c>
      <c r="U1532" s="12">
        <f t="shared" ca="1" si="355"/>
        <v>7900</v>
      </c>
      <c r="V1532" s="14">
        <f t="shared" ca="1" si="356"/>
        <v>-162.02531645569621</v>
      </c>
      <c r="W1532" s="12">
        <f t="shared" ca="1" si="362"/>
        <v>-162.02531645569621</v>
      </c>
      <c r="X1532" s="7">
        <f ca="1">AVERAGE(E1532:OFFSET(F1532,-$X$5+1,0))</f>
        <v>9631.9</v>
      </c>
      <c r="Y1532" s="7">
        <f ca="1">AVERAGE(E1532:OFFSET(F1532,-$Y$5+1,0))</f>
        <v>9444.4500000000007</v>
      </c>
      <c r="Z1532" s="7">
        <f t="shared" ca="1" si="348"/>
        <v>0</v>
      </c>
    </row>
    <row r="1533" spans="1:26">
      <c r="A1533" s="3" t="s">
        <v>98</v>
      </c>
      <c r="B1533" s="4">
        <v>43929</v>
      </c>
      <c r="C1533" s="3">
        <v>9950</v>
      </c>
      <c r="D1533" s="3">
        <v>10135</v>
      </c>
      <c r="E1533" s="3">
        <v>9945</v>
      </c>
      <c r="F1533" s="3">
        <v>10127</v>
      </c>
      <c r="G1533" s="3">
        <v>130314</v>
      </c>
      <c r="H1533" s="3">
        <v>0.79500000000000004</v>
      </c>
      <c r="I1533" s="2">
        <f t="shared" si="357"/>
        <v>0</v>
      </c>
      <c r="J1533" s="10">
        <f t="shared" si="359"/>
        <v>-47</v>
      </c>
      <c r="K1533" s="10">
        <f t="shared" si="358"/>
        <v>177</v>
      </c>
      <c r="L1533" s="10">
        <f t="shared" ref="L1533:L1596" ca="1" si="363">Z1533</f>
        <v>0</v>
      </c>
      <c r="M1533" s="10">
        <f t="shared" ca="1" si="349"/>
        <v>1</v>
      </c>
      <c r="N1533" s="30">
        <f t="shared" ca="1" si="350"/>
        <v>0</v>
      </c>
      <c r="O1533" s="10">
        <f t="shared" ca="1" si="351"/>
        <v>1875200</v>
      </c>
      <c r="P1533" s="29">
        <f t="shared" ca="1" si="352"/>
        <v>26000</v>
      </c>
      <c r="Q1533" s="12">
        <f t="shared" ca="1" si="353"/>
        <v>21100</v>
      </c>
      <c r="R1533" s="10">
        <f t="shared" ca="1" si="354"/>
        <v>1.3865187713310581</v>
      </c>
      <c r="S1533" s="10">
        <f t="shared" ca="1" si="360"/>
        <v>5.7453488372093027</v>
      </c>
      <c r="T1533" s="14">
        <f t="shared" ca="1" si="361"/>
        <v>0.42382756742538696</v>
      </c>
      <c r="U1533" s="12">
        <f t="shared" ca="1" si="355"/>
        <v>21100</v>
      </c>
      <c r="V1533" s="14">
        <f t="shared" ca="1" si="356"/>
        <v>0</v>
      </c>
      <c r="W1533" s="12">
        <f t="shared" ca="1" si="362"/>
        <v>0</v>
      </c>
      <c r="X1533" s="7">
        <f ca="1">AVERAGE(E1533:OFFSET(F1533,-$X$5+1,0))</f>
        <v>9754.9</v>
      </c>
      <c r="Y1533" s="7">
        <f ca="1">AVERAGE(E1533:OFFSET(F1533,-$Y$5+1,0))</f>
        <v>9585.9</v>
      </c>
      <c r="Z1533" s="7">
        <f t="shared" ref="Z1533:Z1596" ca="1" si="364">IF(AND(X1532&lt;=Y1532,X1533&gt;Y1533),1,IF(AND(X1532&gt;Y1532,X1533&lt;=Y1533),-1,0))</f>
        <v>0</v>
      </c>
    </row>
    <row r="1534" spans="1:26">
      <c r="A1534" s="3" t="s">
        <v>98</v>
      </c>
      <c r="B1534" s="4">
        <v>43930</v>
      </c>
      <c r="C1534" s="3">
        <v>10131</v>
      </c>
      <c r="D1534" s="3">
        <v>10197</v>
      </c>
      <c r="E1534" s="3">
        <v>10028</v>
      </c>
      <c r="F1534" s="3">
        <v>10101</v>
      </c>
      <c r="G1534" s="3">
        <v>135819</v>
      </c>
      <c r="H1534" s="3">
        <v>0.79500000000000004</v>
      </c>
      <c r="I1534" s="2">
        <f t="shared" si="357"/>
        <v>0</v>
      </c>
      <c r="J1534" s="10">
        <f t="shared" si="359"/>
        <v>4</v>
      </c>
      <c r="K1534" s="10">
        <f t="shared" si="358"/>
        <v>-30</v>
      </c>
      <c r="L1534" s="10">
        <f t="shared" ca="1" si="363"/>
        <v>0</v>
      </c>
      <c r="M1534" s="10">
        <f t="shared" ref="M1534:M1597" ca="1" si="365">IF(I1534=1,0,IF(M1533+L1533&gt;=$M$5,$M$5,IF(M1533+L1533&lt;=$M$7,$M$7,M1533+L1533)))</f>
        <v>1</v>
      </c>
      <c r="N1534" s="30">
        <f t="shared" ref="N1534:N1597" ca="1" si="366">IF(M1534=0,0,IF(M1534&gt;M1533,(C1534+N1533*M1533)*$S$5,0))</f>
        <v>0</v>
      </c>
      <c r="O1534" s="10">
        <f t="shared" ref="O1534:O1597" ca="1" si="367">IF(M1534=0,0,IF(M1534=M1533,O1533,((M1534-M1533)*C1534+N1533*M1533)*$S$5/M1534))</f>
        <v>1875200</v>
      </c>
      <c r="P1534" s="29">
        <f t="shared" ref="P1534:P1597" ca="1" si="368">IF(M1533=M1534,(M1533*J1534+M1534*K1534)*$S$5,(M1533*J1534+M1534*K1534)*$S$5-$S$6)</f>
        <v>-5200</v>
      </c>
      <c r="Q1534" s="12">
        <f t="shared" ref="Q1534:Q1597" ca="1" si="369">P1534+Q1533</f>
        <v>15900</v>
      </c>
      <c r="R1534" s="10">
        <f t="shared" ref="R1534:R1597" ca="1" si="370">IF(P1534=0,0,IF(O1534=0,100*P1534/O1533,100*P1534/O1534))</f>
        <v>-0.27730375426621162</v>
      </c>
      <c r="S1534" s="10">
        <f t="shared" ca="1" si="360"/>
        <v>5.684883720930233</v>
      </c>
      <c r="T1534" s="14">
        <f t="shared" ca="1" si="361"/>
        <v>0.41829116285913048</v>
      </c>
      <c r="U1534" s="12">
        <f t="shared" ref="U1534:U1597" ca="1" si="371">IF(Q1534&gt;U1533,Q1534,U1533)</f>
        <v>21100</v>
      </c>
      <c r="V1534" s="14">
        <f t="shared" ref="V1534:V1597" ca="1" si="372">IF(U1534=0,0,100*(Q1534-U1534)/U1534)</f>
        <v>-24.644549763033176</v>
      </c>
      <c r="W1534" s="12">
        <f t="shared" ca="1" si="362"/>
        <v>0</v>
      </c>
      <c r="X1534" s="7">
        <f ca="1">AVERAGE(E1534:OFFSET(F1534,-$X$5+1,0))</f>
        <v>9858.7000000000007</v>
      </c>
      <c r="Y1534" s="7">
        <f ca="1">AVERAGE(E1534:OFFSET(F1534,-$Y$5+1,0))</f>
        <v>9683.4</v>
      </c>
      <c r="Z1534" s="7">
        <f t="shared" ca="1" si="364"/>
        <v>0</v>
      </c>
    </row>
    <row r="1535" spans="1:26">
      <c r="A1535" s="3" t="s">
        <v>98</v>
      </c>
      <c r="B1535" s="4">
        <v>43931</v>
      </c>
      <c r="C1535" s="3">
        <v>10038</v>
      </c>
      <c r="D1535" s="3">
        <v>10140</v>
      </c>
      <c r="E1535" s="3">
        <v>10030</v>
      </c>
      <c r="F1535" s="3">
        <v>10133</v>
      </c>
      <c r="G1535" s="3">
        <v>74244</v>
      </c>
      <c r="H1535" s="3">
        <v>0.79500000000000004</v>
      </c>
      <c r="I1535" s="2">
        <f t="shared" si="357"/>
        <v>0</v>
      </c>
      <c r="J1535" s="10">
        <f t="shared" si="359"/>
        <v>-63</v>
      </c>
      <c r="K1535" s="10">
        <f t="shared" si="358"/>
        <v>95</v>
      </c>
      <c r="L1535" s="10">
        <f t="shared" ca="1" si="363"/>
        <v>0</v>
      </c>
      <c r="M1535" s="10">
        <f t="shared" ca="1" si="365"/>
        <v>1</v>
      </c>
      <c r="N1535" s="30">
        <f t="shared" ca="1" si="366"/>
        <v>0</v>
      </c>
      <c r="O1535" s="10">
        <f t="shared" ca="1" si="367"/>
        <v>1875200</v>
      </c>
      <c r="P1535" s="29">
        <f t="shared" ca="1" si="368"/>
        <v>6400</v>
      </c>
      <c r="Q1535" s="12">
        <f t="shared" ca="1" si="369"/>
        <v>22300</v>
      </c>
      <c r="R1535" s="10">
        <f t="shared" ca="1" si="370"/>
        <v>0.34129692832764508</v>
      </c>
      <c r="S1535" s="10">
        <f t="shared" ca="1" si="360"/>
        <v>5.7593023255813955</v>
      </c>
      <c r="T1535" s="14">
        <f t="shared" ca="1" si="361"/>
        <v>0.42496801001131501</v>
      </c>
      <c r="U1535" s="12">
        <f t="shared" ca="1" si="371"/>
        <v>22300</v>
      </c>
      <c r="V1535" s="14">
        <f t="shared" ca="1" si="372"/>
        <v>0</v>
      </c>
      <c r="W1535" s="12">
        <f t="shared" ca="1" si="362"/>
        <v>0</v>
      </c>
      <c r="X1535" s="7">
        <f ca="1">AVERAGE(E1535:OFFSET(F1535,-$X$5+1,0))</f>
        <v>9964.7000000000007</v>
      </c>
      <c r="Y1535" s="7">
        <f ca="1">AVERAGE(E1535:OFFSET(F1535,-$Y$5+1,0))</f>
        <v>9743.9</v>
      </c>
      <c r="Z1535" s="7">
        <f t="shared" ca="1" si="364"/>
        <v>0</v>
      </c>
    </row>
    <row r="1536" spans="1:26">
      <c r="A1536" s="3" t="s">
        <v>98</v>
      </c>
      <c r="B1536" s="4">
        <v>43934</v>
      </c>
      <c r="C1536" s="3">
        <v>10084</v>
      </c>
      <c r="D1536" s="3">
        <v>10149</v>
      </c>
      <c r="E1536" s="3">
        <v>10031</v>
      </c>
      <c r="F1536" s="3">
        <v>10073</v>
      </c>
      <c r="G1536" s="3">
        <v>124231</v>
      </c>
      <c r="H1536" s="3">
        <v>0.79500000000000004</v>
      </c>
      <c r="I1536" s="2">
        <f t="shared" si="357"/>
        <v>0</v>
      </c>
      <c r="J1536" s="10">
        <f t="shared" si="359"/>
        <v>-49</v>
      </c>
      <c r="K1536" s="10">
        <f t="shared" si="358"/>
        <v>-11</v>
      </c>
      <c r="L1536" s="10">
        <f t="shared" ca="1" si="363"/>
        <v>0</v>
      </c>
      <c r="M1536" s="10">
        <f t="shared" ca="1" si="365"/>
        <v>1</v>
      </c>
      <c r="N1536" s="30">
        <f t="shared" ca="1" si="366"/>
        <v>0</v>
      </c>
      <c r="O1536" s="10">
        <f t="shared" ca="1" si="367"/>
        <v>1875200</v>
      </c>
      <c r="P1536" s="29">
        <f t="shared" ca="1" si="368"/>
        <v>-12000</v>
      </c>
      <c r="Q1536" s="12">
        <f t="shared" ca="1" si="369"/>
        <v>10300</v>
      </c>
      <c r="R1536" s="10">
        <f t="shared" ca="1" si="370"/>
        <v>-0.63993174061433444</v>
      </c>
      <c r="S1536" s="10">
        <f t="shared" ca="1" si="360"/>
        <v>5.6197674418604651</v>
      </c>
      <c r="T1536" s="14">
        <f t="shared" ca="1" si="361"/>
        <v>0.41175502033149014</v>
      </c>
      <c r="U1536" s="12">
        <f t="shared" ca="1" si="371"/>
        <v>22300</v>
      </c>
      <c r="V1536" s="14">
        <f t="shared" ca="1" si="372"/>
        <v>-53.811659192825111</v>
      </c>
      <c r="W1536" s="12">
        <f t="shared" ca="1" si="362"/>
        <v>0</v>
      </c>
      <c r="X1536" s="7">
        <f ca="1">AVERAGE(E1536:OFFSET(F1536,-$X$5+1,0))</f>
        <v>10034.299999999999</v>
      </c>
      <c r="Y1536" s="7">
        <f ca="1">AVERAGE(E1536:OFFSET(F1536,-$Y$5+1,0))</f>
        <v>9795.9</v>
      </c>
      <c r="Z1536" s="7">
        <f t="shared" ca="1" si="364"/>
        <v>0</v>
      </c>
    </row>
    <row r="1537" spans="1:26">
      <c r="A1537" s="3" t="s">
        <v>98</v>
      </c>
      <c r="B1537" s="4">
        <v>43935</v>
      </c>
      <c r="C1537" s="3">
        <v>10160</v>
      </c>
      <c r="D1537" s="3">
        <v>10355</v>
      </c>
      <c r="E1537" s="3">
        <v>10125</v>
      </c>
      <c r="F1537" s="3">
        <v>10346</v>
      </c>
      <c r="G1537" s="3">
        <v>133841</v>
      </c>
      <c r="H1537" s="3">
        <v>0.79500000000000004</v>
      </c>
      <c r="I1537" s="2">
        <f t="shared" si="357"/>
        <v>0</v>
      </c>
      <c r="J1537" s="10">
        <f t="shared" si="359"/>
        <v>87</v>
      </c>
      <c r="K1537" s="10">
        <f t="shared" si="358"/>
        <v>186</v>
      </c>
      <c r="L1537" s="10">
        <f t="shared" ca="1" si="363"/>
        <v>0</v>
      </c>
      <c r="M1537" s="10">
        <f t="shared" ca="1" si="365"/>
        <v>1</v>
      </c>
      <c r="N1537" s="30">
        <f t="shared" ca="1" si="366"/>
        <v>0</v>
      </c>
      <c r="O1537" s="10">
        <f t="shared" ca="1" si="367"/>
        <v>1875200</v>
      </c>
      <c r="P1537" s="29">
        <f t="shared" ca="1" si="368"/>
        <v>54600</v>
      </c>
      <c r="Q1537" s="12">
        <f t="shared" ca="1" si="369"/>
        <v>64900</v>
      </c>
      <c r="R1537" s="10">
        <f t="shared" ca="1" si="370"/>
        <v>2.9116894197952217</v>
      </c>
      <c r="S1537" s="10">
        <f t="shared" ca="1" si="360"/>
        <v>6.2546511627906973</v>
      </c>
      <c r="T1537" s="14">
        <f t="shared" ca="1" si="361"/>
        <v>0.45587796597317665</v>
      </c>
      <c r="U1537" s="12">
        <f t="shared" ca="1" si="371"/>
        <v>64900</v>
      </c>
      <c r="V1537" s="14">
        <f t="shared" ca="1" si="372"/>
        <v>0</v>
      </c>
      <c r="W1537" s="12">
        <f t="shared" ca="1" si="362"/>
        <v>0</v>
      </c>
      <c r="X1537" s="7">
        <f ca="1">AVERAGE(E1537:OFFSET(F1537,-$X$5+1,0))</f>
        <v>10093.9</v>
      </c>
      <c r="Y1537" s="7">
        <f ca="1">AVERAGE(E1537:OFFSET(F1537,-$Y$5+1,0))</f>
        <v>9862.9</v>
      </c>
      <c r="Z1537" s="7">
        <f t="shared" ca="1" si="364"/>
        <v>0</v>
      </c>
    </row>
    <row r="1538" spans="1:26">
      <c r="A1538" s="3" t="s">
        <v>98</v>
      </c>
      <c r="B1538" s="4">
        <v>43936</v>
      </c>
      <c r="C1538" s="3">
        <v>10347</v>
      </c>
      <c r="D1538" s="3">
        <v>10463</v>
      </c>
      <c r="E1538" s="3">
        <v>10330</v>
      </c>
      <c r="F1538" s="3">
        <v>10450</v>
      </c>
      <c r="G1538" s="3">
        <v>67002</v>
      </c>
      <c r="H1538" s="3">
        <v>0.79500000000000004</v>
      </c>
      <c r="I1538" s="2">
        <f t="shared" si="357"/>
        <v>1</v>
      </c>
      <c r="J1538" s="10">
        <f t="shared" si="359"/>
        <v>1</v>
      </c>
      <c r="K1538" s="10">
        <f t="shared" si="358"/>
        <v>103</v>
      </c>
      <c r="L1538" s="10">
        <f t="shared" ca="1" si="363"/>
        <v>0</v>
      </c>
      <c r="M1538" s="10">
        <f t="shared" si="365"/>
        <v>0</v>
      </c>
      <c r="N1538" s="30">
        <f t="shared" si="366"/>
        <v>0</v>
      </c>
      <c r="O1538" s="10">
        <f t="shared" si="367"/>
        <v>0</v>
      </c>
      <c r="P1538" s="29">
        <f t="shared" ca="1" si="368"/>
        <v>-300</v>
      </c>
      <c r="Q1538" s="12">
        <f t="shared" ca="1" si="369"/>
        <v>64600</v>
      </c>
      <c r="R1538" s="10">
        <f t="shared" ca="1" si="370"/>
        <v>-1.599829351535836E-2</v>
      </c>
      <c r="S1538" s="10">
        <f t="shared" ca="1" si="360"/>
        <v>6.2511627906976743</v>
      </c>
      <c r="T1538" s="14">
        <f t="shared" ca="1" si="361"/>
        <v>0.45564971613618843</v>
      </c>
      <c r="U1538" s="12">
        <f t="shared" ca="1" si="371"/>
        <v>64900</v>
      </c>
      <c r="V1538" s="14">
        <f t="shared" ca="1" si="372"/>
        <v>-0.46224961479198767</v>
      </c>
      <c r="W1538" s="12">
        <f t="shared" ca="1" si="362"/>
        <v>0</v>
      </c>
      <c r="X1538" s="7">
        <f ca="1">AVERAGE(E1538:OFFSET(F1538,-$X$5+1,0))</f>
        <v>10164.700000000001</v>
      </c>
      <c r="Y1538" s="7">
        <f ca="1">AVERAGE(E1538:OFFSET(F1538,-$Y$5+1,0))</f>
        <v>9959.7999999999993</v>
      </c>
      <c r="Z1538" s="7">
        <f t="shared" ca="1" si="364"/>
        <v>0</v>
      </c>
    </row>
    <row r="1539" spans="1:26">
      <c r="A1539" s="3" t="s">
        <v>99</v>
      </c>
      <c r="B1539" s="4">
        <v>43937</v>
      </c>
      <c r="C1539" s="3">
        <v>10177</v>
      </c>
      <c r="D1539" s="3">
        <v>10343</v>
      </c>
      <c r="E1539" s="3">
        <v>10161</v>
      </c>
      <c r="F1539" s="3">
        <v>10302</v>
      </c>
      <c r="G1539" s="3">
        <v>117908</v>
      </c>
      <c r="H1539" s="3">
        <v>0.79500000000000004</v>
      </c>
      <c r="I1539" s="2">
        <f t="shared" si="357"/>
        <v>0</v>
      </c>
      <c r="J1539" s="10">
        <f t="shared" si="359"/>
        <v>-273</v>
      </c>
      <c r="K1539" s="10">
        <f t="shared" si="358"/>
        <v>125</v>
      </c>
      <c r="L1539" s="10">
        <f t="shared" ca="1" si="363"/>
        <v>0</v>
      </c>
      <c r="M1539" s="10">
        <f t="shared" ca="1" si="365"/>
        <v>0</v>
      </c>
      <c r="N1539" s="30">
        <f t="shared" ca="1" si="366"/>
        <v>0</v>
      </c>
      <c r="O1539" s="10">
        <f t="shared" ca="1" si="367"/>
        <v>0</v>
      </c>
      <c r="P1539" s="29">
        <f t="shared" ca="1" si="368"/>
        <v>0</v>
      </c>
      <c r="Q1539" s="12">
        <f t="shared" ca="1" si="369"/>
        <v>64600</v>
      </c>
      <c r="R1539" s="10">
        <f t="shared" ca="1" si="370"/>
        <v>0</v>
      </c>
      <c r="S1539" s="10">
        <f t="shared" ca="1" si="360"/>
        <v>6.2511627906976743</v>
      </c>
      <c r="T1539" s="14">
        <f t="shared" ca="1" si="361"/>
        <v>0.45573051002346943</v>
      </c>
      <c r="U1539" s="12">
        <f t="shared" ca="1" si="371"/>
        <v>64900</v>
      </c>
      <c r="V1539" s="14">
        <f t="shared" ca="1" si="372"/>
        <v>-0.46224961479198767</v>
      </c>
      <c r="W1539" s="12">
        <f t="shared" ca="1" si="362"/>
        <v>0</v>
      </c>
      <c r="X1539" s="7">
        <f ca="1">AVERAGE(E1539:OFFSET(F1539,-$X$5+1,0))</f>
        <v>10198.1</v>
      </c>
      <c r="Y1539" s="7">
        <f ca="1">AVERAGE(E1539:OFFSET(F1539,-$Y$5+1,0))</f>
        <v>10028.4</v>
      </c>
      <c r="Z1539" s="7">
        <f t="shared" ca="1" si="364"/>
        <v>0</v>
      </c>
    </row>
    <row r="1540" spans="1:26">
      <c r="A1540" s="3" t="s">
        <v>99</v>
      </c>
      <c r="B1540" s="4">
        <v>43938</v>
      </c>
      <c r="C1540" s="3">
        <v>10575</v>
      </c>
      <c r="D1540" s="3">
        <v>10669</v>
      </c>
      <c r="E1540" s="3">
        <v>10456</v>
      </c>
      <c r="F1540" s="3">
        <v>10561</v>
      </c>
      <c r="G1540" s="3">
        <v>159024</v>
      </c>
      <c r="H1540" s="3">
        <v>0.79500000000000004</v>
      </c>
      <c r="I1540" s="2">
        <f t="shared" ref="I1540:I1603" si="373">IF(A1540=A1541,0,1)</f>
        <v>0</v>
      </c>
      <c r="J1540" s="10">
        <f t="shared" si="359"/>
        <v>273</v>
      </c>
      <c r="K1540" s="10">
        <f t="shared" ref="K1540:K1603" si="374">F1540-C1540</f>
        <v>-14</v>
      </c>
      <c r="L1540" s="10">
        <f t="shared" ca="1" si="363"/>
        <v>0</v>
      </c>
      <c r="M1540" s="10">
        <f t="shared" ca="1" si="365"/>
        <v>0</v>
      </c>
      <c r="N1540" s="30">
        <f t="shared" ca="1" si="366"/>
        <v>0</v>
      </c>
      <c r="O1540" s="10">
        <f t="shared" ca="1" si="367"/>
        <v>0</v>
      </c>
      <c r="P1540" s="29">
        <f t="shared" ca="1" si="368"/>
        <v>0</v>
      </c>
      <c r="Q1540" s="12">
        <f t="shared" ca="1" si="369"/>
        <v>64600</v>
      </c>
      <c r="R1540" s="10">
        <f t="shared" ca="1" si="370"/>
        <v>0</v>
      </c>
      <c r="S1540" s="10">
        <f t="shared" ca="1" si="360"/>
        <v>6.2511627906976743</v>
      </c>
      <c r="T1540" s="14">
        <f t="shared" ca="1" si="361"/>
        <v>0.45585203468196911</v>
      </c>
      <c r="U1540" s="12">
        <f t="shared" ca="1" si="371"/>
        <v>64900</v>
      </c>
      <c r="V1540" s="14">
        <f t="shared" ca="1" si="372"/>
        <v>-0.46224961479198767</v>
      </c>
      <c r="W1540" s="12">
        <f t="shared" ca="1" si="362"/>
        <v>0</v>
      </c>
      <c r="X1540" s="7">
        <f ca="1">AVERAGE(E1540:OFFSET(F1540,-$X$5+1,0))</f>
        <v>10283.5</v>
      </c>
      <c r="Y1540" s="7">
        <f ca="1">AVERAGE(E1540:OFFSET(F1540,-$Y$5+1,0))</f>
        <v>10124.1</v>
      </c>
      <c r="Z1540" s="7">
        <f t="shared" ca="1" si="364"/>
        <v>0</v>
      </c>
    </row>
    <row r="1541" spans="1:26">
      <c r="A1541" s="3" t="s">
        <v>99</v>
      </c>
      <c r="B1541" s="4">
        <v>43941</v>
      </c>
      <c r="C1541" s="3">
        <v>10515</v>
      </c>
      <c r="D1541" s="3">
        <v>10560</v>
      </c>
      <c r="E1541" s="3">
        <v>10458</v>
      </c>
      <c r="F1541" s="3">
        <v>10476</v>
      </c>
      <c r="G1541" s="3">
        <v>95719</v>
      </c>
      <c r="H1541" s="3">
        <v>0.79500000000000004</v>
      </c>
      <c r="I1541" s="2">
        <f t="shared" si="373"/>
        <v>0</v>
      </c>
      <c r="J1541" s="10">
        <f t="shared" ref="J1541:J1604" si="375">C1541-F1540</f>
        <v>-46</v>
      </c>
      <c r="K1541" s="10">
        <f t="shared" si="374"/>
        <v>-39</v>
      </c>
      <c r="L1541" s="10">
        <f t="shared" ca="1" si="363"/>
        <v>0</v>
      </c>
      <c r="M1541" s="10">
        <f t="shared" ca="1" si="365"/>
        <v>0</v>
      </c>
      <c r="N1541" s="30">
        <f t="shared" ca="1" si="366"/>
        <v>0</v>
      </c>
      <c r="O1541" s="10">
        <f t="shared" ca="1" si="367"/>
        <v>0</v>
      </c>
      <c r="P1541" s="29">
        <f t="shared" ca="1" si="368"/>
        <v>0</v>
      </c>
      <c r="Q1541" s="12">
        <f t="shared" ca="1" si="369"/>
        <v>64600</v>
      </c>
      <c r="R1541" s="10">
        <f t="shared" ca="1" si="370"/>
        <v>0</v>
      </c>
      <c r="S1541" s="10">
        <f t="shared" ca="1" si="360"/>
        <v>6.2511627906976743</v>
      </c>
      <c r="T1541" s="14">
        <f t="shared" ca="1" si="361"/>
        <v>0.45613252235501439</v>
      </c>
      <c r="U1541" s="12">
        <f t="shared" ca="1" si="371"/>
        <v>64900</v>
      </c>
      <c r="V1541" s="14">
        <f t="shared" ca="1" si="372"/>
        <v>-0.46224961479198767</v>
      </c>
      <c r="W1541" s="12">
        <f t="shared" ca="1" si="362"/>
        <v>0</v>
      </c>
      <c r="X1541" s="7">
        <f ca="1">AVERAGE(E1541:OFFSET(F1541,-$X$5+1,0))</f>
        <v>10366.5</v>
      </c>
      <c r="Y1541" s="7">
        <f ca="1">AVERAGE(E1541:OFFSET(F1541,-$Y$5+1,0))</f>
        <v>10200.4</v>
      </c>
      <c r="Z1541" s="7">
        <f t="shared" ca="1" si="364"/>
        <v>0</v>
      </c>
    </row>
    <row r="1542" spans="1:26">
      <c r="A1542" s="3" t="s">
        <v>99</v>
      </c>
      <c r="B1542" s="4">
        <v>43942</v>
      </c>
      <c r="C1542" s="3">
        <v>10406</v>
      </c>
      <c r="D1542" s="3">
        <v>10467</v>
      </c>
      <c r="E1542" s="3">
        <v>10144</v>
      </c>
      <c r="F1542" s="3">
        <v>10198</v>
      </c>
      <c r="G1542" s="3">
        <v>185566</v>
      </c>
      <c r="H1542" s="3">
        <v>0.79500000000000004</v>
      </c>
      <c r="I1542" s="2">
        <f t="shared" si="373"/>
        <v>0</v>
      </c>
      <c r="J1542" s="10">
        <f t="shared" si="375"/>
        <v>-70</v>
      </c>
      <c r="K1542" s="10">
        <f t="shared" si="374"/>
        <v>-208</v>
      </c>
      <c r="L1542" s="10">
        <f t="shared" ca="1" si="363"/>
        <v>0</v>
      </c>
      <c r="M1542" s="10">
        <f t="shared" ca="1" si="365"/>
        <v>0</v>
      </c>
      <c r="N1542" s="30">
        <f t="shared" ca="1" si="366"/>
        <v>0</v>
      </c>
      <c r="O1542" s="10">
        <f t="shared" ca="1" si="367"/>
        <v>0</v>
      </c>
      <c r="P1542" s="29">
        <f t="shared" ca="1" si="368"/>
        <v>0</v>
      </c>
      <c r="Q1542" s="12">
        <f t="shared" ca="1" si="369"/>
        <v>64600</v>
      </c>
      <c r="R1542" s="10">
        <f t="shared" ca="1" si="370"/>
        <v>0</v>
      </c>
      <c r="S1542" s="10">
        <f t="shared" ca="1" si="360"/>
        <v>6.2511627906976743</v>
      </c>
      <c r="T1542" s="14">
        <f t="shared" ca="1" si="361"/>
        <v>0.45864993768444745</v>
      </c>
      <c r="U1542" s="12">
        <f t="shared" ca="1" si="371"/>
        <v>64900</v>
      </c>
      <c r="V1542" s="14">
        <f t="shared" ca="1" si="372"/>
        <v>-0.46224961479198767</v>
      </c>
      <c r="W1542" s="12">
        <f t="shared" ca="1" si="362"/>
        <v>0</v>
      </c>
      <c r="X1542" s="7">
        <f ca="1">AVERAGE(E1542:OFFSET(F1542,-$X$5+1,0))</f>
        <v>10353.6</v>
      </c>
      <c r="Y1542" s="7">
        <f ca="1">AVERAGE(E1542:OFFSET(F1542,-$Y$5+1,0))</f>
        <v>10223.75</v>
      </c>
      <c r="Z1542" s="7">
        <f t="shared" ca="1" si="364"/>
        <v>0</v>
      </c>
    </row>
    <row r="1543" spans="1:26">
      <c r="A1543" s="3" t="s">
        <v>99</v>
      </c>
      <c r="B1543" s="4">
        <v>43943</v>
      </c>
      <c r="C1543" s="3">
        <v>10145</v>
      </c>
      <c r="D1543" s="3">
        <v>10226</v>
      </c>
      <c r="E1543" s="3">
        <v>10065</v>
      </c>
      <c r="F1543" s="3">
        <v>10225</v>
      </c>
      <c r="G1543" s="3">
        <v>140413</v>
      </c>
      <c r="H1543" s="3">
        <v>0.79500000000000004</v>
      </c>
      <c r="I1543" s="2">
        <f t="shared" si="373"/>
        <v>0</v>
      </c>
      <c r="J1543" s="10">
        <f t="shared" si="375"/>
        <v>-53</v>
      </c>
      <c r="K1543" s="10">
        <f t="shared" si="374"/>
        <v>80</v>
      </c>
      <c r="L1543" s="10">
        <f t="shared" ca="1" si="363"/>
        <v>0</v>
      </c>
      <c r="M1543" s="10">
        <f t="shared" ca="1" si="365"/>
        <v>0</v>
      </c>
      <c r="N1543" s="30">
        <f t="shared" ca="1" si="366"/>
        <v>0</v>
      </c>
      <c r="O1543" s="10">
        <f t="shared" ca="1" si="367"/>
        <v>0</v>
      </c>
      <c r="P1543" s="29">
        <f t="shared" ca="1" si="368"/>
        <v>0</v>
      </c>
      <c r="Q1543" s="12">
        <f t="shared" ca="1" si="369"/>
        <v>64600</v>
      </c>
      <c r="R1543" s="10">
        <f t="shared" ca="1" si="370"/>
        <v>0</v>
      </c>
      <c r="S1543" s="10">
        <f t="shared" ca="1" si="360"/>
        <v>6.2511627906976743</v>
      </c>
      <c r="T1543" s="14">
        <f t="shared" ca="1" si="361"/>
        <v>0.4588222606940825</v>
      </c>
      <c r="U1543" s="12">
        <f t="shared" ca="1" si="371"/>
        <v>64900</v>
      </c>
      <c r="V1543" s="14">
        <f t="shared" ca="1" si="372"/>
        <v>-0.46224961479198767</v>
      </c>
      <c r="W1543" s="12">
        <f t="shared" ca="1" si="362"/>
        <v>0</v>
      </c>
      <c r="X1543" s="7">
        <f ca="1">AVERAGE(E1543:OFFSET(F1543,-$X$5+1,0))</f>
        <v>10304.6</v>
      </c>
      <c r="Y1543" s="7">
        <f ca="1">AVERAGE(E1543:OFFSET(F1543,-$Y$5+1,0))</f>
        <v>10234.65</v>
      </c>
      <c r="Z1543" s="7">
        <f t="shared" ca="1" si="364"/>
        <v>0</v>
      </c>
    </row>
    <row r="1544" spans="1:26">
      <c r="A1544" s="3" t="s">
        <v>99</v>
      </c>
      <c r="B1544" s="4">
        <v>43944</v>
      </c>
      <c r="C1544" s="3">
        <v>10268</v>
      </c>
      <c r="D1544" s="3">
        <v>10402</v>
      </c>
      <c r="E1544" s="3">
        <v>10154</v>
      </c>
      <c r="F1544" s="3">
        <v>10292</v>
      </c>
      <c r="G1544" s="3">
        <v>167258</v>
      </c>
      <c r="H1544" s="3">
        <v>0.79500000000000004</v>
      </c>
      <c r="I1544" s="2">
        <f t="shared" si="373"/>
        <v>0</v>
      </c>
      <c r="J1544" s="10">
        <f t="shared" si="375"/>
        <v>43</v>
      </c>
      <c r="K1544" s="10">
        <f t="shared" si="374"/>
        <v>24</v>
      </c>
      <c r="L1544" s="10">
        <f t="shared" ca="1" si="363"/>
        <v>0</v>
      </c>
      <c r="M1544" s="10">
        <f t="shared" ca="1" si="365"/>
        <v>0</v>
      </c>
      <c r="N1544" s="30">
        <f t="shared" ca="1" si="366"/>
        <v>0</v>
      </c>
      <c r="O1544" s="10">
        <f t="shared" ca="1" si="367"/>
        <v>0</v>
      </c>
      <c r="P1544" s="29">
        <f t="shared" ca="1" si="368"/>
        <v>0</v>
      </c>
      <c r="Q1544" s="12">
        <f t="shared" ca="1" si="369"/>
        <v>64600</v>
      </c>
      <c r="R1544" s="10">
        <f t="shared" ca="1" si="370"/>
        <v>0</v>
      </c>
      <c r="S1544" s="10">
        <f t="shared" ca="1" si="360"/>
        <v>6.2511627906976743</v>
      </c>
      <c r="T1544" s="14">
        <f t="shared" ca="1" si="361"/>
        <v>0.45893810698955023</v>
      </c>
      <c r="U1544" s="12">
        <f t="shared" ca="1" si="371"/>
        <v>64900</v>
      </c>
      <c r="V1544" s="14">
        <f t="shared" ca="1" si="372"/>
        <v>-0.46224961479198767</v>
      </c>
      <c r="W1544" s="12">
        <f t="shared" ca="1" si="362"/>
        <v>0</v>
      </c>
      <c r="X1544" s="7">
        <f ca="1">AVERAGE(E1544:OFFSET(F1544,-$X$5+1,0))</f>
        <v>10302.9</v>
      </c>
      <c r="Y1544" s="7">
        <f ca="1">AVERAGE(E1544:OFFSET(F1544,-$Y$5+1,0))</f>
        <v>10250.5</v>
      </c>
      <c r="Z1544" s="7">
        <f t="shared" ca="1" si="364"/>
        <v>0</v>
      </c>
    </row>
    <row r="1545" spans="1:26">
      <c r="A1545" s="3" t="s">
        <v>99</v>
      </c>
      <c r="B1545" s="4">
        <v>43945</v>
      </c>
      <c r="C1545" s="3">
        <v>10231</v>
      </c>
      <c r="D1545" s="3">
        <v>10292</v>
      </c>
      <c r="E1545" s="3">
        <v>10211</v>
      </c>
      <c r="F1545" s="3">
        <v>10270</v>
      </c>
      <c r="G1545" s="3">
        <v>104624</v>
      </c>
      <c r="H1545" s="3">
        <v>0.79500000000000004</v>
      </c>
      <c r="I1545" s="2">
        <f t="shared" si="373"/>
        <v>0</v>
      </c>
      <c r="J1545" s="10">
        <f t="shared" si="375"/>
        <v>-61</v>
      </c>
      <c r="K1545" s="10">
        <f t="shared" si="374"/>
        <v>39</v>
      </c>
      <c r="L1545" s="10">
        <f t="shared" ca="1" si="363"/>
        <v>-1</v>
      </c>
      <c r="M1545" s="10">
        <f t="shared" ca="1" si="365"/>
        <v>0</v>
      </c>
      <c r="N1545" s="30">
        <f t="shared" ca="1" si="366"/>
        <v>0</v>
      </c>
      <c r="O1545" s="10">
        <f t="shared" ca="1" si="367"/>
        <v>0</v>
      </c>
      <c r="P1545" s="29">
        <f t="shared" ca="1" si="368"/>
        <v>0</v>
      </c>
      <c r="Q1545" s="12">
        <f t="shared" ca="1" si="369"/>
        <v>64600</v>
      </c>
      <c r="R1545" s="10">
        <f t="shared" ca="1" si="370"/>
        <v>0</v>
      </c>
      <c r="S1545" s="10">
        <f t="shared" ca="1" si="360"/>
        <v>6.2511627906976743</v>
      </c>
      <c r="T1545" s="14">
        <f t="shared" ca="1" si="361"/>
        <v>0.46010858417110118</v>
      </c>
      <c r="U1545" s="12">
        <f t="shared" ca="1" si="371"/>
        <v>64900</v>
      </c>
      <c r="V1545" s="14">
        <f t="shared" ca="1" si="372"/>
        <v>-0.46224961479198767</v>
      </c>
      <c r="W1545" s="12">
        <f t="shared" ca="1" si="362"/>
        <v>0</v>
      </c>
      <c r="X1545" s="7">
        <f ca="1">AVERAGE(E1545:OFFSET(F1545,-$X$5+1,0))</f>
        <v>10249.299999999999</v>
      </c>
      <c r="Y1545" s="7">
        <f ca="1">AVERAGE(E1545:OFFSET(F1545,-$Y$5+1,0))</f>
        <v>10266.4</v>
      </c>
      <c r="Z1545" s="7">
        <f t="shared" ca="1" si="364"/>
        <v>-1</v>
      </c>
    </row>
    <row r="1546" spans="1:26">
      <c r="A1546" s="3" t="s">
        <v>99</v>
      </c>
      <c r="B1546" s="4">
        <v>43948</v>
      </c>
      <c r="C1546" s="3">
        <v>10373</v>
      </c>
      <c r="D1546" s="3">
        <v>10567</v>
      </c>
      <c r="E1546" s="3">
        <v>10368</v>
      </c>
      <c r="F1546" s="3">
        <v>10547</v>
      </c>
      <c r="G1546" s="3">
        <v>123332</v>
      </c>
      <c r="H1546" s="3">
        <v>0.79500000000000004</v>
      </c>
      <c r="I1546" s="2">
        <f t="shared" si="373"/>
        <v>0</v>
      </c>
      <c r="J1546" s="10">
        <f t="shared" si="375"/>
        <v>103</v>
      </c>
      <c r="K1546" s="10">
        <f t="shared" si="374"/>
        <v>174</v>
      </c>
      <c r="L1546" s="10">
        <f t="shared" ca="1" si="363"/>
        <v>0</v>
      </c>
      <c r="M1546" s="10">
        <f t="shared" ca="1" si="365"/>
        <v>-1</v>
      </c>
      <c r="N1546" s="30">
        <f t="shared" ca="1" si="366"/>
        <v>0</v>
      </c>
      <c r="O1546" s="10">
        <f t="shared" ca="1" si="367"/>
        <v>2074600</v>
      </c>
      <c r="P1546" s="29">
        <f t="shared" ca="1" si="368"/>
        <v>-35300</v>
      </c>
      <c r="Q1546" s="12">
        <f t="shared" ca="1" si="369"/>
        <v>29300</v>
      </c>
      <c r="R1546" s="10">
        <f t="shared" ca="1" si="370"/>
        <v>-1.7015328256049358</v>
      </c>
      <c r="S1546" s="10">
        <f t="shared" ca="1" si="360"/>
        <v>5.9186046511627906</v>
      </c>
      <c r="T1546" s="14">
        <f t="shared" ca="1" si="361"/>
        <v>0.42638982994578262</v>
      </c>
      <c r="U1546" s="12">
        <f t="shared" ca="1" si="371"/>
        <v>64900</v>
      </c>
      <c r="V1546" s="14">
        <f t="shared" ca="1" si="372"/>
        <v>-54.853620955315868</v>
      </c>
      <c r="W1546" s="12">
        <f t="shared" ca="1" si="362"/>
        <v>0</v>
      </c>
      <c r="X1546" s="7">
        <f ca="1">AVERAGE(E1546:OFFSET(F1546,-$X$5+1,0))</f>
        <v>10247.4</v>
      </c>
      <c r="Y1546" s="7">
        <f ca="1">AVERAGE(E1546:OFFSET(F1546,-$Y$5+1,0))</f>
        <v>10306.950000000001</v>
      </c>
      <c r="Z1546" s="7">
        <f t="shared" ca="1" si="364"/>
        <v>0</v>
      </c>
    </row>
    <row r="1547" spans="1:26">
      <c r="A1547" s="3" t="s">
        <v>99</v>
      </c>
      <c r="B1547" s="4">
        <v>43949</v>
      </c>
      <c r="C1547" s="3">
        <v>10600</v>
      </c>
      <c r="D1547" s="3">
        <v>10605</v>
      </c>
      <c r="E1547" s="3">
        <v>10480</v>
      </c>
      <c r="F1547" s="3">
        <v>10582</v>
      </c>
      <c r="G1547" s="3">
        <v>110417</v>
      </c>
      <c r="H1547" s="3">
        <v>0.79500000000000004</v>
      </c>
      <c r="I1547" s="2">
        <f t="shared" si="373"/>
        <v>0</v>
      </c>
      <c r="J1547" s="10">
        <f t="shared" si="375"/>
        <v>53</v>
      </c>
      <c r="K1547" s="10">
        <f t="shared" si="374"/>
        <v>-18</v>
      </c>
      <c r="L1547" s="10">
        <f t="shared" ca="1" si="363"/>
        <v>0</v>
      </c>
      <c r="M1547" s="10">
        <f t="shared" ca="1" si="365"/>
        <v>-1</v>
      </c>
      <c r="N1547" s="30">
        <f t="shared" ca="1" si="366"/>
        <v>0</v>
      </c>
      <c r="O1547" s="10">
        <f t="shared" ca="1" si="367"/>
        <v>2074600</v>
      </c>
      <c r="P1547" s="29">
        <f t="shared" ca="1" si="368"/>
        <v>-7000</v>
      </c>
      <c r="Q1547" s="12">
        <f t="shared" ca="1" si="369"/>
        <v>22300</v>
      </c>
      <c r="R1547" s="10">
        <f t="shared" ca="1" si="370"/>
        <v>-0.33741444133808929</v>
      </c>
      <c r="S1547" s="10">
        <f t="shared" ca="1" si="360"/>
        <v>6.1023255813953492</v>
      </c>
      <c r="T1547" s="14">
        <f t="shared" ca="1" si="361"/>
        <v>0.44221039510657623</v>
      </c>
      <c r="U1547" s="12">
        <f t="shared" ca="1" si="371"/>
        <v>64900</v>
      </c>
      <c r="V1547" s="14">
        <f t="shared" ca="1" si="372"/>
        <v>-65.639445300462256</v>
      </c>
      <c r="W1547" s="12">
        <f t="shared" ca="1" si="362"/>
        <v>0</v>
      </c>
      <c r="X1547" s="7">
        <f ca="1">AVERAGE(E1547:OFFSET(F1547,-$X$5+1,0))</f>
        <v>10319.4</v>
      </c>
      <c r="Y1547" s="7">
        <f ca="1">AVERAGE(E1547:OFFSET(F1547,-$Y$5+1,0))</f>
        <v>10336.5</v>
      </c>
      <c r="Z1547" s="7">
        <f t="shared" ca="1" si="364"/>
        <v>0</v>
      </c>
    </row>
    <row r="1548" spans="1:26">
      <c r="A1548" s="3" t="s">
        <v>99</v>
      </c>
      <c r="B1548" s="4">
        <v>43950</v>
      </c>
      <c r="C1548" s="3">
        <v>10655</v>
      </c>
      <c r="D1548" s="3">
        <v>10770</v>
      </c>
      <c r="E1548" s="3">
        <v>10631</v>
      </c>
      <c r="F1548" s="3">
        <v>10707</v>
      </c>
      <c r="G1548" s="3">
        <v>114379</v>
      </c>
      <c r="H1548" s="3">
        <v>0.79500000000000004</v>
      </c>
      <c r="I1548" s="2">
        <f t="shared" si="373"/>
        <v>0</v>
      </c>
      <c r="J1548" s="10">
        <f t="shared" si="375"/>
        <v>73</v>
      </c>
      <c r="K1548" s="10">
        <f t="shared" si="374"/>
        <v>52</v>
      </c>
      <c r="L1548" s="10">
        <f t="shared" ca="1" si="363"/>
        <v>1</v>
      </c>
      <c r="M1548" s="10">
        <f t="shared" ca="1" si="365"/>
        <v>-1</v>
      </c>
      <c r="N1548" s="30">
        <f t="shared" ca="1" si="366"/>
        <v>0</v>
      </c>
      <c r="O1548" s="10">
        <f t="shared" ca="1" si="367"/>
        <v>2074600</v>
      </c>
      <c r="P1548" s="29">
        <f t="shared" ca="1" si="368"/>
        <v>-25000</v>
      </c>
      <c r="Q1548" s="12">
        <f t="shared" ca="1" si="369"/>
        <v>-2700</v>
      </c>
      <c r="R1548" s="10">
        <f t="shared" ca="1" si="370"/>
        <v>-1.2050515762074616</v>
      </c>
      <c r="S1548" s="10">
        <f t="shared" ca="1" si="360"/>
        <v>5.2651162790697672</v>
      </c>
      <c r="T1548" s="14">
        <f t="shared" ca="1" si="361"/>
        <v>0.3673849805017998</v>
      </c>
      <c r="U1548" s="12">
        <f t="shared" ca="1" si="371"/>
        <v>64900</v>
      </c>
      <c r="V1548" s="14">
        <f t="shared" ca="1" si="372"/>
        <v>-104.16024653312789</v>
      </c>
      <c r="W1548" s="12">
        <f t="shared" ca="1" si="362"/>
        <v>0</v>
      </c>
      <c r="X1548" s="7">
        <f ca="1">AVERAGE(E1548:OFFSET(F1548,-$X$5+1,0))</f>
        <v>10424.200000000001</v>
      </c>
      <c r="Y1548" s="7">
        <f ca="1">AVERAGE(E1548:OFFSET(F1548,-$Y$5+1,0))</f>
        <v>10364.4</v>
      </c>
      <c r="Z1548" s="7">
        <f t="shared" ca="1" si="364"/>
        <v>1</v>
      </c>
    </row>
    <row r="1549" spans="1:26">
      <c r="A1549" s="3" t="s">
        <v>99</v>
      </c>
      <c r="B1549" s="4">
        <v>43951</v>
      </c>
      <c r="C1549" s="3">
        <v>10813</v>
      </c>
      <c r="D1549" s="3">
        <v>10971</v>
      </c>
      <c r="E1549" s="3">
        <v>10803</v>
      </c>
      <c r="F1549" s="3">
        <v>10944</v>
      </c>
      <c r="G1549" s="3">
        <v>115419</v>
      </c>
      <c r="H1549" s="3">
        <v>0.79500000000000004</v>
      </c>
      <c r="I1549" s="2">
        <f t="shared" si="373"/>
        <v>0</v>
      </c>
      <c r="J1549" s="10">
        <f t="shared" si="375"/>
        <v>106</v>
      </c>
      <c r="K1549" s="10">
        <f t="shared" si="374"/>
        <v>131</v>
      </c>
      <c r="L1549" s="10">
        <f t="shared" ca="1" si="363"/>
        <v>0</v>
      </c>
      <c r="M1549" s="10">
        <f t="shared" ca="1" si="365"/>
        <v>0</v>
      </c>
      <c r="N1549" s="30">
        <f t="shared" ca="1" si="366"/>
        <v>0</v>
      </c>
      <c r="O1549" s="10">
        <f t="shared" ca="1" si="367"/>
        <v>0</v>
      </c>
      <c r="P1549" s="29">
        <f t="shared" ca="1" si="368"/>
        <v>-21700</v>
      </c>
      <c r="Q1549" s="12">
        <f t="shared" ca="1" si="369"/>
        <v>-24400</v>
      </c>
      <c r="R1549" s="10">
        <f t="shared" ca="1" si="370"/>
        <v>-1.0459847681480767</v>
      </c>
      <c r="S1549" s="10">
        <f t="shared" ca="1" si="360"/>
        <v>5.2755813953488371</v>
      </c>
      <c r="T1549" s="14">
        <f t="shared" ca="1" si="361"/>
        <v>0.36682875241115687</v>
      </c>
      <c r="U1549" s="12">
        <f t="shared" ca="1" si="371"/>
        <v>64900</v>
      </c>
      <c r="V1549" s="14">
        <f t="shared" ca="1" si="372"/>
        <v>-137.59630200308166</v>
      </c>
      <c r="W1549" s="12">
        <f t="shared" ca="1" si="362"/>
        <v>0</v>
      </c>
      <c r="X1549" s="7">
        <f ca="1">AVERAGE(E1549:OFFSET(F1549,-$X$5+1,0))</f>
        <v>10554.3</v>
      </c>
      <c r="Y1549" s="7">
        <f ca="1">AVERAGE(E1549:OFFSET(F1549,-$Y$5+1,0))</f>
        <v>10428.6</v>
      </c>
      <c r="Z1549" s="7">
        <f t="shared" ca="1" si="364"/>
        <v>0</v>
      </c>
    </row>
    <row r="1550" spans="1:26">
      <c r="A1550" s="3" t="s">
        <v>99</v>
      </c>
      <c r="B1550" s="4">
        <v>43955</v>
      </c>
      <c r="C1550" s="3">
        <v>10540</v>
      </c>
      <c r="D1550" s="3">
        <v>10699</v>
      </c>
      <c r="E1550" s="3">
        <v>10477</v>
      </c>
      <c r="F1550" s="3">
        <v>10615</v>
      </c>
      <c r="G1550" s="3">
        <v>133437</v>
      </c>
      <c r="H1550" s="3">
        <v>0.79500000000000004</v>
      </c>
      <c r="I1550" s="2">
        <f t="shared" si="373"/>
        <v>0</v>
      </c>
      <c r="J1550" s="10">
        <f t="shared" si="375"/>
        <v>-404</v>
      </c>
      <c r="K1550" s="10">
        <f t="shared" si="374"/>
        <v>75</v>
      </c>
      <c r="L1550" s="10">
        <f t="shared" ca="1" si="363"/>
        <v>0</v>
      </c>
      <c r="M1550" s="10">
        <f t="shared" ca="1" si="365"/>
        <v>0</v>
      </c>
      <c r="N1550" s="30">
        <f t="shared" ca="1" si="366"/>
        <v>0</v>
      </c>
      <c r="O1550" s="10">
        <f t="shared" ca="1" si="367"/>
        <v>0</v>
      </c>
      <c r="P1550" s="29">
        <f t="shared" ca="1" si="368"/>
        <v>0</v>
      </c>
      <c r="Q1550" s="12">
        <f t="shared" ca="1" si="369"/>
        <v>-24400</v>
      </c>
      <c r="R1550" s="10">
        <f t="shared" ca="1" si="370"/>
        <v>0</v>
      </c>
      <c r="S1550" s="10">
        <f t="shared" ca="1" si="360"/>
        <v>5.0965116279069766</v>
      </c>
      <c r="T1550" s="14">
        <f t="shared" ca="1" si="361"/>
        <v>0.35147619262431024</v>
      </c>
      <c r="U1550" s="12">
        <f t="shared" ca="1" si="371"/>
        <v>64900</v>
      </c>
      <c r="V1550" s="14">
        <f t="shared" ca="1" si="372"/>
        <v>-137.59630200308166</v>
      </c>
      <c r="W1550" s="12">
        <f t="shared" ca="1" si="362"/>
        <v>0</v>
      </c>
      <c r="X1550" s="7">
        <f ca="1">AVERAGE(E1550:OFFSET(F1550,-$X$5+1,0))</f>
        <v>10615.4</v>
      </c>
      <c r="Y1550" s="7">
        <f ca="1">AVERAGE(E1550:OFFSET(F1550,-$Y$5+1,0))</f>
        <v>10432.35</v>
      </c>
      <c r="Z1550" s="7">
        <f t="shared" ca="1" si="364"/>
        <v>0</v>
      </c>
    </row>
    <row r="1551" spans="1:26">
      <c r="A1551" s="3" t="s">
        <v>99</v>
      </c>
      <c r="B1551" s="4">
        <v>43956</v>
      </c>
      <c r="C1551" s="3">
        <v>10717</v>
      </c>
      <c r="D1551" s="3">
        <v>10795</v>
      </c>
      <c r="E1551" s="3">
        <v>10658</v>
      </c>
      <c r="F1551" s="3">
        <v>10725</v>
      </c>
      <c r="G1551" s="3">
        <v>110697</v>
      </c>
      <c r="H1551" s="3">
        <v>0.79500000000000004</v>
      </c>
      <c r="I1551" s="2">
        <f t="shared" si="373"/>
        <v>0</v>
      </c>
      <c r="J1551" s="10">
        <f t="shared" si="375"/>
        <v>102</v>
      </c>
      <c r="K1551" s="10">
        <f t="shared" si="374"/>
        <v>8</v>
      </c>
      <c r="L1551" s="10">
        <f t="shared" ca="1" si="363"/>
        <v>0</v>
      </c>
      <c r="M1551" s="10">
        <f t="shared" ca="1" si="365"/>
        <v>0</v>
      </c>
      <c r="N1551" s="30">
        <f t="shared" ca="1" si="366"/>
        <v>0</v>
      </c>
      <c r="O1551" s="10">
        <f t="shared" ca="1" si="367"/>
        <v>0</v>
      </c>
      <c r="P1551" s="29">
        <f t="shared" ca="1" si="368"/>
        <v>0</v>
      </c>
      <c r="Q1551" s="12">
        <f t="shared" ca="1" si="369"/>
        <v>-24400</v>
      </c>
      <c r="R1551" s="10">
        <f t="shared" ca="1" si="370"/>
        <v>0</v>
      </c>
      <c r="S1551" s="10">
        <f t="shared" ca="1" si="360"/>
        <v>4.7546511627906973</v>
      </c>
      <c r="T1551" s="14">
        <f t="shared" ca="1" si="361"/>
        <v>0.32209421763275431</v>
      </c>
      <c r="U1551" s="12">
        <f t="shared" ca="1" si="371"/>
        <v>64900</v>
      </c>
      <c r="V1551" s="14">
        <f t="shared" ca="1" si="372"/>
        <v>-137.59630200308166</v>
      </c>
      <c r="W1551" s="12">
        <f t="shared" ca="1" si="362"/>
        <v>0</v>
      </c>
      <c r="X1551" s="7">
        <f ca="1">AVERAGE(E1551:OFFSET(F1551,-$X$5+1,0))</f>
        <v>10662.2</v>
      </c>
      <c r="Y1551" s="7">
        <f ca="1">AVERAGE(E1551:OFFSET(F1551,-$Y$5+1,0))</f>
        <v>10454.799999999999</v>
      </c>
      <c r="Z1551" s="7">
        <f t="shared" ca="1" si="364"/>
        <v>0</v>
      </c>
    </row>
    <row r="1552" spans="1:26">
      <c r="A1552" s="3" t="s">
        <v>99</v>
      </c>
      <c r="B1552" s="4">
        <v>43957</v>
      </c>
      <c r="C1552" s="3">
        <v>10658</v>
      </c>
      <c r="D1552" s="3">
        <v>10780</v>
      </c>
      <c r="E1552" s="3">
        <v>10618</v>
      </c>
      <c r="F1552" s="3">
        <v>10750</v>
      </c>
      <c r="G1552" s="3">
        <v>123280</v>
      </c>
      <c r="H1552" s="3">
        <v>0.79500000000000004</v>
      </c>
      <c r="I1552" s="2">
        <f t="shared" si="373"/>
        <v>0</v>
      </c>
      <c r="J1552" s="10">
        <f t="shared" si="375"/>
        <v>-67</v>
      </c>
      <c r="K1552" s="10">
        <f t="shared" si="374"/>
        <v>92</v>
      </c>
      <c r="L1552" s="10">
        <f t="shared" ca="1" si="363"/>
        <v>0</v>
      </c>
      <c r="M1552" s="10">
        <f t="shared" ca="1" si="365"/>
        <v>0</v>
      </c>
      <c r="N1552" s="30">
        <f t="shared" ca="1" si="366"/>
        <v>0</v>
      </c>
      <c r="O1552" s="10">
        <f t="shared" ca="1" si="367"/>
        <v>0</v>
      </c>
      <c r="P1552" s="29">
        <f t="shared" ca="1" si="368"/>
        <v>0</v>
      </c>
      <c r="Q1552" s="12">
        <f t="shared" ca="1" si="369"/>
        <v>-24400</v>
      </c>
      <c r="R1552" s="10">
        <f t="shared" ca="1" si="370"/>
        <v>0</v>
      </c>
      <c r="S1552" s="10">
        <f t="shared" ca="1" si="360"/>
        <v>4.7523255813953487</v>
      </c>
      <c r="T1552" s="14">
        <f t="shared" ca="1" si="361"/>
        <v>0.32197359435387785</v>
      </c>
      <c r="U1552" s="12">
        <f t="shared" ca="1" si="371"/>
        <v>64900</v>
      </c>
      <c r="V1552" s="14">
        <f t="shared" ca="1" si="372"/>
        <v>-137.59630200308166</v>
      </c>
      <c r="W1552" s="12">
        <f t="shared" ca="1" si="362"/>
        <v>0</v>
      </c>
      <c r="X1552" s="7">
        <f ca="1">AVERAGE(E1552:OFFSET(F1552,-$X$5+1,0))</f>
        <v>10692.8</v>
      </c>
      <c r="Y1552" s="7">
        <f ca="1">AVERAGE(E1552:OFFSET(F1552,-$Y$5+1,0))</f>
        <v>10506.1</v>
      </c>
      <c r="Z1552" s="7">
        <f t="shared" ca="1" si="364"/>
        <v>0</v>
      </c>
    </row>
    <row r="1553" spans="1:26">
      <c r="A1553" s="3" t="s">
        <v>99</v>
      </c>
      <c r="B1553" s="4">
        <v>43958</v>
      </c>
      <c r="C1553" s="3">
        <v>10736</v>
      </c>
      <c r="D1553" s="3">
        <v>10877</v>
      </c>
      <c r="E1553" s="3">
        <v>10710</v>
      </c>
      <c r="F1553" s="3">
        <v>10833</v>
      </c>
      <c r="G1553" s="3">
        <v>116774</v>
      </c>
      <c r="H1553" s="3">
        <v>0.79500000000000004</v>
      </c>
      <c r="I1553" s="2">
        <f t="shared" si="373"/>
        <v>0</v>
      </c>
      <c r="J1553" s="10">
        <f t="shared" si="375"/>
        <v>-14</v>
      </c>
      <c r="K1553" s="10">
        <f t="shared" si="374"/>
        <v>97</v>
      </c>
      <c r="L1553" s="10">
        <f t="shared" ca="1" si="363"/>
        <v>0</v>
      </c>
      <c r="M1553" s="10">
        <f t="shared" ca="1" si="365"/>
        <v>0</v>
      </c>
      <c r="N1553" s="30">
        <f t="shared" ca="1" si="366"/>
        <v>0</v>
      </c>
      <c r="O1553" s="10">
        <f t="shared" ca="1" si="367"/>
        <v>0</v>
      </c>
      <c r="P1553" s="29">
        <f t="shared" ca="1" si="368"/>
        <v>0</v>
      </c>
      <c r="Q1553" s="12">
        <f t="shared" ca="1" si="369"/>
        <v>-24400</v>
      </c>
      <c r="R1553" s="10">
        <f t="shared" ca="1" si="370"/>
        <v>0</v>
      </c>
      <c r="S1553" s="10">
        <f t="shared" ca="1" si="360"/>
        <v>4.3593023255813952</v>
      </c>
      <c r="T1553" s="14">
        <f t="shared" ca="1" si="361"/>
        <v>0.28818237458369905</v>
      </c>
      <c r="U1553" s="12">
        <f t="shared" ca="1" si="371"/>
        <v>64900</v>
      </c>
      <c r="V1553" s="14">
        <f t="shared" ca="1" si="372"/>
        <v>-137.59630200308166</v>
      </c>
      <c r="W1553" s="12">
        <f t="shared" ca="1" si="362"/>
        <v>0</v>
      </c>
      <c r="X1553" s="7">
        <f ca="1">AVERAGE(E1553:OFFSET(F1553,-$X$5+1,0))</f>
        <v>10713.3</v>
      </c>
      <c r="Y1553" s="7">
        <f ca="1">AVERAGE(E1553:OFFSET(F1553,-$Y$5+1,0))</f>
        <v>10568.75</v>
      </c>
      <c r="Z1553" s="7">
        <f t="shared" ca="1" si="364"/>
        <v>0</v>
      </c>
    </row>
    <row r="1554" spans="1:26">
      <c r="A1554" s="3" t="s">
        <v>99</v>
      </c>
      <c r="B1554" s="4">
        <v>43959</v>
      </c>
      <c r="C1554" s="3">
        <v>10893</v>
      </c>
      <c r="D1554" s="3">
        <v>10956</v>
      </c>
      <c r="E1554" s="3">
        <v>10853</v>
      </c>
      <c r="F1554" s="3">
        <v>10896</v>
      </c>
      <c r="G1554" s="3">
        <v>106019</v>
      </c>
      <c r="H1554" s="3">
        <v>0.79500000000000004</v>
      </c>
      <c r="I1554" s="2">
        <f t="shared" si="373"/>
        <v>0</v>
      </c>
      <c r="J1554" s="10">
        <f t="shared" si="375"/>
        <v>60</v>
      </c>
      <c r="K1554" s="10">
        <f t="shared" si="374"/>
        <v>3</v>
      </c>
      <c r="L1554" s="10">
        <f t="shared" ca="1" si="363"/>
        <v>0</v>
      </c>
      <c r="M1554" s="10">
        <f t="shared" ca="1" si="365"/>
        <v>0</v>
      </c>
      <c r="N1554" s="30">
        <f t="shared" ca="1" si="366"/>
        <v>0</v>
      </c>
      <c r="O1554" s="10">
        <f t="shared" ca="1" si="367"/>
        <v>0</v>
      </c>
      <c r="P1554" s="29">
        <f t="shared" ca="1" si="368"/>
        <v>0</v>
      </c>
      <c r="Q1554" s="12">
        <f t="shared" ca="1" si="369"/>
        <v>-24400</v>
      </c>
      <c r="R1554" s="10">
        <f t="shared" ca="1" si="370"/>
        <v>0</v>
      </c>
      <c r="S1554" s="10">
        <f t="shared" ca="1" si="360"/>
        <v>4.2569767441860469</v>
      </c>
      <c r="T1554" s="14">
        <f t="shared" ca="1" si="361"/>
        <v>0.27944368196478686</v>
      </c>
      <c r="U1554" s="12">
        <f t="shared" ca="1" si="371"/>
        <v>64900</v>
      </c>
      <c r="V1554" s="14">
        <f t="shared" ca="1" si="372"/>
        <v>-137.59630200308166</v>
      </c>
      <c r="W1554" s="12">
        <f t="shared" ca="1" si="362"/>
        <v>0</v>
      </c>
      <c r="X1554" s="7">
        <f ca="1">AVERAGE(E1554:OFFSET(F1554,-$X$5+1,0))</f>
        <v>10713.5</v>
      </c>
      <c r="Y1554" s="7">
        <f ca="1">AVERAGE(E1554:OFFSET(F1554,-$Y$5+1,0))</f>
        <v>10633.9</v>
      </c>
      <c r="Z1554" s="7">
        <f t="shared" ca="1" si="364"/>
        <v>0</v>
      </c>
    </row>
    <row r="1555" spans="1:26">
      <c r="A1555" s="3" t="s">
        <v>99</v>
      </c>
      <c r="B1555" s="4">
        <v>43962</v>
      </c>
      <c r="C1555" s="3">
        <v>10979</v>
      </c>
      <c r="D1555" s="3">
        <v>11038</v>
      </c>
      <c r="E1555" s="3">
        <v>10935</v>
      </c>
      <c r="F1555" s="3">
        <v>10983</v>
      </c>
      <c r="G1555" s="3">
        <v>93372</v>
      </c>
      <c r="H1555" s="3">
        <v>0.79500000000000004</v>
      </c>
      <c r="I1555" s="2">
        <f t="shared" si="373"/>
        <v>0</v>
      </c>
      <c r="J1555" s="10">
        <f t="shared" si="375"/>
        <v>83</v>
      </c>
      <c r="K1555" s="10">
        <f t="shared" si="374"/>
        <v>4</v>
      </c>
      <c r="L1555" s="10">
        <f t="shared" ca="1" si="363"/>
        <v>0</v>
      </c>
      <c r="M1555" s="10">
        <f t="shared" ca="1" si="365"/>
        <v>0</v>
      </c>
      <c r="N1555" s="30">
        <f t="shared" ca="1" si="366"/>
        <v>0</v>
      </c>
      <c r="O1555" s="10">
        <f t="shared" ca="1" si="367"/>
        <v>0</v>
      </c>
      <c r="P1555" s="29">
        <f t="shared" ca="1" si="368"/>
        <v>0</v>
      </c>
      <c r="Q1555" s="12">
        <f t="shared" ca="1" si="369"/>
        <v>-24400</v>
      </c>
      <c r="R1555" s="10">
        <f t="shared" ca="1" si="370"/>
        <v>0</v>
      </c>
      <c r="S1555" s="10">
        <f t="shared" ca="1" si="360"/>
        <v>4.2790697674418601</v>
      </c>
      <c r="T1555" s="14">
        <f t="shared" ca="1" si="361"/>
        <v>0.28142747096661674</v>
      </c>
      <c r="U1555" s="12">
        <f t="shared" ca="1" si="371"/>
        <v>64900</v>
      </c>
      <c r="V1555" s="14">
        <f t="shared" ca="1" si="372"/>
        <v>-137.59630200308166</v>
      </c>
      <c r="W1555" s="12">
        <f t="shared" ca="1" si="362"/>
        <v>0</v>
      </c>
      <c r="X1555" s="7">
        <f ca="1">AVERAGE(E1555:OFFSET(F1555,-$X$5+1,0))</f>
        <v>10796.1</v>
      </c>
      <c r="Y1555" s="7">
        <f ca="1">AVERAGE(E1555:OFFSET(F1555,-$Y$5+1,0))</f>
        <v>10705.75</v>
      </c>
      <c r="Z1555" s="7">
        <f t="shared" ca="1" si="364"/>
        <v>0</v>
      </c>
    </row>
    <row r="1556" spans="1:26">
      <c r="A1556" s="3" t="s">
        <v>99</v>
      </c>
      <c r="B1556" s="4">
        <v>43963</v>
      </c>
      <c r="C1556" s="3">
        <v>10902</v>
      </c>
      <c r="D1556" s="3">
        <v>10932</v>
      </c>
      <c r="E1556" s="3">
        <v>10802</v>
      </c>
      <c r="F1556" s="3">
        <v>10865</v>
      </c>
      <c r="G1556" s="3">
        <v>117000</v>
      </c>
      <c r="H1556" s="3">
        <v>0.79500000000000004</v>
      </c>
      <c r="I1556" s="2">
        <f t="shared" si="373"/>
        <v>0</v>
      </c>
      <c r="J1556" s="10">
        <f t="shared" si="375"/>
        <v>-81</v>
      </c>
      <c r="K1556" s="10">
        <f t="shared" si="374"/>
        <v>-37</v>
      </c>
      <c r="L1556" s="10">
        <f t="shared" ca="1" si="363"/>
        <v>0</v>
      </c>
      <c r="M1556" s="10">
        <f t="shared" ca="1" si="365"/>
        <v>0</v>
      </c>
      <c r="N1556" s="30">
        <f t="shared" ca="1" si="366"/>
        <v>0</v>
      </c>
      <c r="O1556" s="10">
        <f t="shared" ca="1" si="367"/>
        <v>0</v>
      </c>
      <c r="P1556" s="29">
        <f t="shared" ca="1" si="368"/>
        <v>0</v>
      </c>
      <c r="Q1556" s="12">
        <f t="shared" ca="1" si="369"/>
        <v>-24400</v>
      </c>
      <c r="R1556" s="10">
        <f t="shared" ca="1" si="370"/>
        <v>0</v>
      </c>
      <c r="S1556" s="10">
        <f t="shared" ca="1" si="360"/>
        <v>4.2790697674418601</v>
      </c>
      <c r="T1556" s="14">
        <f t="shared" ca="1" si="361"/>
        <v>0.28157667183787877</v>
      </c>
      <c r="U1556" s="12">
        <f t="shared" ca="1" si="371"/>
        <v>64900</v>
      </c>
      <c r="V1556" s="14">
        <f t="shared" ca="1" si="372"/>
        <v>-137.59630200308166</v>
      </c>
      <c r="W1556" s="12">
        <f t="shared" ca="1" si="362"/>
        <v>0</v>
      </c>
      <c r="X1556" s="7">
        <f ca="1">AVERAGE(E1556:OFFSET(F1556,-$X$5+1,0))</f>
        <v>10824.5</v>
      </c>
      <c r="Y1556" s="7">
        <f ca="1">AVERAGE(E1556:OFFSET(F1556,-$Y$5+1,0))</f>
        <v>10743.35</v>
      </c>
      <c r="Z1556" s="7">
        <f t="shared" ca="1" si="364"/>
        <v>0</v>
      </c>
    </row>
    <row r="1557" spans="1:26">
      <c r="A1557" s="3" t="s">
        <v>99</v>
      </c>
      <c r="B1557" s="4">
        <v>43964</v>
      </c>
      <c r="C1557" s="3">
        <v>10783</v>
      </c>
      <c r="D1557" s="3">
        <v>10925</v>
      </c>
      <c r="E1557" s="3">
        <v>10776</v>
      </c>
      <c r="F1557" s="3">
        <v>10915</v>
      </c>
      <c r="G1557" s="3">
        <v>103023</v>
      </c>
      <c r="H1557" s="3">
        <v>0.79500000000000004</v>
      </c>
      <c r="I1557" s="2">
        <f t="shared" si="373"/>
        <v>0</v>
      </c>
      <c r="J1557" s="10">
        <f t="shared" si="375"/>
        <v>-82</v>
      </c>
      <c r="K1557" s="10">
        <f t="shared" si="374"/>
        <v>132</v>
      </c>
      <c r="L1557" s="10">
        <f t="shared" ca="1" si="363"/>
        <v>0</v>
      </c>
      <c r="M1557" s="10">
        <f t="shared" ca="1" si="365"/>
        <v>0</v>
      </c>
      <c r="N1557" s="30">
        <f t="shared" ca="1" si="366"/>
        <v>0</v>
      </c>
      <c r="O1557" s="10">
        <f t="shared" ca="1" si="367"/>
        <v>0</v>
      </c>
      <c r="P1557" s="29">
        <f t="shared" ca="1" si="368"/>
        <v>0</v>
      </c>
      <c r="Q1557" s="12">
        <f t="shared" ca="1" si="369"/>
        <v>-24400</v>
      </c>
      <c r="R1557" s="10">
        <f t="shared" ca="1" si="370"/>
        <v>0</v>
      </c>
      <c r="S1557" s="10">
        <f t="shared" ca="1" si="360"/>
        <v>4.2790697674418601</v>
      </c>
      <c r="T1557" s="14">
        <f t="shared" ca="1" si="361"/>
        <v>0.28195360832554867</v>
      </c>
      <c r="U1557" s="12">
        <f t="shared" ca="1" si="371"/>
        <v>64900</v>
      </c>
      <c r="V1557" s="14">
        <f t="shared" ca="1" si="372"/>
        <v>-137.59630200308166</v>
      </c>
      <c r="W1557" s="12">
        <f t="shared" ca="1" si="362"/>
        <v>0</v>
      </c>
      <c r="X1557" s="7">
        <f ca="1">AVERAGE(E1557:OFFSET(F1557,-$X$5+1,0))</f>
        <v>10856.8</v>
      </c>
      <c r="Y1557" s="7">
        <f ca="1">AVERAGE(E1557:OFFSET(F1557,-$Y$5+1,0))</f>
        <v>10774.8</v>
      </c>
      <c r="Z1557" s="7">
        <f t="shared" ca="1" si="364"/>
        <v>0</v>
      </c>
    </row>
    <row r="1558" spans="1:26">
      <c r="A1558" s="3" t="s">
        <v>99</v>
      </c>
      <c r="B1558" s="4">
        <v>43965</v>
      </c>
      <c r="C1558" s="3">
        <v>10828</v>
      </c>
      <c r="D1558" s="3">
        <v>10877</v>
      </c>
      <c r="E1558" s="3">
        <v>10738</v>
      </c>
      <c r="F1558" s="3">
        <v>10750</v>
      </c>
      <c r="G1558" s="3">
        <v>128433</v>
      </c>
      <c r="H1558" s="3">
        <v>0.79500000000000004</v>
      </c>
      <c r="I1558" s="2">
        <f t="shared" si="373"/>
        <v>0</v>
      </c>
      <c r="J1558" s="10">
        <f t="shared" si="375"/>
        <v>-87</v>
      </c>
      <c r="K1558" s="10">
        <f t="shared" si="374"/>
        <v>-78</v>
      </c>
      <c r="L1558" s="10">
        <f t="shared" ca="1" si="363"/>
        <v>0</v>
      </c>
      <c r="M1558" s="10">
        <f t="shared" ca="1" si="365"/>
        <v>0</v>
      </c>
      <c r="N1558" s="30">
        <f t="shared" ca="1" si="366"/>
        <v>0</v>
      </c>
      <c r="O1558" s="10">
        <f t="shared" ca="1" si="367"/>
        <v>0</v>
      </c>
      <c r="P1558" s="29">
        <f t="shared" ca="1" si="368"/>
        <v>0</v>
      </c>
      <c r="Q1558" s="12">
        <f t="shared" ca="1" si="369"/>
        <v>-24400</v>
      </c>
      <c r="R1558" s="10">
        <f t="shared" ca="1" si="370"/>
        <v>0</v>
      </c>
      <c r="S1558" s="10">
        <f t="shared" ca="1" si="360"/>
        <v>4.2790697674418601</v>
      </c>
      <c r="T1558" s="14">
        <f t="shared" ca="1" si="361"/>
        <v>0.28203350913601033</v>
      </c>
      <c r="U1558" s="12">
        <f t="shared" ca="1" si="371"/>
        <v>64900</v>
      </c>
      <c r="V1558" s="14">
        <f t="shared" ca="1" si="372"/>
        <v>-137.59630200308166</v>
      </c>
      <c r="W1558" s="12">
        <f t="shared" ca="1" si="362"/>
        <v>0</v>
      </c>
      <c r="X1558" s="7">
        <f ca="1">AVERAGE(E1558:OFFSET(F1558,-$X$5+1,0))</f>
        <v>10851.3</v>
      </c>
      <c r="Y1558" s="7">
        <f ca="1">AVERAGE(E1558:OFFSET(F1558,-$Y$5+1,0))</f>
        <v>10782.3</v>
      </c>
      <c r="Z1558" s="7">
        <f t="shared" ca="1" si="364"/>
        <v>0</v>
      </c>
    </row>
    <row r="1559" spans="1:26">
      <c r="A1559" s="3" t="s">
        <v>99</v>
      </c>
      <c r="B1559" s="4">
        <v>43966</v>
      </c>
      <c r="C1559" s="3">
        <v>10830</v>
      </c>
      <c r="D1559" s="3">
        <v>10869</v>
      </c>
      <c r="E1559" s="3">
        <v>10701</v>
      </c>
      <c r="F1559" s="3">
        <v>10818</v>
      </c>
      <c r="G1559" s="3">
        <v>135179</v>
      </c>
      <c r="H1559" s="3">
        <v>0.79500000000000004</v>
      </c>
      <c r="I1559" s="2">
        <f t="shared" si="373"/>
        <v>0</v>
      </c>
      <c r="J1559" s="10">
        <f t="shared" si="375"/>
        <v>80</v>
      </c>
      <c r="K1559" s="10">
        <f t="shared" si="374"/>
        <v>-12</v>
      </c>
      <c r="L1559" s="10">
        <f t="shared" ca="1" si="363"/>
        <v>0</v>
      </c>
      <c r="M1559" s="10">
        <f t="shared" ca="1" si="365"/>
        <v>0</v>
      </c>
      <c r="N1559" s="30">
        <f t="shared" ca="1" si="366"/>
        <v>0</v>
      </c>
      <c r="O1559" s="10">
        <f t="shared" ca="1" si="367"/>
        <v>0</v>
      </c>
      <c r="P1559" s="29">
        <f t="shared" ca="1" si="368"/>
        <v>0</v>
      </c>
      <c r="Q1559" s="12">
        <f t="shared" ca="1" si="369"/>
        <v>-24400</v>
      </c>
      <c r="R1559" s="10">
        <f t="shared" ca="1" si="370"/>
        <v>0</v>
      </c>
      <c r="S1559" s="10">
        <f t="shared" ca="1" si="360"/>
        <v>4.2790697674418601</v>
      </c>
      <c r="T1559" s="14">
        <f t="shared" ca="1" si="361"/>
        <v>0.28211340994647205</v>
      </c>
      <c r="U1559" s="12">
        <f t="shared" ca="1" si="371"/>
        <v>64900</v>
      </c>
      <c r="V1559" s="14">
        <f t="shared" ca="1" si="372"/>
        <v>-137.59630200308166</v>
      </c>
      <c r="W1559" s="12">
        <f t="shared" ca="1" si="362"/>
        <v>0</v>
      </c>
      <c r="X1559" s="7">
        <f ca="1">AVERAGE(E1559:OFFSET(F1559,-$X$5+1,0))</f>
        <v>10828.3</v>
      </c>
      <c r="Y1559" s="7">
        <f ca="1">AVERAGE(E1559:OFFSET(F1559,-$Y$5+1,0))</f>
        <v>10770.9</v>
      </c>
      <c r="Z1559" s="7">
        <f t="shared" ca="1" si="364"/>
        <v>0</v>
      </c>
    </row>
    <row r="1560" spans="1:26">
      <c r="A1560" s="3" t="s">
        <v>99</v>
      </c>
      <c r="B1560" s="4">
        <v>43969</v>
      </c>
      <c r="C1560" s="3">
        <v>10768</v>
      </c>
      <c r="D1560" s="3">
        <v>10824</v>
      </c>
      <c r="E1560" s="3">
        <v>10724</v>
      </c>
      <c r="F1560" s="3">
        <v>10763</v>
      </c>
      <c r="G1560" s="3">
        <v>134342</v>
      </c>
      <c r="H1560" s="3">
        <v>0.79500000000000004</v>
      </c>
      <c r="I1560" s="2">
        <f t="shared" si="373"/>
        <v>0</v>
      </c>
      <c r="J1560" s="10">
        <f t="shared" si="375"/>
        <v>-50</v>
      </c>
      <c r="K1560" s="10">
        <f t="shared" si="374"/>
        <v>-5</v>
      </c>
      <c r="L1560" s="10">
        <f t="shared" ca="1" si="363"/>
        <v>-1</v>
      </c>
      <c r="M1560" s="10">
        <f t="shared" ca="1" si="365"/>
        <v>0</v>
      </c>
      <c r="N1560" s="30">
        <f t="shared" ca="1" si="366"/>
        <v>0</v>
      </c>
      <c r="O1560" s="10">
        <f t="shared" ca="1" si="367"/>
        <v>0</v>
      </c>
      <c r="P1560" s="29">
        <f t="shared" ca="1" si="368"/>
        <v>0</v>
      </c>
      <c r="Q1560" s="12">
        <f t="shared" ca="1" si="369"/>
        <v>-24400</v>
      </c>
      <c r="R1560" s="10">
        <f t="shared" ca="1" si="370"/>
        <v>0</v>
      </c>
      <c r="S1560" s="10">
        <f t="shared" ca="1" si="360"/>
        <v>4.2790697674418601</v>
      </c>
      <c r="T1560" s="14">
        <f t="shared" ca="1" si="361"/>
        <v>0.28219331075693371</v>
      </c>
      <c r="U1560" s="12">
        <f t="shared" ca="1" si="371"/>
        <v>64900</v>
      </c>
      <c r="V1560" s="14">
        <f t="shared" ca="1" si="372"/>
        <v>-137.59630200308166</v>
      </c>
      <c r="W1560" s="12">
        <f t="shared" ca="1" si="362"/>
        <v>0</v>
      </c>
      <c r="X1560" s="7">
        <f ca="1">AVERAGE(E1560:OFFSET(F1560,-$X$5+1,0))</f>
        <v>10785.2</v>
      </c>
      <c r="Y1560" s="7">
        <f ca="1">AVERAGE(E1560:OFFSET(F1560,-$Y$5+1,0))</f>
        <v>10790.65</v>
      </c>
      <c r="Z1560" s="7">
        <f t="shared" ca="1" si="364"/>
        <v>-1</v>
      </c>
    </row>
    <row r="1561" spans="1:26">
      <c r="A1561" s="3" t="s">
        <v>99</v>
      </c>
      <c r="B1561" s="4">
        <v>43970</v>
      </c>
      <c r="C1561" s="3">
        <v>10932</v>
      </c>
      <c r="D1561" s="3">
        <v>10964</v>
      </c>
      <c r="E1561" s="3">
        <v>10836</v>
      </c>
      <c r="F1561" s="3">
        <v>10872</v>
      </c>
      <c r="G1561" s="3">
        <v>128453</v>
      </c>
      <c r="H1561" s="3">
        <v>0.79500000000000004</v>
      </c>
      <c r="I1561" s="2">
        <f t="shared" si="373"/>
        <v>0</v>
      </c>
      <c r="J1561" s="10">
        <f t="shared" si="375"/>
        <v>169</v>
      </c>
      <c r="K1561" s="10">
        <f t="shared" si="374"/>
        <v>-60</v>
      </c>
      <c r="L1561" s="10">
        <f t="shared" ca="1" si="363"/>
        <v>0</v>
      </c>
      <c r="M1561" s="10">
        <f t="shared" ca="1" si="365"/>
        <v>-1</v>
      </c>
      <c r="N1561" s="30">
        <f t="shared" ca="1" si="366"/>
        <v>0</v>
      </c>
      <c r="O1561" s="10">
        <f t="shared" ca="1" si="367"/>
        <v>2186400</v>
      </c>
      <c r="P1561" s="29">
        <f t="shared" ca="1" si="368"/>
        <v>11500</v>
      </c>
      <c r="Q1561" s="12">
        <f t="shared" ca="1" si="369"/>
        <v>-12900</v>
      </c>
      <c r="R1561" s="10">
        <f t="shared" ca="1" si="370"/>
        <v>0.5259787778997439</v>
      </c>
      <c r="S1561" s="10">
        <f t="shared" ca="1" si="360"/>
        <v>4.4127906976744189</v>
      </c>
      <c r="T1561" s="14">
        <f t="shared" ca="1" si="361"/>
        <v>0.29362388353113739</v>
      </c>
      <c r="U1561" s="12">
        <f t="shared" ca="1" si="371"/>
        <v>64900</v>
      </c>
      <c r="V1561" s="14">
        <f t="shared" ca="1" si="372"/>
        <v>-119.87673343605547</v>
      </c>
      <c r="W1561" s="12">
        <f t="shared" ca="1" si="362"/>
        <v>0</v>
      </c>
      <c r="X1561" s="7">
        <f ca="1">AVERAGE(E1561:OFFSET(F1561,-$X$5+1,0))</f>
        <v>10789.3</v>
      </c>
      <c r="Y1561" s="7">
        <f ca="1">AVERAGE(E1561:OFFSET(F1561,-$Y$5+1,0))</f>
        <v>10806.9</v>
      </c>
      <c r="Z1561" s="7">
        <f t="shared" ca="1" si="364"/>
        <v>0</v>
      </c>
    </row>
    <row r="1562" spans="1:26">
      <c r="A1562" s="3" t="s">
        <v>99</v>
      </c>
      <c r="B1562" s="4">
        <v>43971</v>
      </c>
      <c r="C1562" s="3">
        <v>10903</v>
      </c>
      <c r="D1562" s="3">
        <v>10960</v>
      </c>
      <c r="E1562" s="3">
        <v>10853</v>
      </c>
      <c r="F1562" s="3">
        <v>10887</v>
      </c>
      <c r="G1562" s="3">
        <v>61752</v>
      </c>
      <c r="H1562" s="3">
        <v>0.79500000000000004</v>
      </c>
      <c r="I1562" s="2">
        <f t="shared" si="373"/>
        <v>1</v>
      </c>
      <c r="J1562" s="10">
        <f t="shared" si="375"/>
        <v>31</v>
      </c>
      <c r="K1562" s="10">
        <f t="shared" si="374"/>
        <v>-16</v>
      </c>
      <c r="L1562" s="10">
        <f t="shared" ca="1" si="363"/>
        <v>0</v>
      </c>
      <c r="M1562" s="10">
        <f t="shared" si="365"/>
        <v>0</v>
      </c>
      <c r="N1562" s="30">
        <f t="shared" si="366"/>
        <v>0</v>
      </c>
      <c r="O1562" s="10">
        <f t="shared" si="367"/>
        <v>0</v>
      </c>
      <c r="P1562" s="29">
        <f t="shared" ca="1" si="368"/>
        <v>-6700</v>
      </c>
      <c r="Q1562" s="12">
        <f t="shared" ca="1" si="369"/>
        <v>-19600</v>
      </c>
      <c r="R1562" s="10">
        <f t="shared" ca="1" si="370"/>
        <v>-0.30643980973289425</v>
      </c>
      <c r="S1562" s="10">
        <f t="shared" ca="1" si="360"/>
        <v>4.3348837209302324</v>
      </c>
      <c r="T1562" s="14">
        <f t="shared" ca="1" si="361"/>
        <v>0.28684945218271202</v>
      </c>
      <c r="U1562" s="12">
        <f t="shared" ca="1" si="371"/>
        <v>64900</v>
      </c>
      <c r="V1562" s="14">
        <f t="shared" ca="1" si="372"/>
        <v>-130.20030816640985</v>
      </c>
      <c r="W1562" s="12">
        <f t="shared" ca="1" si="362"/>
        <v>0</v>
      </c>
      <c r="X1562" s="7">
        <f ca="1">AVERAGE(E1562:OFFSET(F1562,-$X$5+1,0))</f>
        <v>10794.2</v>
      </c>
      <c r="Y1562" s="7">
        <f ca="1">AVERAGE(E1562:OFFSET(F1562,-$Y$5+1,0))</f>
        <v>10825.5</v>
      </c>
      <c r="Z1562" s="7">
        <f t="shared" ca="1" si="364"/>
        <v>0</v>
      </c>
    </row>
    <row r="1563" spans="1:26">
      <c r="A1563" s="3" t="s">
        <v>100</v>
      </c>
      <c r="B1563" s="4">
        <v>43972</v>
      </c>
      <c r="C1563" s="3">
        <v>10903</v>
      </c>
      <c r="D1563" s="3">
        <v>11008</v>
      </c>
      <c r="E1563" s="3">
        <v>10894</v>
      </c>
      <c r="F1563" s="3">
        <v>10952</v>
      </c>
      <c r="G1563" s="3">
        <v>116771</v>
      </c>
      <c r="H1563" s="3">
        <v>0.79500000000000004</v>
      </c>
      <c r="I1563" s="2">
        <f t="shared" si="373"/>
        <v>0</v>
      </c>
      <c r="J1563" s="10">
        <f t="shared" si="375"/>
        <v>16</v>
      </c>
      <c r="K1563" s="10">
        <f t="shared" si="374"/>
        <v>49</v>
      </c>
      <c r="L1563" s="10">
        <f t="shared" ca="1" si="363"/>
        <v>0</v>
      </c>
      <c r="M1563" s="10">
        <f t="shared" ca="1" si="365"/>
        <v>0</v>
      </c>
      <c r="N1563" s="30">
        <f t="shared" ca="1" si="366"/>
        <v>0</v>
      </c>
      <c r="O1563" s="10">
        <f t="shared" ca="1" si="367"/>
        <v>0</v>
      </c>
      <c r="P1563" s="29">
        <f t="shared" ca="1" si="368"/>
        <v>0</v>
      </c>
      <c r="Q1563" s="12">
        <f t="shared" ca="1" si="369"/>
        <v>-19600</v>
      </c>
      <c r="R1563" s="10">
        <f t="shared" ca="1" si="370"/>
        <v>0</v>
      </c>
      <c r="S1563" s="10">
        <f t="shared" ca="1" si="360"/>
        <v>4.3348837209302324</v>
      </c>
      <c r="T1563" s="14">
        <f t="shared" ca="1" si="361"/>
        <v>0.28692926395586227</v>
      </c>
      <c r="U1563" s="12">
        <f t="shared" ca="1" si="371"/>
        <v>64900</v>
      </c>
      <c r="V1563" s="14">
        <f t="shared" ca="1" si="372"/>
        <v>-130.20030816640985</v>
      </c>
      <c r="W1563" s="12">
        <f t="shared" ca="1" si="362"/>
        <v>0</v>
      </c>
      <c r="X1563" s="7">
        <f ca="1">AVERAGE(E1563:OFFSET(F1563,-$X$5+1,0))</f>
        <v>10830</v>
      </c>
      <c r="Y1563" s="7">
        <f ca="1">AVERAGE(E1563:OFFSET(F1563,-$Y$5+1,0))</f>
        <v>10840.65</v>
      </c>
      <c r="Z1563" s="7">
        <f t="shared" ca="1" si="364"/>
        <v>0</v>
      </c>
    </row>
    <row r="1564" spans="1:26">
      <c r="A1564" s="3" t="s">
        <v>100</v>
      </c>
      <c r="B1564" s="4">
        <v>43973</v>
      </c>
      <c r="C1564" s="3">
        <v>10928</v>
      </c>
      <c r="D1564" s="3">
        <v>10935</v>
      </c>
      <c r="E1564" s="3">
        <v>10723</v>
      </c>
      <c r="F1564" s="3">
        <v>10743</v>
      </c>
      <c r="G1564" s="3">
        <v>137601</v>
      </c>
      <c r="H1564" s="3">
        <v>0.79500000000000004</v>
      </c>
      <c r="I1564" s="2">
        <f t="shared" si="373"/>
        <v>0</v>
      </c>
      <c r="J1564" s="10">
        <f t="shared" si="375"/>
        <v>-24</v>
      </c>
      <c r="K1564" s="10">
        <f t="shared" si="374"/>
        <v>-185</v>
      </c>
      <c r="L1564" s="10">
        <f t="shared" ca="1" si="363"/>
        <v>0</v>
      </c>
      <c r="M1564" s="10">
        <f t="shared" ca="1" si="365"/>
        <v>0</v>
      </c>
      <c r="N1564" s="30">
        <f t="shared" ca="1" si="366"/>
        <v>0</v>
      </c>
      <c r="O1564" s="10">
        <f t="shared" ca="1" si="367"/>
        <v>0</v>
      </c>
      <c r="P1564" s="29">
        <f t="shared" ca="1" si="368"/>
        <v>0</v>
      </c>
      <c r="Q1564" s="12">
        <f t="shared" ca="1" si="369"/>
        <v>-19600</v>
      </c>
      <c r="R1564" s="10">
        <f t="shared" ca="1" si="370"/>
        <v>0</v>
      </c>
      <c r="S1564" s="10">
        <f t="shared" ca="1" si="360"/>
        <v>4.3348837209302324</v>
      </c>
      <c r="T1564" s="14">
        <f t="shared" ca="1" si="361"/>
        <v>0.28700907572901246</v>
      </c>
      <c r="U1564" s="12">
        <f t="shared" ca="1" si="371"/>
        <v>64900</v>
      </c>
      <c r="V1564" s="14">
        <f t="shared" ca="1" si="372"/>
        <v>-130.20030816640985</v>
      </c>
      <c r="W1564" s="12">
        <f t="shared" ca="1" si="362"/>
        <v>0</v>
      </c>
      <c r="X1564" s="7">
        <f ca="1">AVERAGE(E1564:OFFSET(F1564,-$X$5+1,0))</f>
        <v>10824.7</v>
      </c>
      <c r="Y1564" s="7">
        <f ca="1">AVERAGE(E1564:OFFSET(F1564,-$Y$5+1,0))</f>
        <v>10826.5</v>
      </c>
      <c r="Z1564" s="7">
        <f t="shared" ca="1" si="364"/>
        <v>0</v>
      </c>
    </row>
    <row r="1565" spans="1:26">
      <c r="A1565" s="3" t="s">
        <v>100</v>
      </c>
      <c r="B1565" s="4">
        <v>43976</v>
      </c>
      <c r="C1565" s="3">
        <v>10800</v>
      </c>
      <c r="D1565" s="3">
        <v>10840</v>
      </c>
      <c r="E1565" s="3">
        <v>10651</v>
      </c>
      <c r="F1565" s="3">
        <v>10817</v>
      </c>
      <c r="G1565" s="3">
        <v>120809</v>
      </c>
      <c r="H1565" s="3">
        <v>0.79500000000000004</v>
      </c>
      <c r="I1565" s="2">
        <f t="shared" si="373"/>
        <v>0</v>
      </c>
      <c r="J1565" s="10">
        <f t="shared" si="375"/>
        <v>57</v>
      </c>
      <c r="K1565" s="10">
        <f t="shared" si="374"/>
        <v>17</v>
      </c>
      <c r="L1565" s="10">
        <f t="shared" ca="1" si="363"/>
        <v>1</v>
      </c>
      <c r="M1565" s="10">
        <f t="shared" ca="1" si="365"/>
        <v>0</v>
      </c>
      <c r="N1565" s="30">
        <f t="shared" ca="1" si="366"/>
        <v>0</v>
      </c>
      <c r="O1565" s="10">
        <f t="shared" ca="1" si="367"/>
        <v>0</v>
      </c>
      <c r="P1565" s="29">
        <f t="shared" ca="1" si="368"/>
        <v>0</v>
      </c>
      <c r="Q1565" s="12">
        <f t="shared" ca="1" si="369"/>
        <v>-19600</v>
      </c>
      <c r="R1565" s="10">
        <f t="shared" ca="1" si="370"/>
        <v>0</v>
      </c>
      <c r="S1565" s="10">
        <f t="shared" ca="1" si="360"/>
        <v>4.3348837209302324</v>
      </c>
      <c r="T1565" s="14">
        <f t="shared" ca="1" si="361"/>
        <v>0.28708888750216272</v>
      </c>
      <c r="U1565" s="12">
        <f t="shared" ca="1" si="371"/>
        <v>64900</v>
      </c>
      <c r="V1565" s="14">
        <f t="shared" ca="1" si="372"/>
        <v>-130.20030816640985</v>
      </c>
      <c r="W1565" s="12">
        <f t="shared" ca="1" si="362"/>
        <v>0</v>
      </c>
      <c r="X1565" s="7">
        <f ca="1">AVERAGE(E1565:OFFSET(F1565,-$X$5+1,0))</f>
        <v>10822.8</v>
      </c>
      <c r="Y1565" s="7">
        <f ca="1">AVERAGE(E1565:OFFSET(F1565,-$Y$5+1,0))</f>
        <v>10804</v>
      </c>
      <c r="Z1565" s="7">
        <f t="shared" ca="1" si="364"/>
        <v>1</v>
      </c>
    </row>
    <row r="1566" spans="1:26">
      <c r="A1566" s="3" t="s">
        <v>100</v>
      </c>
      <c r="B1566" s="4">
        <v>43977</v>
      </c>
      <c r="C1566" s="3">
        <v>10896</v>
      </c>
      <c r="D1566" s="3">
        <v>11027</v>
      </c>
      <c r="E1566" s="3">
        <v>10891</v>
      </c>
      <c r="F1566" s="3">
        <v>10984</v>
      </c>
      <c r="G1566" s="3">
        <v>106978</v>
      </c>
      <c r="H1566" s="3">
        <v>0.79500000000000004</v>
      </c>
      <c r="I1566" s="2">
        <f t="shared" si="373"/>
        <v>0</v>
      </c>
      <c r="J1566" s="10">
        <f t="shared" si="375"/>
        <v>79</v>
      </c>
      <c r="K1566" s="10">
        <f t="shared" si="374"/>
        <v>88</v>
      </c>
      <c r="L1566" s="10">
        <f t="shared" ca="1" si="363"/>
        <v>0</v>
      </c>
      <c r="M1566" s="10">
        <f t="shared" ca="1" si="365"/>
        <v>1</v>
      </c>
      <c r="N1566" s="30">
        <f t="shared" ca="1" si="366"/>
        <v>2179200</v>
      </c>
      <c r="O1566" s="10">
        <f t="shared" ca="1" si="367"/>
        <v>2179200</v>
      </c>
      <c r="P1566" s="29">
        <f t="shared" ca="1" si="368"/>
        <v>17100</v>
      </c>
      <c r="Q1566" s="12">
        <f t="shared" ca="1" si="369"/>
        <v>-2500</v>
      </c>
      <c r="R1566" s="10">
        <f t="shared" ca="1" si="370"/>
        <v>0.7846916299559471</v>
      </c>
      <c r="S1566" s="10">
        <f t="shared" ca="1" si="360"/>
        <v>3.6171515511355201</v>
      </c>
      <c r="T1566" s="14">
        <f t="shared" ca="1" si="361"/>
        <v>0.22493798542418753</v>
      </c>
      <c r="U1566" s="12">
        <f t="shared" ca="1" si="371"/>
        <v>64900</v>
      </c>
      <c r="V1566" s="14">
        <f t="shared" ca="1" si="372"/>
        <v>-103.85208012326656</v>
      </c>
      <c r="W1566" s="12">
        <f t="shared" ca="1" si="362"/>
        <v>0</v>
      </c>
      <c r="X1566" s="7">
        <f ca="1">AVERAGE(E1566:OFFSET(F1566,-$X$5+1,0))</f>
        <v>10839.5</v>
      </c>
      <c r="Y1566" s="7">
        <f ca="1">AVERAGE(E1566:OFFSET(F1566,-$Y$5+1,0))</f>
        <v>10814.4</v>
      </c>
      <c r="Z1566" s="7">
        <f t="shared" ca="1" si="364"/>
        <v>0</v>
      </c>
    </row>
    <row r="1567" spans="1:26">
      <c r="A1567" s="3" t="s">
        <v>100</v>
      </c>
      <c r="B1567" s="4">
        <v>43978</v>
      </c>
      <c r="C1567" s="3">
        <v>10962</v>
      </c>
      <c r="D1567" s="3">
        <v>11037</v>
      </c>
      <c r="E1567" s="3">
        <v>10926</v>
      </c>
      <c r="F1567" s="3">
        <v>10972</v>
      </c>
      <c r="G1567" s="3">
        <v>103162</v>
      </c>
      <c r="H1567" s="3">
        <v>0.79500000000000004</v>
      </c>
      <c r="I1567" s="2">
        <f t="shared" si="373"/>
        <v>0</v>
      </c>
      <c r="J1567" s="10">
        <f t="shared" si="375"/>
        <v>-22</v>
      </c>
      <c r="K1567" s="10">
        <f t="shared" si="374"/>
        <v>10</v>
      </c>
      <c r="L1567" s="10">
        <f t="shared" ca="1" si="363"/>
        <v>0</v>
      </c>
      <c r="M1567" s="10">
        <f t="shared" ca="1" si="365"/>
        <v>1</v>
      </c>
      <c r="N1567" s="30">
        <f t="shared" ca="1" si="366"/>
        <v>0</v>
      </c>
      <c r="O1567" s="10">
        <f t="shared" ca="1" si="367"/>
        <v>2179200</v>
      </c>
      <c r="P1567" s="29">
        <f t="shared" ca="1" si="368"/>
        <v>-2400</v>
      </c>
      <c r="Q1567" s="12">
        <f t="shared" ca="1" si="369"/>
        <v>-4900</v>
      </c>
      <c r="R1567" s="10">
        <f t="shared" ca="1" si="370"/>
        <v>-0.11013215859030837</v>
      </c>
      <c r="S1567" s="10">
        <f t="shared" ca="1" si="360"/>
        <v>3.5948864479738756</v>
      </c>
      <c r="T1567" s="14">
        <f t="shared" ca="1" si="361"/>
        <v>0.22307938345555767</v>
      </c>
      <c r="U1567" s="12">
        <f t="shared" ca="1" si="371"/>
        <v>64900</v>
      </c>
      <c r="V1567" s="14">
        <f t="shared" ca="1" si="372"/>
        <v>-107.55007704160246</v>
      </c>
      <c r="W1567" s="12">
        <f t="shared" ca="1" si="362"/>
        <v>0</v>
      </c>
      <c r="X1567" s="7">
        <f ca="1">AVERAGE(E1567:OFFSET(F1567,-$X$5+1,0))</f>
        <v>10855.3</v>
      </c>
      <c r="Y1567" s="7">
        <f ca="1">AVERAGE(E1567:OFFSET(F1567,-$Y$5+1,0))</f>
        <v>10824.75</v>
      </c>
      <c r="Z1567" s="7">
        <f t="shared" ca="1" si="364"/>
        <v>0</v>
      </c>
    </row>
    <row r="1568" spans="1:26">
      <c r="A1568" s="3" t="s">
        <v>100</v>
      </c>
      <c r="B1568" s="4">
        <v>43979</v>
      </c>
      <c r="C1568" s="3">
        <v>11066</v>
      </c>
      <c r="D1568" s="3">
        <v>11077</v>
      </c>
      <c r="E1568" s="3">
        <v>10856</v>
      </c>
      <c r="F1568" s="3">
        <v>10907</v>
      </c>
      <c r="G1568" s="3">
        <v>142469</v>
      </c>
      <c r="H1568" s="3">
        <v>0.79500000000000004</v>
      </c>
      <c r="I1568" s="2">
        <f t="shared" si="373"/>
        <v>0</v>
      </c>
      <c r="J1568" s="10">
        <f t="shared" si="375"/>
        <v>94</v>
      </c>
      <c r="K1568" s="10">
        <f t="shared" si="374"/>
        <v>-159</v>
      </c>
      <c r="L1568" s="10">
        <f t="shared" ca="1" si="363"/>
        <v>0</v>
      </c>
      <c r="M1568" s="10">
        <f t="shared" ca="1" si="365"/>
        <v>1</v>
      </c>
      <c r="N1568" s="30">
        <f t="shared" ca="1" si="366"/>
        <v>0</v>
      </c>
      <c r="O1568" s="10">
        <f t="shared" ca="1" si="367"/>
        <v>2179200</v>
      </c>
      <c r="P1568" s="29">
        <f t="shared" ca="1" si="368"/>
        <v>-13000</v>
      </c>
      <c r="Q1568" s="12">
        <f t="shared" ca="1" si="369"/>
        <v>-17900</v>
      </c>
      <c r="R1568" s="10">
        <f t="shared" ca="1" si="370"/>
        <v>-0.59654919236417037</v>
      </c>
      <c r="S1568" s="10">
        <f t="shared" ca="1" si="360"/>
        <v>3.4742838058483003</v>
      </c>
      <c r="T1568" s="14">
        <f t="shared" ca="1" si="361"/>
        <v>0.21246448586305916</v>
      </c>
      <c r="U1568" s="12">
        <f t="shared" ca="1" si="371"/>
        <v>64900</v>
      </c>
      <c r="V1568" s="14">
        <f t="shared" ca="1" si="372"/>
        <v>-127.5808936825886</v>
      </c>
      <c r="W1568" s="12">
        <f t="shared" ca="1" si="362"/>
        <v>0</v>
      </c>
      <c r="X1568" s="7">
        <f ca="1">AVERAGE(E1568:OFFSET(F1568,-$X$5+1,0))</f>
        <v>10847</v>
      </c>
      <c r="Y1568" s="7">
        <f ca="1">AVERAGE(E1568:OFFSET(F1568,-$Y$5+1,0))</f>
        <v>10838.5</v>
      </c>
      <c r="Z1568" s="7">
        <f t="shared" ca="1" si="364"/>
        <v>0</v>
      </c>
    </row>
    <row r="1569" spans="1:26">
      <c r="A1569" s="3" t="s">
        <v>100</v>
      </c>
      <c r="B1569" s="4">
        <v>43980</v>
      </c>
      <c r="C1569" s="3">
        <v>10888</v>
      </c>
      <c r="D1569" s="3">
        <v>10950</v>
      </c>
      <c r="E1569" s="3">
        <v>10806</v>
      </c>
      <c r="F1569" s="3">
        <v>10922</v>
      </c>
      <c r="G1569" s="3">
        <v>115914</v>
      </c>
      <c r="H1569" s="3">
        <v>0.79500000000000004</v>
      </c>
      <c r="I1569" s="2">
        <f t="shared" si="373"/>
        <v>0</v>
      </c>
      <c r="J1569" s="10">
        <f t="shared" si="375"/>
        <v>-19</v>
      </c>
      <c r="K1569" s="10">
        <f t="shared" si="374"/>
        <v>34</v>
      </c>
      <c r="L1569" s="10">
        <f t="shared" ca="1" si="363"/>
        <v>0</v>
      </c>
      <c r="M1569" s="10">
        <f t="shared" ca="1" si="365"/>
        <v>1</v>
      </c>
      <c r="N1569" s="30">
        <f t="shared" ca="1" si="366"/>
        <v>0</v>
      </c>
      <c r="O1569" s="10">
        <f t="shared" ca="1" si="367"/>
        <v>2179200</v>
      </c>
      <c r="P1569" s="29">
        <f t="shared" ca="1" si="368"/>
        <v>3000</v>
      </c>
      <c r="Q1569" s="12">
        <f t="shared" ca="1" si="369"/>
        <v>-14900</v>
      </c>
      <c r="R1569" s="10">
        <f t="shared" ca="1" si="370"/>
        <v>0.13766519823788545</v>
      </c>
      <c r="S1569" s="10">
        <f t="shared" ca="1" si="360"/>
        <v>3.5021151848003562</v>
      </c>
      <c r="T1569" s="14">
        <f t="shared" ca="1" si="361"/>
        <v>0.21493742861860834</v>
      </c>
      <c r="U1569" s="12">
        <f t="shared" ca="1" si="371"/>
        <v>64900</v>
      </c>
      <c r="V1569" s="14">
        <f t="shared" ca="1" si="372"/>
        <v>-122.95839753466872</v>
      </c>
      <c r="W1569" s="12">
        <f t="shared" ca="1" si="362"/>
        <v>0</v>
      </c>
      <c r="X1569" s="7">
        <f ca="1">AVERAGE(E1569:OFFSET(F1569,-$X$5+1,0))</f>
        <v>10873.2</v>
      </c>
      <c r="Y1569" s="7">
        <f ca="1">AVERAGE(E1569:OFFSET(F1569,-$Y$5+1,0))</f>
        <v>10848.95</v>
      </c>
      <c r="Z1569" s="7">
        <f t="shared" ca="1" si="364"/>
        <v>0</v>
      </c>
    </row>
    <row r="1570" spans="1:26">
      <c r="A1570" s="3" t="s">
        <v>100</v>
      </c>
      <c r="B1570" s="4">
        <v>43983</v>
      </c>
      <c r="C1570" s="3">
        <v>10983</v>
      </c>
      <c r="D1570" s="3">
        <v>11103</v>
      </c>
      <c r="E1570" s="3">
        <v>10971</v>
      </c>
      <c r="F1570" s="3">
        <v>11057</v>
      </c>
      <c r="G1570" s="3">
        <v>105285</v>
      </c>
      <c r="H1570" s="3">
        <v>0.79500000000000004</v>
      </c>
      <c r="I1570" s="2">
        <f t="shared" si="373"/>
        <v>0</v>
      </c>
      <c r="J1570" s="10">
        <f t="shared" si="375"/>
        <v>61</v>
      </c>
      <c r="K1570" s="10">
        <f t="shared" si="374"/>
        <v>74</v>
      </c>
      <c r="L1570" s="10">
        <f t="shared" ca="1" si="363"/>
        <v>0</v>
      </c>
      <c r="M1570" s="10">
        <f t="shared" ca="1" si="365"/>
        <v>1</v>
      </c>
      <c r="N1570" s="30">
        <f t="shared" ca="1" si="366"/>
        <v>0</v>
      </c>
      <c r="O1570" s="10">
        <f t="shared" ca="1" si="367"/>
        <v>2179200</v>
      </c>
      <c r="P1570" s="29">
        <f t="shared" ca="1" si="368"/>
        <v>27000</v>
      </c>
      <c r="Q1570" s="12">
        <f t="shared" ca="1" si="369"/>
        <v>12100</v>
      </c>
      <c r="R1570" s="10">
        <f t="shared" ca="1" si="370"/>
        <v>1.2389867841409692</v>
      </c>
      <c r="S1570" s="10">
        <f t="shared" ca="1" si="360"/>
        <v>4.7556507914564179</v>
      </c>
      <c r="T1570" s="14">
        <f t="shared" ca="1" si="361"/>
        <v>0.32131656766821742</v>
      </c>
      <c r="U1570" s="12">
        <f t="shared" ca="1" si="371"/>
        <v>64900</v>
      </c>
      <c r="V1570" s="14">
        <f t="shared" ca="1" si="372"/>
        <v>-81.355932203389827</v>
      </c>
      <c r="W1570" s="12">
        <f t="shared" ca="1" si="362"/>
        <v>0</v>
      </c>
      <c r="X1570" s="7">
        <f ca="1">AVERAGE(E1570:OFFSET(F1570,-$X$5+1,0))</f>
        <v>10929.2</v>
      </c>
      <c r="Y1570" s="7">
        <f ca="1">AVERAGE(E1570:OFFSET(F1570,-$Y$5+1,0))</f>
        <v>10876</v>
      </c>
      <c r="Z1570" s="7">
        <f t="shared" ca="1" si="364"/>
        <v>0</v>
      </c>
    </row>
    <row r="1571" spans="1:26">
      <c r="A1571" s="3" t="s">
        <v>100</v>
      </c>
      <c r="B1571" s="4">
        <v>43984</v>
      </c>
      <c r="C1571" s="3">
        <v>11080</v>
      </c>
      <c r="D1571" s="3">
        <v>11140</v>
      </c>
      <c r="E1571" s="3">
        <v>11072</v>
      </c>
      <c r="F1571" s="3">
        <v>11106</v>
      </c>
      <c r="G1571" s="3">
        <v>83041</v>
      </c>
      <c r="H1571" s="3">
        <v>0.79500000000000004</v>
      </c>
      <c r="I1571" s="2">
        <f t="shared" si="373"/>
        <v>0</v>
      </c>
      <c r="J1571" s="10">
        <f t="shared" si="375"/>
        <v>23</v>
      </c>
      <c r="K1571" s="10">
        <f t="shared" si="374"/>
        <v>26</v>
      </c>
      <c r="L1571" s="10">
        <f t="shared" ca="1" si="363"/>
        <v>0</v>
      </c>
      <c r="M1571" s="10">
        <f t="shared" ca="1" si="365"/>
        <v>1</v>
      </c>
      <c r="N1571" s="30">
        <f t="shared" ca="1" si="366"/>
        <v>0</v>
      </c>
      <c r="O1571" s="10">
        <f t="shared" ca="1" si="367"/>
        <v>2179200</v>
      </c>
      <c r="P1571" s="29">
        <f t="shared" ca="1" si="368"/>
        <v>9800</v>
      </c>
      <c r="Q1571" s="12">
        <f t="shared" ca="1" si="369"/>
        <v>21900</v>
      </c>
      <c r="R1571" s="10">
        <f t="shared" ca="1" si="370"/>
        <v>0.44970631424375918</v>
      </c>
      <c r="S1571" s="10">
        <f t="shared" ca="1" si="360"/>
        <v>5.0897444759337338</v>
      </c>
      <c r="T1571" s="14">
        <f t="shared" ca="1" si="361"/>
        <v>0.34983317278433618</v>
      </c>
      <c r="U1571" s="12">
        <f t="shared" ca="1" si="371"/>
        <v>64900</v>
      </c>
      <c r="V1571" s="14">
        <f t="shared" ca="1" si="372"/>
        <v>-66.2557781201849</v>
      </c>
      <c r="W1571" s="12">
        <f t="shared" ca="1" si="362"/>
        <v>0</v>
      </c>
      <c r="X1571" s="7">
        <f ca="1">AVERAGE(E1571:OFFSET(F1571,-$X$5+1,0))</f>
        <v>10959.5</v>
      </c>
      <c r="Y1571" s="7">
        <f ca="1">AVERAGE(E1571:OFFSET(F1571,-$Y$5+1,0))</f>
        <v>10899.5</v>
      </c>
      <c r="Z1571" s="7">
        <f t="shared" ca="1" si="364"/>
        <v>0</v>
      </c>
    </row>
    <row r="1572" spans="1:26">
      <c r="A1572" s="3" t="s">
        <v>100</v>
      </c>
      <c r="B1572" s="4">
        <v>43985</v>
      </c>
      <c r="C1572" s="3">
        <v>11250</v>
      </c>
      <c r="D1572" s="3">
        <v>11299</v>
      </c>
      <c r="E1572" s="3">
        <v>11206</v>
      </c>
      <c r="F1572" s="3">
        <v>11283</v>
      </c>
      <c r="G1572" s="3">
        <v>109433</v>
      </c>
      <c r="H1572" s="3">
        <v>0.79500000000000004</v>
      </c>
      <c r="I1572" s="2">
        <f t="shared" si="373"/>
        <v>0</v>
      </c>
      <c r="J1572" s="10">
        <f t="shared" si="375"/>
        <v>144</v>
      </c>
      <c r="K1572" s="10">
        <f t="shared" si="374"/>
        <v>33</v>
      </c>
      <c r="L1572" s="10">
        <f t="shared" ca="1" si="363"/>
        <v>0</v>
      </c>
      <c r="M1572" s="10">
        <f t="shared" ca="1" si="365"/>
        <v>1</v>
      </c>
      <c r="N1572" s="30">
        <f t="shared" ca="1" si="366"/>
        <v>0</v>
      </c>
      <c r="O1572" s="10">
        <f t="shared" ca="1" si="367"/>
        <v>2179200</v>
      </c>
      <c r="P1572" s="29">
        <f t="shared" ca="1" si="368"/>
        <v>35400</v>
      </c>
      <c r="Q1572" s="12">
        <f t="shared" ca="1" si="369"/>
        <v>57300</v>
      </c>
      <c r="R1572" s="10">
        <f t="shared" ca="1" si="370"/>
        <v>1.6244493392070485</v>
      </c>
      <c r="S1572" s="10">
        <f t="shared" ca="1" si="360"/>
        <v>5.0851362871823227</v>
      </c>
      <c r="T1572" s="14">
        <f t="shared" ca="1" si="361"/>
        <v>0.34687022073565454</v>
      </c>
      <c r="U1572" s="12">
        <f t="shared" ca="1" si="371"/>
        <v>64900</v>
      </c>
      <c r="V1572" s="14">
        <f t="shared" ca="1" si="372"/>
        <v>-11.710323574730355</v>
      </c>
      <c r="W1572" s="12">
        <f t="shared" ca="1" si="362"/>
        <v>0</v>
      </c>
      <c r="X1572" s="7">
        <f ca="1">AVERAGE(E1572:OFFSET(F1572,-$X$5+1,0))</f>
        <v>11018.6</v>
      </c>
      <c r="Y1572" s="7">
        <f ca="1">AVERAGE(E1572:OFFSET(F1572,-$Y$5+1,0))</f>
        <v>10936.95</v>
      </c>
      <c r="Z1572" s="7">
        <f t="shared" ca="1" si="364"/>
        <v>0</v>
      </c>
    </row>
    <row r="1573" spans="1:26">
      <c r="A1573" s="3" t="s">
        <v>100</v>
      </c>
      <c r="B1573" s="4">
        <v>43986</v>
      </c>
      <c r="C1573" s="3">
        <v>11419</v>
      </c>
      <c r="D1573" s="3">
        <v>11425</v>
      </c>
      <c r="E1573" s="3">
        <v>11306</v>
      </c>
      <c r="F1573" s="3">
        <v>11357</v>
      </c>
      <c r="G1573" s="3">
        <v>109338</v>
      </c>
      <c r="H1573" s="3">
        <v>0.79500000000000004</v>
      </c>
      <c r="I1573" s="2">
        <f t="shared" si="373"/>
        <v>0</v>
      </c>
      <c r="J1573" s="10">
        <f t="shared" si="375"/>
        <v>136</v>
      </c>
      <c r="K1573" s="10">
        <f t="shared" si="374"/>
        <v>-62</v>
      </c>
      <c r="L1573" s="10">
        <f t="shared" ca="1" si="363"/>
        <v>0</v>
      </c>
      <c r="M1573" s="10">
        <f t="shared" ca="1" si="365"/>
        <v>1</v>
      </c>
      <c r="N1573" s="30">
        <f t="shared" ca="1" si="366"/>
        <v>0</v>
      </c>
      <c r="O1573" s="10">
        <f t="shared" ca="1" si="367"/>
        <v>2179200</v>
      </c>
      <c r="P1573" s="29">
        <f t="shared" ca="1" si="368"/>
        <v>14800</v>
      </c>
      <c r="Q1573" s="12">
        <f t="shared" ca="1" si="369"/>
        <v>72100</v>
      </c>
      <c r="R1573" s="10">
        <f t="shared" ca="1" si="370"/>
        <v>0.67914831130690156</v>
      </c>
      <c r="S1573" s="10">
        <f t="shared" ca="1" si="360"/>
        <v>5.1335222690721416</v>
      </c>
      <c r="T1573" s="14">
        <f t="shared" ca="1" si="361"/>
        <v>0.35067849771275522</v>
      </c>
      <c r="U1573" s="12">
        <f t="shared" ca="1" si="371"/>
        <v>72100</v>
      </c>
      <c r="V1573" s="14">
        <f t="shared" ca="1" si="372"/>
        <v>0</v>
      </c>
      <c r="W1573" s="12">
        <f t="shared" ca="1" si="362"/>
        <v>0</v>
      </c>
      <c r="X1573" s="7">
        <f ca="1">AVERAGE(E1573:OFFSET(F1573,-$X$5+1,0))</f>
        <v>11108.6</v>
      </c>
      <c r="Y1573" s="7">
        <f ca="1">AVERAGE(E1573:OFFSET(F1573,-$Y$5+1,0))</f>
        <v>10977.8</v>
      </c>
      <c r="Z1573" s="7">
        <f t="shared" ca="1" si="364"/>
        <v>0</v>
      </c>
    </row>
    <row r="1574" spans="1:26">
      <c r="A1574" s="3" t="s">
        <v>100</v>
      </c>
      <c r="B1574" s="4">
        <v>43987</v>
      </c>
      <c r="C1574" s="3">
        <v>11399</v>
      </c>
      <c r="D1574" s="3">
        <v>11473</v>
      </c>
      <c r="E1574" s="3">
        <v>11377</v>
      </c>
      <c r="F1574" s="3">
        <v>11457</v>
      </c>
      <c r="G1574" s="3">
        <v>85304</v>
      </c>
      <c r="H1574" s="3">
        <v>0.79500000000000004</v>
      </c>
      <c r="I1574" s="2">
        <f t="shared" si="373"/>
        <v>0</v>
      </c>
      <c r="J1574" s="10">
        <f t="shared" si="375"/>
        <v>42</v>
      </c>
      <c r="K1574" s="10">
        <f t="shared" si="374"/>
        <v>58</v>
      </c>
      <c r="L1574" s="10">
        <f t="shared" ca="1" si="363"/>
        <v>0</v>
      </c>
      <c r="M1574" s="10">
        <f t="shared" ca="1" si="365"/>
        <v>1</v>
      </c>
      <c r="N1574" s="30">
        <f t="shared" ca="1" si="366"/>
        <v>0</v>
      </c>
      <c r="O1574" s="10">
        <f t="shared" ca="1" si="367"/>
        <v>2179200</v>
      </c>
      <c r="P1574" s="29">
        <f t="shared" ca="1" si="368"/>
        <v>20000</v>
      </c>
      <c r="Q1574" s="12">
        <f t="shared" ca="1" si="369"/>
        <v>92100</v>
      </c>
      <c r="R1574" s="10">
        <f t="shared" ca="1" si="370"/>
        <v>0.91776798825256978</v>
      </c>
      <c r="S1574" s="10">
        <f t="shared" ca="1" si="360"/>
        <v>5.3639317066427044</v>
      </c>
      <c r="T1574" s="14">
        <f t="shared" ca="1" si="361"/>
        <v>0.36950208719252697</v>
      </c>
      <c r="U1574" s="12">
        <f t="shared" ca="1" si="371"/>
        <v>92100</v>
      </c>
      <c r="V1574" s="14">
        <f t="shared" ca="1" si="372"/>
        <v>0</v>
      </c>
      <c r="W1574" s="12">
        <f t="shared" ca="1" si="362"/>
        <v>0</v>
      </c>
      <c r="X1574" s="7">
        <f ca="1">AVERAGE(E1574:OFFSET(F1574,-$X$5+1,0))</f>
        <v>11219.2</v>
      </c>
      <c r="Y1574" s="7">
        <f ca="1">AVERAGE(E1574:OFFSET(F1574,-$Y$5+1,0))</f>
        <v>11046.2</v>
      </c>
      <c r="Z1574" s="7">
        <f t="shared" ca="1" si="364"/>
        <v>0</v>
      </c>
    </row>
    <row r="1575" spans="1:26">
      <c r="A1575" s="3" t="s">
        <v>100</v>
      </c>
      <c r="B1575" s="4">
        <v>43990</v>
      </c>
      <c r="C1575" s="3">
        <v>11550</v>
      </c>
      <c r="D1575" s="3">
        <v>11626</v>
      </c>
      <c r="E1575" s="3">
        <v>11491</v>
      </c>
      <c r="F1575" s="3">
        <v>11570</v>
      </c>
      <c r="G1575" s="3">
        <v>107836</v>
      </c>
      <c r="H1575" s="3">
        <v>0.79500000000000004</v>
      </c>
      <c r="I1575" s="2">
        <f t="shared" si="373"/>
        <v>0</v>
      </c>
      <c r="J1575" s="10">
        <f t="shared" si="375"/>
        <v>93</v>
      </c>
      <c r="K1575" s="10">
        <f t="shared" si="374"/>
        <v>20</v>
      </c>
      <c r="L1575" s="10">
        <f t="shared" ca="1" si="363"/>
        <v>0</v>
      </c>
      <c r="M1575" s="10">
        <f t="shared" ca="1" si="365"/>
        <v>1</v>
      </c>
      <c r="N1575" s="30">
        <f t="shared" ca="1" si="366"/>
        <v>0</v>
      </c>
      <c r="O1575" s="10">
        <f t="shared" ca="1" si="367"/>
        <v>2179200</v>
      </c>
      <c r="P1575" s="29">
        <f t="shared" ca="1" si="368"/>
        <v>22600</v>
      </c>
      <c r="Q1575" s="12">
        <f t="shared" ca="1" si="369"/>
        <v>114700</v>
      </c>
      <c r="R1575" s="10">
        <f t="shared" ca="1" si="370"/>
        <v>1.0370778267254037</v>
      </c>
      <c r="S1575" s="10">
        <f t="shared" ca="1" si="360"/>
        <v>5.7694523167668947</v>
      </c>
      <c r="T1575" s="14">
        <f t="shared" ca="1" si="361"/>
        <v>0.40276984796631715</v>
      </c>
      <c r="U1575" s="12">
        <f t="shared" ca="1" si="371"/>
        <v>114700</v>
      </c>
      <c r="V1575" s="14">
        <f t="shared" ca="1" si="372"/>
        <v>0</v>
      </c>
      <c r="W1575" s="12">
        <f t="shared" ca="1" si="362"/>
        <v>0</v>
      </c>
      <c r="X1575" s="7">
        <f ca="1">AVERAGE(E1575:OFFSET(F1575,-$X$5+1,0))</f>
        <v>11322.5</v>
      </c>
      <c r="Y1575" s="7">
        <f ca="1">AVERAGE(E1575:OFFSET(F1575,-$Y$5+1,0))</f>
        <v>11125.85</v>
      </c>
      <c r="Z1575" s="7">
        <f t="shared" ca="1" si="364"/>
        <v>0</v>
      </c>
    </row>
    <row r="1576" spans="1:26">
      <c r="A1576" s="3" t="s">
        <v>100</v>
      </c>
      <c r="B1576" s="4">
        <v>43991</v>
      </c>
      <c r="C1576" s="3">
        <v>11596</v>
      </c>
      <c r="D1576" s="3">
        <v>11622</v>
      </c>
      <c r="E1576" s="3">
        <v>11521</v>
      </c>
      <c r="F1576" s="3">
        <v>11609</v>
      </c>
      <c r="G1576" s="3">
        <v>90763</v>
      </c>
      <c r="H1576" s="3">
        <v>0.79500000000000004</v>
      </c>
      <c r="I1576" s="2">
        <f t="shared" si="373"/>
        <v>0</v>
      </c>
      <c r="J1576" s="10">
        <f t="shared" si="375"/>
        <v>26</v>
      </c>
      <c r="K1576" s="10">
        <f t="shared" si="374"/>
        <v>13</v>
      </c>
      <c r="L1576" s="10">
        <f t="shared" ca="1" si="363"/>
        <v>0</v>
      </c>
      <c r="M1576" s="10">
        <f t="shared" ca="1" si="365"/>
        <v>1</v>
      </c>
      <c r="N1576" s="30">
        <f t="shared" ca="1" si="366"/>
        <v>0</v>
      </c>
      <c r="O1576" s="10">
        <f t="shared" ca="1" si="367"/>
        <v>2179200</v>
      </c>
      <c r="P1576" s="29">
        <f t="shared" ca="1" si="368"/>
        <v>7800</v>
      </c>
      <c r="Q1576" s="12">
        <f t="shared" ca="1" si="369"/>
        <v>122500</v>
      </c>
      <c r="R1576" s="10">
        <f t="shared" ca="1" si="370"/>
        <v>0.35792951541850221</v>
      </c>
      <c r="S1576" s="10">
        <f t="shared" ca="1" si="360"/>
        <v>5.8593119974194146</v>
      </c>
      <c r="T1576" s="14">
        <f t="shared" ca="1" si="361"/>
        <v>0.41056203949249809</v>
      </c>
      <c r="U1576" s="12">
        <f t="shared" ca="1" si="371"/>
        <v>122500</v>
      </c>
      <c r="V1576" s="14">
        <f t="shared" ca="1" si="372"/>
        <v>0</v>
      </c>
      <c r="W1576" s="12">
        <f t="shared" ca="1" si="362"/>
        <v>0</v>
      </c>
      <c r="X1576" s="7">
        <f ca="1">AVERAGE(E1576:OFFSET(F1576,-$X$5+1,0))</f>
        <v>11417.7</v>
      </c>
      <c r="Y1576" s="7">
        <f ca="1">AVERAGE(E1576:OFFSET(F1576,-$Y$5+1,0))</f>
        <v>11188.6</v>
      </c>
      <c r="Z1576" s="7">
        <f t="shared" ca="1" si="364"/>
        <v>0</v>
      </c>
    </row>
    <row r="1577" spans="1:26">
      <c r="A1577" s="3" t="s">
        <v>100</v>
      </c>
      <c r="B1577" s="4">
        <v>43992</v>
      </c>
      <c r="C1577" s="3">
        <v>11634</v>
      </c>
      <c r="D1577" s="3">
        <v>11730</v>
      </c>
      <c r="E1577" s="3">
        <v>11596</v>
      </c>
      <c r="F1577" s="3">
        <v>11706</v>
      </c>
      <c r="G1577" s="3">
        <v>95474</v>
      </c>
      <c r="H1577" s="3">
        <v>0.79500000000000004</v>
      </c>
      <c r="I1577" s="2">
        <f t="shared" si="373"/>
        <v>0</v>
      </c>
      <c r="J1577" s="10">
        <f t="shared" si="375"/>
        <v>25</v>
      </c>
      <c r="K1577" s="10">
        <f t="shared" si="374"/>
        <v>72</v>
      </c>
      <c r="L1577" s="10">
        <f t="shared" ca="1" si="363"/>
        <v>0</v>
      </c>
      <c r="M1577" s="10">
        <f t="shared" ca="1" si="365"/>
        <v>1</v>
      </c>
      <c r="N1577" s="30">
        <f t="shared" ca="1" si="366"/>
        <v>0</v>
      </c>
      <c r="O1577" s="10">
        <f t="shared" ca="1" si="367"/>
        <v>2179200</v>
      </c>
      <c r="P1577" s="29">
        <f t="shared" ca="1" si="368"/>
        <v>19400</v>
      </c>
      <c r="Q1577" s="12">
        <f t="shared" ca="1" si="369"/>
        <v>141900</v>
      </c>
      <c r="R1577" s="10">
        <f t="shared" ca="1" si="370"/>
        <v>0.89023494860499264</v>
      </c>
      <c r="S1577" s="10">
        <f t="shared" ca="1" si="360"/>
        <v>6.0459436418515704</v>
      </c>
      <c r="T1577" s="14">
        <f t="shared" ca="1" si="361"/>
        <v>0.42735289651596753</v>
      </c>
      <c r="U1577" s="12">
        <f t="shared" ca="1" si="371"/>
        <v>141900</v>
      </c>
      <c r="V1577" s="14">
        <f t="shared" ca="1" si="372"/>
        <v>0</v>
      </c>
      <c r="W1577" s="12">
        <f t="shared" ca="1" si="362"/>
        <v>0</v>
      </c>
      <c r="X1577" s="7">
        <f ca="1">AVERAGE(E1577:OFFSET(F1577,-$X$5+1,0))</f>
        <v>11499</v>
      </c>
      <c r="Y1577" s="7">
        <f ca="1">AVERAGE(E1577:OFFSET(F1577,-$Y$5+1,0))</f>
        <v>11258.8</v>
      </c>
      <c r="Z1577" s="7">
        <f t="shared" ca="1" si="364"/>
        <v>0</v>
      </c>
    </row>
    <row r="1578" spans="1:26">
      <c r="A1578" s="3" t="s">
        <v>100</v>
      </c>
      <c r="B1578" s="4">
        <v>43993</v>
      </c>
      <c r="C1578" s="3">
        <v>11689</v>
      </c>
      <c r="D1578" s="3">
        <v>11738</v>
      </c>
      <c r="E1578" s="3">
        <v>11475</v>
      </c>
      <c r="F1578" s="3">
        <v>11491</v>
      </c>
      <c r="G1578" s="3">
        <v>144385</v>
      </c>
      <c r="H1578" s="3">
        <v>0.79500000000000004</v>
      </c>
      <c r="I1578" s="2">
        <f t="shared" si="373"/>
        <v>0</v>
      </c>
      <c r="J1578" s="10">
        <f t="shared" si="375"/>
        <v>-17</v>
      </c>
      <c r="K1578" s="10">
        <f t="shared" si="374"/>
        <v>-198</v>
      </c>
      <c r="L1578" s="10">
        <f t="shared" ca="1" si="363"/>
        <v>0</v>
      </c>
      <c r="M1578" s="10">
        <f t="shared" ca="1" si="365"/>
        <v>1</v>
      </c>
      <c r="N1578" s="30">
        <f t="shared" ca="1" si="366"/>
        <v>0</v>
      </c>
      <c r="O1578" s="10">
        <f t="shared" ca="1" si="367"/>
        <v>2179200</v>
      </c>
      <c r="P1578" s="29">
        <f t="shared" ca="1" si="368"/>
        <v>-43000</v>
      </c>
      <c r="Q1578" s="12">
        <f t="shared" ca="1" si="369"/>
        <v>98900</v>
      </c>
      <c r="R1578" s="10">
        <f t="shared" ca="1" si="370"/>
        <v>-1.9732011747430249</v>
      </c>
      <c r="S1578" s="10">
        <f t="shared" ca="1" si="360"/>
        <v>5.5321305960692149</v>
      </c>
      <c r="T1578" s="14">
        <f t="shared" ca="1" si="361"/>
        <v>0.38380145155408157</v>
      </c>
      <c r="U1578" s="12">
        <f t="shared" ca="1" si="371"/>
        <v>141900</v>
      </c>
      <c r="V1578" s="14">
        <f t="shared" ca="1" si="372"/>
        <v>-30.303030303030305</v>
      </c>
      <c r="W1578" s="12">
        <f t="shared" ca="1" si="362"/>
        <v>0</v>
      </c>
      <c r="X1578" s="7">
        <f ca="1">AVERAGE(E1578:OFFSET(F1578,-$X$5+1,0))</f>
        <v>11529.3</v>
      </c>
      <c r="Y1578" s="7">
        <f ca="1">AVERAGE(E1578:OFFSET(F1578,-$Y$5+1,0))</f>
        <v>11318.95</v>
      </c>
      <c r="Z1578" s="7">
        <f t="shared" ca="1" si="364"/>
        <v>0</v>
      </c>
    </row>
    <row r="1579" spans="1:26">
      <c r="A1579" s="3" t="s">
        <v>100</v>
      </c>
      <c r="B1579" s="4">
        <v>43994</v>
      </c>
      <c r="C1579" s="3">
        <v>11331</v>
      </c>
      <c r="D1579" s="3">
        <v>11432</v>
      </c>
      <c r="E1579" s="3">
        <v>11250</v>
      </c>
      <c r="F1579" s="3">
        <v>11395</v>
      </c>
      <c r="G1579" s="3">
        <v>138977</v>
      </c>
      <c r="H1579" s="3">
        <v>0.79500000000000004</v>
      </c>
      <c r="I1579" s="2">
        <f t="shared" si="373"/>
        <v>0</v>
      </c>
      <c r="J1579" s="10">
        <f t="shared" si="375"/>
        <v>-160</v>
      </c>
      <c r="K1579" s="10">
        <f t="shared" si="374"/>
        <v>64</v>
      </c>
      <c r="L1579" s="10">
        <f t="shared" ca="1" si="363"/>
        <v>0</v>
      </c>
      <c r="M1579" s="10">
        <f t="shared" ca="1" si="365"/>
        <v>1</v>
      </c>
      <c r="N1579" s="30">
        <f t="shared" ca="1" si="366"/>
        <v>0</v>
      </c>
      <c r="O1579" s="10">
        <f t="shared" ca="1" si="367"/>
        <v>2179200</v>
      </c>
      <c r="P1579" s="29">
        <f t="shared" ca="1" si="368"/>
        <v>-19200</v>
      </c>
      <c r="Q1579" s="12">
        <f t="shared" ca="1" si="369"/>
        <v>79700</v>
      </c>
      <c r="R1579" s="10">
        <f t="shared" ca="1" si="370"/>
        <v>-0.88105726872246692</v>
      </c>
      <c r="S1579" s="10">
        <f t="shared" ca="1" si="360"/>
        <v>5.0240777862261234</v>
      </c>
      <c r="T1579" s="14">
        <f t="shared" ca="1" si="361"/>
        <v>0.34127589003029818</v>
      </c>
      <c r="U1579" s="12">
        <f t="shared" ca="1" si="371"/>
        <v>141900</v>
      </c>
      <c r="V1579" s="14">
        <f t="shared" ca="1" si="372"/>
        <v>-43.833685694150809</v>
      </c>
      <c r="W1579" s="12">
        <f t="shared" ca="1" si="362"/>
        <v>0</v>
      </c>
      <c r="X1579" s="7">
        <f ca="1">AVERAGE(E1579:OFFSET(F1579,-$X$5+1,0))</f>
        <v>11510.4</v>
      </c>
      <c r="Y1579" s="7">
        <f ca="1">AVERAGE(E1579:OFFSET(F1579,-$Y$5+1,0))</f>
        <v>11364.8</v>
      </c>
      <c r="Z1579" s="7">
        <f t="shared" ca="1" si="364"/>
        <v>0</v>
      </c>
    </row>
    <row r="1580" spans="1:26">
      <c r="A1580" s="3" t="s">
        <v>100</v>
      </c>
      <c r="B1580" s="4">
        <v>43997</v>
      </c>
      <c r="C1580" s="3">
        <v>11356</v>
      </c>
      <c r="D1580" s="3">
        <v>11446</v>
      </c>
      <c r="E1580" s="3">
        <v>11216</v>
      </c>
      <c r="F1580" s="3">
        <v>11229</v>
      </c>
      <c r="G1580" s="3">
        <v>162092</v>
      </c>
      <c r="H1580" s="3">
        <v>0.79500000000000004</v>
      </c>
      <c r="I1580" s="2">
        <f t="shared" si="373"/>
        <v>0</v>
      </c>
      <c r="J1580" s="10">
        <f t="shared" si="375"/>
        <v>-39</v>
      </c>
      <c r="K1580" s="10">
        <f t="shared" si="374"/>
        <v>-127</v>
      </c>
      <c r="L1580" s="10">
        <f t="shared" ca="1" si="363"/>
        <v>0</v>
      </c>
      <c r="M1580" s="10">
        <f t="shared" ca="1" si="365"/>
        <v>1</v>
      </c>
      <c r="N1580" s="30">
        <f t="shared" ca="1" si="366"/>
        <v>0</v>
      </c>
      <c r="O1580" s="10">
        <f t="shared" ca="1" si="367"/>
        <v>2179200</v>
      </c>
      <c r="P1580" s="29">
        <f t="shared" ca="1" si="368"/>
        <v>-33200</v>
      </c>
      <c r="Q1580" s="12">
        <f t="shared" ca="1" si="369"/>
        <v>46500</v>
      </c>
      <c r="R1580" s="10">
        <f t="shared" ca="1" si="370"/>
        <v>-1.5234948604992657</v>
      </c>
      <c r="S1580" s="10">
        <f t="shared" ref="S1580:S1643" ca="1" si="376">100*SUM(P1341:P1580)/SUM(N1341:N1580)</f>
        <v>4.6415981198589895</v>
      </c>
      <c r="T1580" s="14">
        <f t="shared" ca="1" si="361"/>
        <v>0.30679995838145757</v>
      </c>
      <c r="U1580" s="12">
        <f t="shared" ca="1" si="371"/>
        <v>141900</v>
      </c>
      <c r="V1580" s="14">
        <f t="shared" ca="1" si="372"/>
        <v>-67.23044397463002</v>
      </c>
      <c r="W1580" s="12">
        <f t="shared" ca="1" si="362"/>
        <v>0</v>
      </c>
      <c r="X1580" s="7">
        <f ca="1">AVERAGE(E1580:OFFSET(F1580,-$X$5+1,0))</f>
        <v>11448.8</v>
      </c>
      <c r="Y1580" s="7">
        <f ca="1">AVERAGE(E1580:OFFSET(F1580,-$Y$5+1,0))</f>
        <v>11385.65</v>
      </c>
      <c r="Z1580" s="7">
        <f t="shared" ca="1" si="364"/>
        <v>0</v>
      </c>
    </row>
    <row r="1581" spans="1:26">
      <c r="A1581" s="3" t="s">
        <v>100</v>
      </c>
      <c r="B1581" s="4">
        <v>43998</v>
      </c>
      <c r="C1581" s="3">
        <v>11448</v>
      </c>
      <c r="D1581" s="3">
        <v>11554</v>
      </c>
      <c r="E1581" s="3">
        <v>11421</v>
      </c>
      <c r="F1581" s="3">
        <v>11526</v>
      </c>
      <c r="G1581" s="3">
        <v>132203</v>
      </c>
      <c r="H1581" s="3">
        <v>0.79500000000000004</v>
      </c>
      <c r="I1581" s="2">
        <f t="shared" si="373"/>
        <v>0</v>
      </c>
      <c r="J1581" s="10">
        <f t="shared" si="375"/>
        <v>219</v>
      </c>
      <c r="K1581" s="10">
        <f t="shared" si="374"/>
        <v>78</v>
      </c>
      <c r="L1581" s="10">
        <f t="shared" ca="1" si="363"/>
        <v>0</v>
      </c>
      <c r="M1581" s="10">
        <f t="shared" ca="1" si="365"/>
        <v>1</v>
      </c>
      <c r="N1581" s="30">
        <f t="shared" ca="1" si="366"/>
        <v>0</v>
      </c>
      <c r="O1581" s="10">
        <f t="shared" ca="1" si="367"/>
        <v>2179200</v>
      </c>
      <c r="P1581" s="29">
        <f t="shared" ca="1" si="368"/>
        <v>59400</v>
      </c>
      <c r="Q1581" s="12">
        <f t="shared" ca="1" si="369"/>
        <v>105900</v>
      </c>
      <c r="R1581" s="10">
        <f t="shared" ca="1" si="370"/>
        <v>2.7257709251101323</v>
      </c>
      <c r="S1581" s="10">
        <f t="shared" ca="1" si="376"/>
        <v>5.3259141494435616</v>
      </c>
      <c r="T1581" s="14">
        <f t="shared" ref="T1581:T1644" ca="1" si="377">(S1581-AVERAGE(H1312:H1581))/(_xlfn.STDEV.S(R1312:R1581)*SQRT(240))</f>
        <v>0.35836254754940278</v>
      </c>
      <c r="U1581" s="12">
        <f t="shared" ca="1" si="371"/>
        <v>141900</v>
      </c>
      <c r="V1581" s="14">
        <f t="shared" ca="1" si="372"/>
        <v>-25.369978858350951</v>
      </c>
      <c r="W1581" s="12">
        <f t="shared" ref="W1581:W1644" ca="1" si="378">MAX(V1342:V1581)</f>
        <v>0</v>
      </c>
      <c r="X1581" s="7">
        <f ca="1">AVERAGE(E1581:OFFSET(F1581,-$X$5+1,0))</f>
        <v>11430.5</v>
      </c>
      <c r="Y1581" s="7">
        <f ca="1">AVERAGE(E1581:OFFSET(F1581,-$Y$5+1,0))</f>
        <v>11424.1</v>
      </c>
      <c r="Z1581" s="7">
        <f t="shared" ca="1" si="364"/>
        <v>0</v>
      </c>
    </row>
    <row r="1582" spans="1:26">
      <c r="A1582" s="3" t="s">
        <v>100</v>
      </c>
      <c r="B1582" s="4">
        <v>43999</v>
      </c>
      <c r="C1582" s="3">
        <v>11480</v>
      </c>
      <c r="D1582" s="3">
        <v>11568</v>
      </c>
      <c r="E1582" s="3">
        <v>11467</v>
      </c>
      <c r="F1582" s="3">
        <v>11521</v>
      </c>
      <c r="G1582" s="3">
        <v>68402</v>
      </c>
      <c r="H1582" s="3">
        <v>0.79500000000000004</v>
      </c>
      <c r="I1582" s="2">
        <f t="shared" si="373"/>
        <v>1</v>
      </c>
      <c r="J1582" s="10">
        <f t="shared" si="375"/>
        <v>-46</v>
      </c>
      <c r="K1582" s="10">
        <f t="shared" si="374"/>
        <v>41</v>
      </c>
      <c r="L1582" s="10">
        <f t="shared" ca="1" si="363"/>
        <v>-1</v>
      </c>
      <c r="M1582" s="10">
        <f t="shared" si="365"/>
        <v>0</v>
      </c>
      <c r="N1582" s="30">
        <f t="shared" si="366"/>
        <v>0</v>
      </c>
      <c r="O1582" s="10">
        <f t="shared" si="367"/>
        <v>0</v>
      </c>
      <c r="P1582" s="29">
        <f t="shared" ca="1" si="368"/>
        <v>-9700</v>
      </c>
      <c r="Q1582" s="12">
        <f t="shared" ca="1" si="369"/>
        <v>96200</v>
      </c>
      <c r="R1582" s="10">
        <f t="shared" ca="1" si="370"/>
        <v>-0.44511747430249632</v>
      </c>
      <c r="S1582" s="10">
        <f t="shared" ca="1" si="376"/>
        <v>5.2141655722218383</v>
      </c>
      <c r="T1582" s="14">
        <f t="shared" ca="1" si="377"/>
        <v>0.34890421635318652</v>
      </c>
      <c r="U1582" s="12">
        <f t="shared" ca="1" si="371"/>
        <v>141900</v>
      </c>
      <c r="V1582" s="14">
        <f t="shared" ca="1" si="372"/>
        <v>-32.205778717406623</v>
      </c>
      <c r="W1582" s="12">
        <f t="shared" ca="1" si="378"/>
        <v>0</v>
      </c>
      <c r="X1582" s="7">
        <f ca="1">AVERAGE(E1582:OFFSET(F1582,-$X$5+1,0))</f>
        <v>11399.1</v>
      </c>
      <c r="Y1582" s="7">
        <f ca="1">AVERAGE(E1582:OFFSET(F1582,-$Y$5+1,0))</f>
        <v>11449.05</v>
      </c>
      <c r="Z1582" s="7">
        <f t="shared" ca="1" si="364"/>
        <v>-1</v>
      </c>
    </row>
    <row r="1583" spans="1:26">
      <c r="A1583" s="3" t="s">
        <v>101</v>
      </c>
      <c r="B1583" s="4">
        <v>44000</v>
      </c>
      <c r="C1583" s="3">
        <v>11372</v>
      </c>
      <c r="D1583" s="3">
        <v>11425</v>
      </c>
      <c r="E1583" s="3">
        <v>11295</v>
      </c>
      <c r="F1583" s="3">
        <v>11394</v>
      </c>
      <c r="G1583" s="3">
        <v>115951</v>
      </c>
      <c r="H1583" s="3">
        <v>0.79500000000000004</v>
      </c>
      <c r="I1583" s="2">
        <f t="shared" si="373"/>
        <v>0</v>
      </c>
      <c r="J1583" s="10">
        <f t="shared" si="375"/>
        <v>-149</v>
      </c>
      <c r="K1583" s="10">
        <f t="shared" si="374"/>
        <v>22</v>
      </c>
      <c r="L1583" s="10">
        <f t="shared" ca="1" si="363"/>
        <v>0</v>
      </c>
      <c r="M1583" s="10">
        <f t="shared" ca="1" si="365"/>
        <v>-1</v>
      </c>
      <c r="N1583" s="30">
        <f t="shared" ca="1" si="366"/>
        <v>0</v>
      </c>
      <c r="O1583" s="10">
        <f t="shared" ca="1" si="367"/>
        <v>2274400</v>
      </c>
      <c r="P1583" s="29">
        <f t="shared" ca="1" si="368"/>
        <v>-4900</v>
      </c>
      <c r="Q1583" s="12">
        <f t="shared" ca="1" si="369"/>
        <v>91300</v>
      </c>
      <c r="R1583" s="10">
        <f t="shared" ca="1" si="370"/>
        <v>-0.21544143510376362</v>
      </c>
      <c r="S1583" s="10">
        <f t="shared" ca="1" si="376"/>
        <v>5.1577152600170502</v>
      </c>
      <c r="T1583" s="14">
        <f t="shared" ca="1" si="377"/>
        <v>0.34645964458707501</v>
      </c>
      <c r="U1583" s="12">
        <f t="shared" ca="1" si="371"/>
        <v>141900</v>
      </c>
      <c r="V1583" s="14">
        <f t="shared" ca="1" si="372"/>
        <v>-35.65891472868217</v>
      </c>
      <c r="W1583" s="12">
        <f t="shared" ca="1" si="378"/>
        <v>0</v>
      </c>
      <c r="X1583" s="7">
        <f ca="1">AVERAGE(E1583:OFFSET(F1583,-$X$5+1,0))</f>
        <v>11371.4</v>
      </c>
      <c r="Y1583" s="7">
        <f ca="1">AVERAGE(E1583:OFFSET(F1583,-$Y$5+1,0))</f>
        <v>11450.35</v>
      </c>
      <c r="Z1583" s="7">
        <f t="shared" ca="1" si="364"/>
        <v>0</v>
      </c>
    </row>
    <row r="1584" spans="1:26">
      <c r="A1584" s="3" t="s">
        <v>101</v>
      </c>
      <c r="B1584" s="4">
        <v>44001</v>
      </c>
      <c r="C1584" s="3">
        <v>11424</v>
      </c>
      <c r="D1584" s="3">
        <v>11439</v>
      </c>
      <c r="E1584" s="3">
        <v>11361</v>
      </c>
      <c r="F1584" s="3">
        <v>11410</v>
      </c>
      <c r="G1584" s="3">
        <v>94025</v>
      </c>
      <c r="H1584" s="3">
        <v>0.79500000000000004</v>
      </c>
      <c r="I1584" s="2">
        <f t="shared" si="373"/>
        <v>0</v>
      </c>
      <c r="J1584" s="10">
        <f t="shared" si="375"/>
        <v>30</v>
      </c>
      <c r="K1584" s="10">
        <f t="shared" si="374"/>
        <v>-14</v>
      </c>
      <c r="L1584" s="10">
        <f t="shared" ca="1" si="363"/>
        <v>0</v>
      </c>
      <c r="M1584" s="10">
        <f t="shared" ca="1" si="365"/>
        <v>-1</v>
      </c>
      <c r="N1584" s="30">
        <f t="shared" ca="1" si="366"/>
        <v>0</v>
      </c>
      <c r="O1584" s="10">
        <f t="shared" ca="1" si="367"/>
        <v>2274400</v>
      </c>
      <c r="P1584" s="29">
        <f t="shared" ca="1" si="368"/>
        <v>-3200</v>
      </c>
      <c r="Q1584" s="12">
        <f t="shared" ca="1" si="369"/>
        <v>88100</v>
      </c>
      <c r="R1584" s="10">
        <f t="shared" ca="1" si="370"/>
        <v>-0.14069644741470277</v>
      </c>
      <c r="S1584" s="10">
        <f t="shared" ca="1" si="376"/>
        <v>5.1208497500057604</v>
      </c>
      <c r="T1584" s="14">
        <f t="shared" ca="1" si="377"/>
        <v>0.34352671206629581</v>
      </c>
      <c r="U1584" s="12">
        <f t="shared" ca="1" si="371"/>
        <v>141900</v>
      </c>
      <c r="V1584" s="14">
        <f t="shared" ca="1" si="372"/>
        <v>-37.914023960535587</v>
      </c>
      <c r="W1584" s="12">
        <f t="shared" ca="1" si="378"/>
        <v>0</v>
      </c>
      <c r="X1584" s="7">
        <f ca="1">AVERAGE(E1584:OFFSET(F1584,-$X$5+1,0))</f>
        <v>11384</v>
      </c>
      <c r="Y1584" s="7">
        <f ca="1">AVERAGE(E1584:OFFSET(F1584,-$Y$5+1,0))</f>
        <v>11447.2</v>
      </c>
      <c r="Z1584" s="7">
        <f t="shared" ca="1" si="364"/>
        <v>0</v>
      </c>
    </row>
    <row r="1585" spans="1:26">
      <c r="A1585" s="3" t="s">
        <v>101</v>
      </c>
      <c r="B1585" s="4">
        <v>44004</v>
      </c>
      <c r="C1585" s="3">
        <v>11374</v>
      </c>
      <c r="D1585" s="3">
        <v>11498</v>
      </c>
      <c r="E1585" s="3">
        <v>11362</v>
      </c>
      <c r="F1585" s="3">
        <v>11423</v>
      </c>
      <c r="G1585" s="3">
        <v>114951</v>
      </c>
      <c r="H1585" s="3">
        <v>0.79500000000000004</v>
      </c>
      <c r="I1585" s="2">
        <f t="shared" si="373"/>
        <v>0</v>
      </c>
      <c r="J1585" s="10">
        <f t="shared" si="375"/>
        <v>-36</v>
      </c>
      <c r="K1585" s="10">
        <f t="shared" si="374"/>
        <v>49</v>
      </c>
      <c r="L1585" s="10">
        <f t="shared" ca="1" si="363"/>
        <v>0</v>
      </c>
      <c r="M1585" s="10">
        <f t="shared" ca="1" si="365"/>
        <v>-1</v>
      </c>
      <c r="N1585" s="30">
        <f t="shared" ca="1" si="366"/>
        <v>0</v>
      </c>
      <c r="O1585" s="10">
        <f t="shared" ca="1" si="367"/>
        <v>2274400</v>
      </c>
      <c r="P1585" s="29">
        <f t="shared" ca="1" si="368"/>
        <v>-2600</v>
      </c>
      <c r="Q1585" s="12">
        <f t="shared" ca="1" si="369"/>
        <v>85500</v>
      </c>
      <c r="R1585" s="10">
        <f t="shared" ca="1" si="370"/>
        <v>-0.114315863524446</v>
      </c>
      <c r="S1585" s="10">
        <f t="shared" ca="1" si="376"/>
        <v>5.297112969747241</v>
      </c>
      <c r="T1585" s="14">
        <f t="shared" ca="1" si="377"/>
        <v>0.35823892728928503</v>
      </c>
      <c r="U1585" s="12">
        <f t="shared" ca="1" si="371"/>
        <v>141900</v>
      </c>
      <c r="V1585" s="14">
        <f t="shared" ca="1" si="372"/>
        <v>-39.746300211416489</v>
      </c>
      <c r="W1585" s="12">
        <f t="shared" ca="1" si="378"/>
        <v>0</v>
      </c>
      <c r="X1585" s="7">
        <f ca="1">AVERAGE(E1585:OFFSET(F1585,-$X$5+1,0))</f>
        <v>11418</v>
      </c>
      <c r="Y1585" s="7">
        <f ca="1">AVERAGE(E1585:OFFSET(F1585,-$Y$5+1,0))</f>
        <v>11433.4</v>
      </c>
      <c r="Z1585" s="7">
        <f t="shared" ca="1" si="364"/>
        <v>0</v>
      </c>
    </row>
    <row r="1586" spans="1:26">
      <c r="A1586" s="3" t="s">
        <v>101</v>
      </c>
      <c r="B1586" s="4">
        <v>44005</v>
      </c>
      <c r="C1586" s="3">
        <v>11493</v>
      </c>
      <c r="D1586" s="3">
        <v>11540</v>
      </c>
      <c r="E1586" s="3">
        <v>11346</v>
      </c>
      <c r="F1586" s="3">
        <v>11455</v>
      </c>
      <c r="G1586" s="3">
        <v>140506</v>
      </c>
      <c r="H1586" s="3">
        <v>0.79500000000000004</v>
      </c>
      <c r="I1586" s="2">
        <f t="shared" si="373"/>
        <v>0</v>
      </c>
      <c r="J1586" s="10">
        <f t="shared" si="375"/>
        <v>70</v>
      </c>
      <c r="K1586" s="10">
        <f t="shared" si="374"/>
        <v>-38</v>
      </c>
      <c r="L1586" s="10">
        <f t="shared" ca="1" si="363"/>
        <v>0</v>
      </c>
      <c r="M1586" s="10">
        <f t="shared" ca="1" si="365"/>
        <v>-1</v>
      </c>
      <c r="N1586" s="30">
        <f t="shared" ca="1" si="366"/>
        <v>0</v>
      </c>
      <c r="O1586" s="10">
        <f t="shared" ca="1" si="367"/>
        <v>2274400</v>
      </c>
      <c r="P1586" s="29">
        <f t="shared" ca="1" si="368"/>
        <v>-6400</v>
      </c>
      <c r="Q1586" s="12">
        <f t="shared" ca="1" si="369"/>
        <v>79100</v>
      </c>
      <c r="R1586" s="10">
        <f t="shared" ca="1" si="370"/>
        <v>-0.28139289482940555</v>
      </c>
      <c r="S1586" s="10">
        <f t="shared" ca="1" si="376"/>
        <v>5.1266099859450245</v>
      </c>
      <c r="T1586" s="14">
        <f t="shared" ca="1" si="377"/>
        <v>0.34401522138197366</v>
      </c>
      <c r="U1586" s="12">
        <f t="shared" ca="1" si="371"/>
        <v>141900</v>
      </c>
      <c r="V1586" s="14">
        <f t="shared" ca="1" si="372"/>
        <v>-44.256518675123324</v>
      </c>
      <c r="W1586" s="12">
        <f t="shared" ca="1" si="378"/>
        <v>0</v>
      </c>
      <c r="X1586" s="7">
        <f ca="1">AVERAGE(E1586:OFFSET(F1586,-$X$5+1,0))</f>
        <v>11403.4</v>
      </c>
      <c r="Y1586" s="7">
        <f ca="1">AVERAGE(E1586:OFFSET(F1586,-$Y$5+1,0))</f>
        <v>11416.95</v>
      </c>
      <c r="Z1586" s="7">
        <f t="shared" ca="1" si="364"/>
        <v>0</v>
      </c>
    </row>
    <row r="1587" spans="1:26">
      <c r="A1587" s="3" t="s">
        <v>101</v>
      </c>
      <c r="B1587" s="4">
        <v>44006</v>
      </c>
      <c r="C1587" s="3">
        <v>11541</v>
      </c>
      <c r="D1587" s="3">
        <v>11570</v>
      </c>
      <c r="E1587" s="3">
        <v>11503</v>
      </c>
      <c r="F1587" s="3">
        <v>11523</v>
      </c>
      <c r="G1587" s="3">
        <v>90292</v>
      </c>
      <c r="H1587" s="3">
        <v>0.79500000000000004</v>
      </c>
      <c r="I1587" s="2">
        <f t="shared" si="373"/>
        <v>0</v>
      </c>
      <c r="J1587" s="10">
        <f t="shared" si="375"/>
        <v>86</v>
      </c>
      <c r="K1587" s="10">
        <f t="shared" si="374"/>
        <v>-18</v>
      </c>
      <c r="L1587" s="10">
        <f t="shared" ca="1" si="363"/>
        <v>1</v>
      </c>
      <c r="M1587" s="10">
        <f t="shared" ca="1" si="365"/>
        <v>-1</v>
      </c>
      <c r="N1587" s="30">
        <f t="shared" ca="1" si="366"/>
        <v>0</v>
      </c>
      <c r="O1587" s="10">
        <f t="shared" ca="1" si="367"/>
        <v>2274400</v>
      </c>
      <c r="P1587" s="29">
        <f t="shared" ca="1" si="368"/>
        <v>-13600</v>
      </c>
      <c r="Q1587" s="12">
        <f t="shared" ca="1" si="369"/>
        <v>65500</v>
      </c>
      <c r="R1587" s="10">
        <f t="shared" ca="1" si="370"/>
        <v>-0.59795990151248679</v>
      </c>
      <c r="S1587" s="10">
        <f t="shared" ca="1" si="376"/>
        <v>5.4007972166539941</v>
      </c>
      <c r="T1587" s="14">
        <f t="shared" ca="1" si="377"/>
        <v>0.36635367865524066</v>
      </c>
      <c r="U1587" s="12">
        <f t="shared" ca="1" si="371"/>
        <v>141900</v>
      </c>
      <c r="V1587" s="14">
        <f t="shared" ca="1" si="372"/>
        <v>-53.84073291050035</v>
      </c>
      <c r="W1587" s="12">
        <f t="shared" ca="1" si="378"/>
        <v>0</v>
      </c>
      <c r="X1587" s="7">
        <f ca="1">AVERAGE(E1587:OFFSET(F1587,-$X$5+1,0))</f>
        <v>11407.2</v>
      </c>
      <c r="Y1587" s="7">
        <f ca="1">AVERAGE(E1587:OFFSET(F1587,-$Y$5+1,0))</f>
        <v>11403.15</v>
      </c>
      <c r="Z1587" s="7">
        <f t="shared" ca="1" si="364"/>
        <v>1</v>
      </c>
    </row>
    <row r="1588" spans="1:26">
      <c r="A1588" s="3" t="s">
        <v>101</v>
      </c>
      <c r="B1588" s="4">
        <v>44011</v>
      </c>
      <c r="C1588" s="3">
        <v>11394</v>
      </c>
      <c r="D1588" s="3">
        <v>11458</v>
      </c>
      <c r="E1588" s="3">
        <v>11315</v>
      </c>
      <c r="F1588" s="3">
        <v>11361</v>
      </c>
      <c r="G1588" s="3">
        <v>126715</v>
      </c>
      <c r="H1588" s="3">
        <v>0.79500000000000004</v>
      </c>
      <c r="I1588" s="2">
        <f t="shared" si="373"/>
        <v>0</v>
      </c>
      <c r="J1588" s="10">
        <f t="shared" si="375"/>
        <v>-129</v>
      </c>
      <c r="K1588" s="10">
        <f t="shared" si="374"/>
        <v>-33</v>
      </c>
      <c r="L1588" s="10">
        <f t="shared" ca="1" si="363"/>
        <v>0</v>
      </c>
      <c r="M1588" s="10">
        <f t="shared" ca="1" si="365"/>
        <v>0</v>
      </c>
      <c r="N1588" s="30">
        <f t="shared" ca="1" si="366"/>
        <v>0</v>
      </c>
      <c r="O1588" s="10">
        <f t="shared" ca="1" si="367"/>
        <v>0</v>
      </c>
      <c r="P1588" s="29">
        <f t="shared" ca="1" si="368"/>
        <v>25300</v>
      </c>
      <c r="Q1588" s="12">
        <f t="shared" ca="1" si="369"/>
        <v>90800</v>
      </c>
      <c r="R1588" s="10">
        <f t="shared" ca="1" si="370"/>
        <v>1.1123812873724939</v>
      </c>
      <c r="S1588" s="10">
        <f t="shared" ca="1" si="376"/>
        <v>5.6507914564180552</v>
      </c>
      <c r="T1588" s="14">
        <f t="shared" ca="1" si="377"/>
        <v>0.3859188598134623</v>
      </c>
      <c r="U1588" s="12">
        <f t="shared" ca="1" si="371"/>
        <v>141900</v>
      </c>
      <c r="V1588" s="14">
        <f t="shared" ca="1" si="372"/>
        <v>-36.011275546159268</v>
      </c>
      <c r="W1588" s="12">
        <f t="shared" ca="1" si="378"/>
        <v>0</v>
      </c>
      <c r="X1588" s="7">
        <f ca="1">AVERAGE(E1588:OFFSET(F1588,-$X$5+1,0))</f>
        <v>11405.9</v>
      </c>
      <c r="Y1588" s="7">
        <f ca="1">AVERAGE(E1588:OFFSET(F1588,-$Y$5+1,0))</f>
        <v>11388.65</v>
      </c>
      <c r="Z1588" s="7">
        <f t="shared" ca="1" si="364"/>
        <v>0</v>
      </c>
    </row>
    <row r="1589" spans="1:26">
      <c r="A1589" s="3" t="s">
        <v>101</v>
      </c>
      <c r="B1589" s="4">
        <v>44012</v>
      </c>
      <c r="C1589" s="3">
        <v>11460</v>
      </c>
      <c r="D1589" s="3">
        <v>11502</v>
      </c>
      <c r="E1589" s="3">
        <v>11412</v>
      </c>
      <c r="F1589" s="3">
        <v>11469</v>
      </c>
      <c r="G1589" s="3">
        <v>84812</v>
      </c>
      <c r="H1589" s="3">
        <v>0.79500000000000004</v>
      </c>
      <c r="I1589" s="2">
        <f t="shared" si="373"/>
        <v>0</v>
      </c>
      <c r="J1589" s="10">
        <f t="shared" si="375"/>
        <v>99</v>
      </c>
      <c r="K1589" s="10">
        <f t="shared" si="374"/>
        <v>9</v>
      </c>
      <c r="L1589" s="10">
        <f t="shared" ca="1" si="363"/>
        <v>0</v>
      </c>
      <c r="M1589" s="10">
        <f t="shared" ca="1" si="365"/>
        <v>0</v>
      </c>
      <c r="N1589" s="30">
        <f t="shared" ca="1" si="366"/>
        <v>0</v>
      </c>
      <c r="O1589" s="10">
        <f t="shared" ca="1" si="367"/>
        <v>0</v>
      </c>
      <c r="P1589" s="29">
        <f t="shared" ca="1" si="368"/>
        <v>0</v>
      </c>
      <c r="Q1589" s="12">
        <f t="shared" ca="1" si="369"/>
        <v>90800</v>
      </c>
      <c r="R1589" s="10">
        <f t="shared" ca="1" si="370"/>
        <v>0</v>
      </c>
      <c r="S1589" s="10">
        <f t="shared" ca="1" si="376"/>
        <v>5.6196861823460287</v>
      </c>
      <c r="T1589" s="14">
        <f t="shared" ca="1" si="377"/>
        <v>0.38342374251367567</v>
      </c>
      <c r="U1589" s="12">
        <f t="shared" ca="1" si="371"/>
        <v>141900</v>
      </c>
      <c r="V1589" s="14">
        <f t="shared" ca="1" si="372"/>
        <v>-36.011275546159268</v>
      </c>
      <c r="W1589" s="12">
        <f t="shared" ca="1" si="378"/>
        <v>0</v>
      </c>
      <c r="X1589" s="7">
        <f ca="1">AVERAGE(E1589:OFFSET(F1589,-$X$5+1,0))</f>
        <v>11416.9</v>
      </c>
      <c r="Y1589" s="7">
        <f ca="1">AVERAGE(E1589:OFFSET(F1589,-$Y$5+1,0))</f>
        <v>11400.45</v>
      </c>
      <c r="Z1589" s="7">
        <f t="shared" ca="1" si="364"/>
        <v>0</v>
      </c>
    </row>
    <row r="1590" spans="1:26">
      <c r="A1590" s="3" t="s">
        <v>101</v>
      </c>
      <c r="B1590" s="4">
        <v>44013</v>
      </c>
      <c r="C1590" s="3">
        <v>11482</v>
      </c>
      <c r="D1590" s="3">
        <v>11623</v>
      </c>
      <c r="E1590" s="3">
        <v>11472</v>
      </c>
      <c r="F1590" s="3">
        <v>11546</v>
      </c>
      <c r="G1590" s="3">
        <v>102446</v>
      </c>
      <c r="H1590" s="3">
        <v>0.79500000000000004</v>
      </c>
      <c r="I1590" s="2">
        <f t="shared" si="373"/>
        <v>0</v>
      </c>
      <c r="J1590" s="10">
        <f t="shared" si="375"/>
        <v>13</v>
      </c>
      <c r="K1590" s="10">
        <f t="shared" si="374"/>
        <v>64</v>
      </c>
      <c r="L1590" s="10">
        <f t="shared" ca="1" si="363"/>
        <v>0</v>
      </c>
      <c r="M1590" s="10">
        <f t="shared" ca="1" si="365"/>
        <v>0</v>
      </c>
      <c r="N1590" s="30">
        <f t="shared" ca="1" si="366"/>
        <v>0</v>
      </c>
      <c r="O1590" s="10">
        <f t="shared" ca="1" si="367"/>
        <v>0</v>
      </c>
      <c r="P1590" s="29">
        <f t="shared" ca="1" si="368"/>
        <v>0</v>
      </c>
      <c r="Q1590" s="12">
        <f t="shared" ca="1" si="369"/>
        <v>90800</v>
      </c>
      <c r="R1590" s="10">
        <f t="shared" ca="1" si="370"/>
        <v>0</v>
      </c>
      <c r="S1590" s="10">
        <f t="shared" ca="1" si="376"/>
        <v>5.6196861823460287</v>
      </c>
      <c r="T1590" s="14">
        <f t="shared" ca="1" si="377"/>
        <v>0.38350029465737717</v>
      </c>
      <c r="U1590" s="12">
        <f t="shared" ca="1" si="371"/>
        <v>141900</v>
      </c>
      <c r="V1590" s="14">
        <f t="shared" ca="1" si="372"/>
        <v>-36.011275546159268</v>
      </c>
      <c r="W1590" s="12">
        <f t="shared" ca="1" si="378"/>
        <v>0</v>
      </c>
      <c r="X1590" s="7">
        <f ca="1">AVERAGE(E1590:OFFSET(F1590,-$X$5+1,0))</f>
        <v>11440.2</v>
      </c>
      <c r="Y1590" s="7">
        <f ca="1">AVERAGE(E1590:OFFSET(F1590,-$Y$5+1,0))</f>
        <v>11429.1</v>
      </c>
      <c r="Z1590" s="7">
        <f t="shared" ca="1" si="364"/>
        <v>0</v>
      </c>
    </row>
    <row r="1591" spans="1:26">
      <c r="A1591" s="3" t="s">
        <v>101</v>
      </c>
      <c r="B1591" s="4">
        <v>44014</v>
      </c>
      <c r="C1591" s="3">
        <v>11585</v>
      </c>
      <c r="D1591" s="3">
        <v>11712</v>
      </c>
      <c r="E1591" s="3">
        <v>11566</v>
      </c>
      <c r="F1591" s="3">
        <v>11695</v>
      </c>
      <c r="G1591" s="3">
        <v>92103</v>
      </c>
      <c r="H1591" s="3">
        <v>0.79500000000000004</v>
      </c>
      <c r="I1591" s="2">
        <f t="shared" si="373"/>
        <v>0</v>
      </c>
      <c r="J1591" s="10">
        <f t="shared" si="375"/>
        <v>39</v>
      </c>
      <c r="K1591" s="10">
        <f t="shared" si="374"/>
        <v>110</v>
      </c>
      <c r="L1591" s="10">
        <f t="shared" ca="1" si="363"/>
        <v>0</v>
      </c>
      <c r="M1591" s="10">
        <f t="shared" ca="1" si="365"/>
        <v>0</v>
      </c>
      <c r="N1591" s="30">
        <f t="shared" ca="1" si="366"/>
        <v>0</v>
      </c>
      <c r="O1591" s="10">
        <f t="shared" ca="1" si="367"/>
        <v>0</v>
      </c>
      <c r="P1591" s="29">
        <f t="shared" ca="1" si="368"/>
        <v>0</v>
      </c>
      <c r="Q1591" s="12">
        <f t="shared" ca="1" si="369"/>
        <v>90800</v>
      </c>
      <c r="R1591" s="10">
        <f t="shared" ca="1" si="370"/>
        <v>0</v>
      </c>
      <c r="S1591" s="10">
        <f t="shared" ca="1" si="376"/>
        <v>5.6196861823460287</v>
      </c>
      <c r="T1591" s="14">
        <f t="shared" ca="1" si="377"/>
        <v>0.38357684680107879</v>
      </c>
      <c r="U1591" s="12">
        <f t="shared" ca="1" si="371"/>
        <v>141900</v>
      </c>
      <c r="V1591" s="14">
        <f t="shared" ca="1" si="372"/>
        <v>-36.011275546159268</v>
      </c>
      <c r="W1591" s="12">
        <f t="shared" ca="1" si="378"/>
        <v>0</v>
      </c>
      <c r="X1591" s="7">
        <f ca="1">AVERAGE(E1591:OFFSET(F1591,-$X$5+1,0))</f>
        <v>11486.2</v>
      </c>
      <c r="Y1591" s="7">
        <f ca="1">AVERAGE(E1591:OFFSET(F1591,-$Y$5+1,0))</f>
        <v>11444.8</v>
      </c>
      <c r="Z1591" s="7">
        <f t="shared" ca="1" si="364"/>
        <v>0</v>
      </c>
    </row>
    <row r="1592" spans="1:26">
      <c r="A1592" s="3" t="s">
        <v>101</v>
      </c>
      <c r="B1592" s="4">
        <v>44015</v>
      </c>
      <c r="C1592" s="3">
        <v>11788</v>
      </c>
      <c r="D1592" s="3">
        <v>11850</v>
      </c>
      <c r="E1592" s="3">
        <v>11752</v>
      </c>
      <c r="F1592" s="3">
        <v>11838</v>
      </c>
      <c r="G1592" s="3">
        <v>92327</v>
      </c>
      <c r="H1592" s="3">
        <v>0.79500000000000004</v>
      </c>
      <c r="I1592" s="2">
        <f t="shared" si="373"/>
        <v>0</v>
      </c>
      <c r="J1592" s="10">
        <f t="shared" si="375"/>
        <v>93</v>
      </c>
      <c r="K1592" s="10">
        <f t="shared" si="374"/>
        <v>50</v>
      </c>
      <c r="L1592" s="10">
        <f t="shared" ca="1" si="363"/>
        <v>0</v>
      </c>
      <c r="M1592" s="10">
        <f t="shared" ca="1" si="365"/>
        <v>0</v>
      </c>
      <c r="N1592" s="30">
        <f t="shared" ca="1" si="366"/>
        <v>0</v>
      </c>
      <c r="O1592" s="10">
        <f t="shared" ca="1" si="367"/>
        <v>0</v>
      </c>
      <c r="P1592" s="29">
        <f t="shared" ca="1" si="368"/>
        <v>0</v>
      </c>
      <c r="Q1592" s="12">
        <f t="shared" ca="1" si="369"/>
        <v>90800</v>
      </c>
      <c r="R1592" s="10">
        <f t="shared" ca="1" si="370"/>
        <v>0</v>
      </c>
      <c r="S1592" s="10">
        <f t="shared" ca="1" si="376"/>
        <v>5.6196861823460287</v>
      </c>
      <c r="T1592" s="14">
        <f t="shared" ca="1" si="377"/>
        <v>0.38365339894478029</v>
      </c>
      <c r="U1592" s="12">
        <f t="shared" ca="1" si="371"/>
        <v>141900</v>
      </c>
      <c r="V1592" s="14">
        <f t="shared" ca="1" si="372"/>
        <v>-36.011275546159268</v>
      </c>
      <c r="W1592" s="12">
        <f t="shared" ca="1" si="378"/>
        <v>0</v>
      </c>
      <c r="X1592" s="7">
        <f ca="1">AVERAGE(E1592:OFFSET(F1592,-$X$5+1,0))</f>
        <v>11542.6</v>
      </c>
      <c r="Y1592" s="7">
        <f ca="1">AVERAGE(E1592:OFFSET(F1592,-$Y$5+1,0))</f>
        <v>11474.9</v>
      </c>
      <c r="Z1592" s="7">
        <f t="shared" ca="1" si="364"/>
        <v>0</v>
      </c>
    </row>
    <row r="1593" spans="1:26">
      <c r="A1593" s="3" t="s">
        <v>101</v>
      </c>
      <c r="B1593" s="4">
        <v>44018</v>
      </c>
      <c r="C1593" s="3">
        <v>11921</v>
      </c>
      <c r="D1593" s="3">
        <v>12072</v>
      </c>
      <c r="E1593" s="3">
        <v>11905</v>
      </c>
      <c r="F1593" s="3">
        <v>12065</v>
      </c>
      <c r="G1593" s="3">
        <v>107214</v>
      </c>
      <c r="H1593" s="3">
        <v>0.79500000000000004</v>
      </c>
      <c r="I1593" s="2">
        <f t="shared" si="373"/>
        <v>0</v>
      </c>
      <c r="J1593" s="10">
        <f t="shared" si="375"/>
        <v>83</v>
      </c>
      <c r="K1593" s="10">
        <f t="shared" si="374"/>
        <v>144</v>
      </c>
      <c r="L1593" s="10">
        <f t="shared" ca="1" si="363"/>
        <v>0</v>
      </c>
      <c r="M1593" s="10">
        <f t="shared" ca="1" si="365"/>
        <v>0</v>
      </c>
      <c r="N1593" s="30">
        <f t="shared" ca="1" si="366"/>
        <v>0</v>
      </c>
      <c r="O1593" s="10">
        <f t="shared" ca="1" si="367"/>
        <v>0</v>
      </c>
      <c r="P1593" s="29">
        <f t="shared" ca="1" si="368"/>
        <v>0</v>
      </c>
      <c r="Q1593" s="12">
        <f t="shared" ca="1" si="369"/>
        <v>90800</v>
      </c>
      <c r="R1593" s="10">
        <f t="shared" ca="1" si="370"/>
        <v>0</v>
      </c>
      <c r="S1593" s="10">
        <f t="shared" ca="1" si="376"/>
        <v>5.6196861823460287</v>
      </c>
      <c r="T1593" s="14">
        <f t="shared" ca="1" si="377"/>
        <v>0.38372995108848179</v>
      </c>
      <c r="U1593" s="12">
        <f t="shared" ca="1" si="371"/>
        <v>141900</v>
      </c>
      <c r="V1593" s="14">
        <f t="shared" ca="1" si="372"/>
        <v>-36.011275546159268</v>
      </c>
      <c r="W1593" s="12">
        <f t="shared" ca="1" si="378"/>
        <v>0</v>
      </c>
      <c r="X1593" s="7">
        <f ca="1">AVERAGE(E1593:OFFSET(F1593,-$X$5+1,0))</f>
        <v>11672</v>
      </c>
      <c r="Y1593" s="7">
        <f ca="1">AVERAGE(E1593:OFFSET(F1593,-$Y$5+1,0))</f>
        <v>11538.95</v>
      </c>
      <c r="Z1593" s="7">
        <f t="shared" ca="1" si="364"/>
        <v>0</v>
      </c>
    </row>
    <row r="1594" spans="1:26">
      <c r="A1594" s="3" t="s">
        <v>101</v>
      </c>
      <c r="B1594" s="4">
        <v>44019</v>
      </c>
      <c r="C1594" s="3">
        <v>12149</v>
      </c>
      <c r="D1594" s="3">
        <v>12192</v>
      </c>
      <c r="E1594" s="3">
        <v>11990</v>
      </c>
      <c r="F1594" s="3">
        <v>12027</v>
      </c>
      <c r="G1594" s="3">
        <v>134410</v>
      </c>
      <c r="H1594" s="3">
        <v>0.79500000000000004</v>
      </c>
      <c r="I1594" s="2">
        <f t="shared" si="373"/>
        <v>0</v>
      </c>
      <c r="J1594" s="10">
        <f t="shared" si="375"/>
        <v>84</v>
      </c>
      <c r="K1594" s="10">
        <f t="shared" si="374"/>
        <v>-122</v>
      </c>
      <c r="L1594" s="10">
        <f t="shared" ca="1" si="363"/>
        <v>0</v>
      </c>
      <c r="M1594" s="10">
        <f t="shared" ca="1" si="365"/>
        <v>0</v>
      </c>
      <c r="N1594" s="30">
        <f t="shared" ca="1" si="366"/>
        <v>0</v>
      </c>
      <c r="O1594" s="10">
        <f t="shared" ca="1" si="367"/>
        <v>0</v>
      </c>
      <c r="P1594" s="29">
        <f t="shared" ca="1" si="368"/>
        <v>0</v>
      </c>
      <c r="Q1594" s="12">
        <f t="shared" ca="1" si="369"/>
        <v>90800</v>
      </c>
      <c r="R1594" s="10">
        <f t="shared" ca="1" si="370"/>
        <v>0</v>
      </c>
      <c r="S1594" s="10">
        <f t="shared" ca="1" si="376"/>
        <v>5.6991774383078733</v>
      </c>
      <c r="T1594" s="14">
        <f t="shared" ca="1" si="377"/>
        <v>0.39037854736554178</v>
      </c>
      <c r="U1594" s="12">
        <f t="shared" ca="1" si="371"/>
        <v>141900</v>
      </c>
      <c r="V1594" s="14">
        <f t="shared" ca="1" si="372"/>
        <v>-36.011275546159268</v>
      </c>
      <c r="W1594" s="12">
        <f t="shared" ca="1" si="378"/>
        <v>0</v>
      </c>
      <c r="X1594" s="7">
        <f ca="1">AVERAGE(E1594:OFFSET(F1594,-$X$5+1,0))</f>
        <v>11785.6</v>
      </c>
      <c r="Y1594" s="7">
        <f ca="1">AVERAGE(E1594:OFFSET(F1594,-$Y$5+1,0))</f>
        <v>11601.25</v>
      </c>
      <c r="Z1594" s="7">
        <f t="shared" ca="1" si="364"/>
        <v>0</v>
      </c>
    </row>
    <row r="1595" spans="1:26">
      <c r="A1595" s="3" t="s">
        <v>101</v>
      </c>
      <c r="B1595" s="4">
        <v>44020</v>
      </c>
      <c r="C1595" s="3">
        <v>12041</v>
      </c>
      <c r="D1595" s="3">
        <v>12145</v>
      </c>
      <c r="E1595" s="3">
        <v>12025</v>
      </c>
      <c r="F1595" s="3">
        <v>12125</v>
      </c>
      <c r="G1595" s="3">
        <v>103418</v>
      </c>
      <c r="H1595" s="3">
        <v>0.79500000000000004</v>
      </c>
      <c r="I1595" s="2">
        <f t="shared" si="373"/>
        <v>0</v>
      </c>
      <c r="J1595" s="10">
        <f t="shared" si="375"/>
        <v>14</v>
      </c>
      <c r="K1595" s="10">
        <f t="shared" si="374"/>
        <v>84</v>
      </c>
      <c r="L1595" s="10">
        <f t="shared" ca="1" si="363"/>
        <v>0</v>
      </c>
      <c r="M1595" s="10">
        <f t="shared" ca="1" si="365"/>
        <v>0</v>
      </c>
      <c r="N1595" s="30">
        <f t="shared" ca="1" si="366"/>
        <v>0</v>
      </c>
      <c r="O1595" s="10">
        <f t="shared" ca="1" si="367"/>
        <v>0</v>
      </c>
      <c r="P1595" s="29">
        <f t="shared" ca="1" si="368"/>
        <v>0</v>
      </c>
      <c r="Q1595" s="12">
        <f t="shared" ca="1" si="369"/>
        <v>90800</v>
      </c>
      <c r="R1595" s="10">
        <f t="shared" ca="1" si="370"/>
        <v>0</v>
      </c>
      <c r="S1595" s="10">
        <f t="shared" ca="1" si="376"/>
        <v>5.8662242805465308</v>
      </c>
      <c r="T1595" s="14">
        <f t="shared" ca="1" si="377"/>
        <v>0.40426591689093855</v>
      </c>
      <c r="U1595" s="12">
        <f t="shared" ca="1" si="371"/>
        <v>141900</v>
      </c>
      <c r="V1595" s="14">
        <f t="shared" ca="1" si="372"/>
        <v>-36.011275546159268</v>
      </c>
      <c r="W1595" s="12">
        <f t="shared" ca="1" si="378"/>
        <v>0</v>
      </c>
      <c r="X1595" s="7">
        <f ca="1">AVERAGE(E1595:OFFSET(F1595,-$X$5+1,0))</f>
        <v>11898.8</v>
      </c>
      <c r="Y1595" s="7">
        <f ca="1">AVERAGE(E1595:OFFSET(F1595,-$Y$5+1,0))</f>
        <v>11669.5</v>
      </c>
      <c r="Z1595" s="7">
        <f t="shared" ca="1" si="364"/>
        <v>0</v>
      </c>
    </row>
    <row r="1596" spans="1:26">
      <c r="A1596" s="3" t="s">
        <v>101</v>
      </c>
      <c r="B1596" s="4">
        <v>44021</v>
      </c>
      <c r="C1596" s="3">
        <v>12202</v>
      </c>
      <c r="D1596" s="3">
        <v>12222</v>
      </c>
      <c r="E1596" s="3">
        <v>12118</v>
      </c>
      <c r="F1596" s="3">
        <v>12147</v>
      </c>
      <c r="G1596" s="3">
        <v>112588</v>
      </c>
      <c r="H1596" s="3">
        <v>0.79500000000000004</v>
      </c>
      <c r="I1596" s="2">
        <f t="shared" si="373"/>
        <v>0</v>
      </c>
      <c r="J1596" s="10">
        <f t="shared" si="375"/>
        <v>77</v>
      </c>
      <c r="K1596" s="10">
        <f t="shared" si="374"/>
        <v>-55</v>
      </c>
      <c r="L1596" s="10">
        <f t="shared" ca="1" si="363"/>
        <v>0</v>
      </c>
      <c r="M1596" s="10">
        <f t="shared" ca="1" si="365"/>
        <v>0</v>
      </c>
      <c r="N1596" s="30">
        <f t="shared" ca="1" si="366"/>
        <v>0</v>
      </c>
      <c r="O1596" s="10">
        <f t="shared" ca="1" si="367"/>
        <v>0</v>
      </c>
      <c r="P1596" s="29">
        <f t="shared" ca="1" si="368"/>
        <v>0</v>
      </c>
      <c r="Q1596" s="12">
        <f t="shared" ca="1" si="369"/>
        <v>90800</v>
      </c>
      <c r="R1596" s="10">
        <f t="shared" ca="1" si="370"/>
        <v>0</v>
      </c>
      <c r="S1596" s="10">
        <f t="shared" ca="1" si="376"/>
        <v>5.8662242805465308</v>
      </c>
      <c r="T1596" s="14">
        <f t="shared" ca="1" si="377"/>
        <v>0.40434246903464016</v>
      </c>
      <c r="U1596" s="12">
        <f t="shared" ca="1" si="371"/>
        <v>141900</v>
      </c>
      <c r="V1596" s="14">
        <f t="shared" ca="1" si="372"/>
        <v>-36.011275546159268</v>
      </c>
      <c r="W1596" s="12">
        <f t="shared" ca="1" si="378"/>
        <v>0</v>
      </c>
      <c r="X1596" s="7">
        <f ca="1">AVERAGE(E1596:OFFSET(F1596,-$X$5+1,0))</f>
        <v>11999.2</v>
      </c>
      <c r="Y1596" s="7">
        <f ca="1">AVERAGE(E1596:OFFSET(F1596,-$Y$5+1,0))</f>
        <v>11742.7</v>
      </c>
      <c r="Z1596" s="7">
        <f t="shared" ca="1" si="364"/>
        <v>0</v>
      </c>
    </row>
    <row r="1597" spans="1:26">
      <c r="A1597" s="3" t="s">
        <v>101</v>
      </c>
      <c r="B1597" s="4">
        <v>44022</v>
      </c>
      <c r="C1597" s="3">
        <v>12204</v>
      </c>
      <c r="D1597" s="3">
        <v>12213</v>
      </c>
      <c r="E1597" s="3">
        <v>11987</v>
      </c>
      <c r="F1597" s="3">
        <v>11999</v>
      </c>
      <c r="G1597" s="3">
        <v>140575</v>
      </c>
      <c r="H1597" s="3">
        <v>0.79500000000000004</v>
      </c>
      <c r="I1597" s="2">
        <f t="shared" si="373"/>
        <v>0</v>
      </c>
      <c r="J1597" s="10">
        <f t="shared" si="375"/>
        <v>57</v>
      </c>
      <c r="K1597" s="10">
        <f t="shared" si="374"/>
        <v>-205</v>
      </c>
      <c r="L1597" s="10">
        <f t="shared" ref="L1597:L1660" ca="1" si="379">Z1597</f>
        <v>0</v>
      </c>
      <c r="M1597" s="10">
        <f t="shared" ca="1" si="365"/>
        <v>0</v>
      </c>
      <c r="N1597" s="30">
        <f t="shared" ca="1" si="366"/>
        <v>0</v>
      </c>
      <c r="O1597" s="10">
        <f t="shared" ca="1" si="367"/>
        <v>0</v>
      </c>
      <c r="P1597" s="29">
        <f t="shared" ca="1" si="368"/>
        <v>0</v>
      </c>
      <c r="Q1597" s="12">
        <f t="shared" ca="1" si="369"/>
        <v>90800</v>
      </c>
      <c r="R1597" s="10">
        <f t="shared" ca="1" si="370"/>
        <v>0</v>
      </c>
      <c r="S1597" s="10">
        <f t="shared" ca="1" si="376"/>
        <v>5.8662242805465308</v>
      </c>
      <c r="T1597" s="14">
        <f t="shared" ca="1" si="377"/>
        <v>0.40441902117834166</v>
      </c>
      <c r="U1597" s="12">
        <f t="shared" ca="1" si="371"/>
        <v>141900</v>
      </c>
      <c r="V1597" s="14">
        <f t="shared" ca="1" si="372"/>
        <v>-36.011275546159268</v>
      </c>
      <c r="W1597" s="12">
        <f t="shared" ca="1" si="378"/>
        <v>0</v>
      </c>
      <c r="X1597" s="7">
        <f ca="1">AVERAGE(E1597:OFFSET(F1597,-$X$5+1,0))</f>
        <v>12038.8</v>
      </c>
      <c r="Y1597" s="7">
        <f ca="1">AVERAGE(E1597:OFFSET(F1597,-$Y$5+1,0))</f>
        <v>11790.7</v>
      </c>
      <c r="Z1597" s="7">
        <f t="shared" ref="Z1597:Z1660" ca="1" si="380">IF(AND(X1596&lt;=Y1596,X1597&gt;Y1597),1,IF(AND(X1596&gt;Y1596,X1597&lt;=Y1597),-1,0))</f>
        <v>0</v>
      </c>
    </row>
    <row r="1598" spans="1:26">
      <c r="A1598" s="3" t="s">
        <v>101</v>
      </c>
      <c r="B1598" s="4">
        <v>44025</v>
      </c>
      <c r="C1598" s="3">
        <v>12139</v>
      </c>
      <c r="D1598" s="3">
        <v>12210</v>
      </c>
      <c r="E1598" s="3">
        <v>12105</v>
      </c>
      <c r="F1598" s="3">
        <v>12205</v>
      </c>
      <c r="G1598" s="3">
        <v>116687</v>
      </c>
      <c r="H1598" s="3">
        <v>0.79500000000000004</v>
      </c>
      <c r="I1598" s="2">
        <f t="shared" si="373"/>
        <v>0</v>
      </c>
      <c r="J1598" s="10">
        <f t="shared" si="375"/>
        <v>140</v>
      </c>
      <c r="K1598" s="10">
        <f t="shared" si="374"/>
        <v>66</v>
      </c>
      <c r="L1598" s="10">
        <f t="shared" ca="1" si="379"/>
        <v>0</v>
      </c>
      <c r="M1598" s="10">
        <f t="shared" ref="M1598:M1661" ca="1" si="381">IF(I1598=1,0,IF(M1597+L1597&gt;=$M$5,$M$5,IF(M1597+L1597&lt;=$M$7,$M$7,M1597+L1597)))</f>
        <v>0</v>
      </c>
      <c r="N1598" s="30">
        <f t="shared" ref="N1598:N1661" ca="1" si="382">IF(M1598=0,0,IF(M1598&gt;M1597,(C1598+N1597*M1597)*$S$5,0))</f>
        <v>0</v>
      </c>
      <c r="O1598" s="10">
        <f t="shared" ref="O1598:O1661" ca="1" si="383">IF(M1598=0,0,IF(M1598=M1597,O1597,((M1598-M1597)*C1598+N1597*M1597)*$S$5/M1598))</f>
        <v>0</v>
      </c>
      <c r="P1598" s="29">
        <f t="shared" ref="P1598:P1661" ca="1" si="384">IF(M1597=M1598,(M1597*J1598+M1598*K1598)*$S$5,(M1597*J1598+M1598*K1598)*$S$5-$S$6)</f>
        <v>0</v>
      </c>
      <c r="Q1598" s="12">
        <f t="shared" ref="Q1598:Q1661" ca="1" si="385">P1598+Q1597</f>
        <v>90800</v>
      </c>
      <c r="R1598" s="10">
        <f t="shared" ref="R1598:R1661" ca="1" si="386">IF(P1598=0,0,IF(O1598=0,100*P1598/O1597,100*P1598/O1598))</f>
        <v>0</v>
      </c>
      <c r="S1598" s="10">
        <f t="shared" ca="1" si="376"/>
        <v>5.8662242805465308</v>
      </c>
      <c r="T1598" s="14">
        <f t="shared" ca="1" si="377"/>
        <v>0.40449557332204317</v>
      </c>
      <c r="U1598" s="12">
        <f t="shared" ref="U1598:U1661" ca="1" si="387">IF(Q1598&gt;U1597,Q1598,U1597)</f>
        <v>141900</v>
      </c>
      <c r="V1598" s="14">
        <f t="shared" ref="V1598:V1661" ca="1" si="388">IF(U1598=0,0,100*(Q1598-U1598)/U1598)</f>
        <v>-36.011275546159268</v>
      </c>
      <c r="W1598" s="12">
        <f t="shared" ca="1" si="378"/>
        <v>0</v>
      </c>
      <c r="X1598" s="7">
        <f ca="1">AVERAGE(E1598:OFFSET(F1598,-$X$5+1,0))</f>
        <v>12072.8</v>
      </c>
      <c r="Y1598" s="7">
        <f ca="1">AVERAGE(E1598:OFFSET(F1598,-$Y$5+1,0))</f>
        <v>11872.4</v>
      </c>
      <c r="Z1598" s="7">
        <f t="shared" ca="1" si="380"/>
        <v>0</v>
      </c>
    </row>
    <row r="1599" spans="1:26">
      <c r="A1599" s="3" t="s">
        <v>101</v>
      </c>
      <c r="B1599" s="4">
        <v>44026</v>
      </c>
      <c r="C1599" s="3">
        <v>12147</v>
      </c>
      <c r="D1599" s="3">
        <v>12224</v>
      </c>
      <c r="E1599" s="3">
        <v>12119</v>
      </c>
      <c r="F1599" s="3">
        <v>12188</v>
      </c>
      <c r="G1599" s="3">
        <v>136035</v>
      </c>
      <c r="H1599" s="3">
        <v>0.79500000000000004</v>
      </c>
      <c r="I1599" s="2">
        <f t="shared" si="373"/>
        <v>0</v>
      </c>
      <c r="J1599" s="10">
        <f t="shared" si="375"/>
        <v>-58</v>
      </c>
      <c r="K1599" s="10">
        <f t="shared" si="374"/>
        <v>41</v>
      </c>
      <c r="L1599" s="10">
        <f t="shared" ca="1" si="379"/>
        <v>0</v>
      </c>
      <c r="M1599" s="10">
        <f t="shared" ca="1" si="381"/>
        <v>0</v>
      </c>
      <c r="N1599" s="30">
        <f t="shared" ca="1" si="382"/>
        <v>0</v>
      </c>
      <c r="O1599" s="10">
        <f t="shared" ca="1" si="383"/>
        <v>0</v>
      </c>
      <c r="P1599" s="29">
        <f t="shared" ca="1" si="384"/>
        <v>0</v>
      </c>
      <c r="Q1599" s="12">
        <f t="shared" ca="1" si="385"/>
        <v>90800</v>
      </c>
      <c r="R1599" s="10">
        <f t="shared" ca="1" si="386"/>
        <v>0</v>
      </c>
      <c r="S1599" s="10">
        <f t="shared" ca="1" si="376"/>
        <v>5.8662242805465308</v>
      </c>
      <c r="T1599" s="14">
        <f t="shared" ca="1" si="377"/>
        <v>0.40457212546574467</v>
      </c>
      <c r="U1599" s="12">
        <f t="shared" ca="1" si="387"/>
        <v>141900</v>
      </c>
      <c r="V1599" s="14">
        <f t="shared" ca="1" si="388"/>
        <v>-36.011275546159268</v>
      </c>
      <c r="W1599" s="12">
        <f t="shared" ca="1" si="378"/>
        <v>0</v>
      </c>
      <c r="X1599" s="7">
        <f ca="1">AVERAGE(E1599:OFFSET(F1599,-$X$5+1,0))</f>
        <v>12101.8</v>
      </c>
      <c r="Y1599" s="7">
        <f ca="1">AVERAGE(E1599:OFFSET(F1599,-$Y$5+1,0))</f>
        <v>11943.7</v>
      </c>
      <c r="Z1599" s="7">
        <f t="shared" ca="1" si="380"/>
        <v>0</v>
      </c>
    </row>
    <row r="1600" spans="1:26">
      <c r="A1600" s="3" t="s">
        <v>101</v>
      </c>
      <c r="B1600" s="4">
        <v>44027</v>
      </c>
      <c r="C1600" s="3">
        <v>12305</v>
      </c>
      <c r="D1600" s="3">
        <v>12323</v>
      </c>
      <c r="E1600" s="3">
        <v>12150</v>
      </c>
      <c r="F1600" s="3">
        <v>12220</v>
      </c>
      <c r="G1600" s="3">
        <v>74574</v>
      </c>
      <c r="H1600" s="3">
        <v>0.79500000000000004</v>
      </c>
      <c r="I1600" s="2">
        <f t="shared" si="373"/>
        <v>1</v>
      </c>
      <c r="J1600" s="10">
        <f t="shared" si="375"/>
        <v>117</v>
      </c>
      <c r="K1600" s="10">
        <f t="shared" si="374"/>
        <v>-85</v>
      </c>
      <c r="L1600" s="10">
        <f t="shared" ca="1" si="379"/>
        <v>0</v>
      </c>
      <c r="M1600" s="10">
        <f t="shared" si="381"/>
        <v>0</v>
      </c>
      <c r="N1600" s="30">
        <f t="shared" si="382"/>
        <v>0</v>
      </c>
      <c r="O1600" s="10">
        <f t="shared" si="383"/>
        <v>0</v>
      </c>
      <c r="P1600" s="29">
        <f t="shared" ca="1" si="384"/>
        <v>0</v>
      </c>
      <c r="Q1600" s="12">
        <f t="shared" ca="1" si="385"/>
        <v>90800</v>
      </c>
      <c r="R1600" s="10">
        <f t="shared" ca="1" si="386"/>
        <v>0</v>
      </c>
      <c r="S1600" s="10">
        <f t="shared" ca="1" si="376"/>
        <v>5.8662242805465308</v>
      </c>
      <c r="T1600" s="14">
        <f t="shared" ca="1" si="377"/>
        <v>0.40492479769042028</v>
      </c>
      <c r="U1600" s="12">
        <f t="shared" ca="1" si="387"/>
        <v>141900</v>
      </c>
      <c r="V1600" s="14">
        <f t="shared" ca="1" si="388"/>
        <v>-36.011275546159268</v>
      </c>
      <c r="W1600" s="12">
        <f t="shared" ca="1" si="378"/>
        <v>0</v>
      </c>
      <c r="X1600" s="7">
        <f ca="1">AVERAGE(E1600:OFFSET(F1600,-$X$5+1,0))</f>
        <v>12123.8</v>
      </c>
      <c r="Y1600" s="7">
        <f ca="1">AVERAGE(E1600:OFFSET(F1600,-$Y$5+1,0))</f>
        <v>12011.3</v>
      </c>
      <c r="Z1600" s="7">
        <f t="shared" ca="1" si="380"/>
        <v>0</v>
      </c>
    </row>
    <row r="1601" spans="1:26">
      <c r="A1601" s="3" t="s">
        <v>102</v>
      </c>
      <c r="B1601" s="4">
        <v>44028</v>
      </c>
      <c r="C1601" s="3">
        <v>12066</v>
      </c>
      <c r="D1601" s="3">
        <v>12094</v>
      </c>
      <c r="E1601" s="3">
        <v>11931</v>
      </c>
      <c r="F1601" s="3">
        <v>12032</v>
      </c>
      <c r="G1601" s="3">
        <v>133119</v>
      </c>
      <c r="H1601" s="3">
        <v>0.79500000000000004</v>
      </c>
      <c r="I1601" s="2">
        <f t="shared" si="373"/>
        <v>0</v>
      </c>
      <c r="J1601" s="10">
        <f t="shared" si="375"/>
        <v>-154</v>
      </c>
      <c r="K1601" s="10">
        <f t="shared" si="374"/>
        <v>-34</v>
      </c>
      <c r="L1601" s="10">
        <f t="shared" ca="1" si="379"/>
        <v>0</v>
      </c>
      <c r="M1601" s="10">
        <f t="shared" ca="1" si="381"/>
        <v>0</v>
      </c>
      <c r="N1601" s="30">
        <f t="shared" ca="1" si="382"/>
        <v>0</v>
      </c>
      <c r="O1601" s="10">
        <f t="shared" ca="1" si="383"/>
        <v>0</v>
      </c>
      <c r="P1601" s="29">
        <f t="shared" ca="1" si="384"/>
        <v>0</v>
      </c>
      <c r="Q1601" s="12">
        <f t="shared" ca="1" si="385"/>
        <v>90800</v>
      </c>
      <c r="R1601" s="10">
        <f t="shared" ca="1" si="386"/>
        <v>0</v>
      </c>
      <c r="S1601" s="10">
        <f t="shared" ca="1" si="376"/>
        <v>5.8662242805465308</v>
      </c>
      <c r="T1601" s="14">
        <f t="shared" ca="1" si="377"/>
        <v>0.40623946780131531</v>
      </c>
      <c r="U1601" s="12">
        <f t="shared" ca="1" si="387"/>
        <v>141900</v>
      </c>
      <c r="V1601" s="14">
        <f t="shared" ca="1" si="388"/>
        <v>-36.011275546159268</v>
      </c>
      <c r="W1601" s="12">
        <f t="shared" ca="1" si="378"/>
        <v>0</v>
      </c>
      <c r="X1601" s="7">
        <f ca="1">AVERAGE(E1601:OFFSET(F1601,-$X$5+1,0))</f>
        <v>12093.6</v>
      </c>
      <c r="Y1601" s="7">
        <f ca="1">AVERAGE(E1601:OFFSET(F1601,-$Y$5+1,0))</f>
        <v>12046.4</v>
      </c>
      <c r="Z1601" s="7">
        <f t="shared" ca="1" si="380"/>
        <v>0</v>
      </c>
    </row>
    <row r="1602" spans="1:26">
      <c r="A1602" s="3" t="s">
        <v>102</v>
      </c>
      <c r="B1602" s="4">
        <v>44029</v>
      </c>
      <c r="C1602" s="3">
        <v>12088</v>
      </c>
      <c r="D1602" s="3">
        <v>12138</v>
      </c>
      <c r="E1602" s="3">
        <v>12011</v>
      </c>
      <c r="F1602" s="3">
        <v>12039</v>
      </c>
      <c r="G1602" s="3">
        <v>112518</v>
      </c>
      <c r="H1602" s="3">
        <v>0.79500000000000004</v>
      </c>
      <c r="I1602" s="2">
        <f t="shared" si="373"/>
        <v>0</v>
      </c>
      <c r="J1602" s="10">
        <f t="shared" si="375"/>
        <v>56</v>
      </c>
      <c r="K1602" s="10">
        <f t="shared" si="374"/>
        <v>-49</v>
      </c>
      <c r="L1602" s="10">
        <f t="shared" ca="1" si="379"/>
        <v>0</v>
      </c>
      <c r="M1602" s="10">
        <f t="shared" ca="1" si="381"/>
        <v>0</v>
      </c>
      <c r="N1602" s="30">
        <f t="shared" ca="1" si="382"/>
        <v>0</v>
      </c>
      <c r="O1602" s="10">
        <f t="shared" ca="1" si="383"/>
        <v>0</v>
      </c>
      <c r="P1602" s="29">
        <f t="shared" ca="1" si="384"/>
        <v>0</v>
      </c>
      <c r="Q1602" s="12">
        <f t="shared" ca="1" si="385"/>
        <v>90800</v>
      </c>
      <c r="R1602" s="10">
        <f t="shared" ca="1" si="386"/>
        <v>0</v>
      </c>
      <c r="S1602" s="10">
        <f t="shared" ca="1" si="376"/>
        <v>5.8662242805465308</v>
      </c>
      <c r="T1602" s="14">
        <f t="shared" ca="1" si="377"/>
        <v>0.40962145845104186</v>
      </c>
      <c r="U1602" s="12">
        <f t="shared" ca="1" si="387"/>
        <v>141900</v>
      </c>
      <c r="V1602" s="14">
        <f t="shared" ca="1" si="388"/>
        <v>-36.011275546159268</v>
      </c>
      <c r="W1602" s="12">
        <f t="shared" ca="1" si="378"/>
        <v>0</v>
      </c>
      <c r="X1602" s="7">
        <f ca="1">AVERAGE(E1602:OFFSET(F1602,-$X$5+1,0))</f>
        <v>12100</v>
      </c>
      <c r="Y1602" s="7">
        <f ca="1">AVERAGE(E1602:OFFSET(F1602,-$Y$5+1,0))</f>
        <v>12069.4</v>
      </c>
      <c r="Z1602" s="7">
        <f t="shared" ca="1" si="380"/>
        <v>0</v>
      </c>
    </row>
    <row r="1603" spans="1:26">
      <c r="A1603" s="3" t="s">
        <v>102</v>
      </c>
      <c r="B1603" s="4">
        <v>44032</v>
      </c>
      <c r="C1603" s="3">
        <v>12073</v>
      </c>
      <c r="D1603" s="3">
        <v>12075</v>
      </c>
      <c r="E1603" s="3">
        <v>11903</v>
      </c>
      <c r="F1603" s="3">
        <v>12031</v>
      </c>
      <c r="G1603" s="3">
        <v>121048</v>
      </c>
      <c r="H1603" s="3">
        <v>0.79500000000000004</v>
      </c>
      <c r="I1603" s="2">
        <f t="shared" si="373"/>
        <v>0</v>
      </c>
      <c r="J1603" s="10">
        <f t="shared" si="375"/>
        <v>34</v>
      </c>
      <c r="K1603" s="10">
        <f t="shared" si="374"/>
        <v>-42</v>
      </c>
      <c r="L1603" s="10">
        <f t="shared" ca="1" si="379"/>
        <v>-1</v>
      </c>
      <c r="M1603" s="10">
        <f t="shared" ca="1" si="381"/>
        <v>0</v>
      </c>
      <c r="N1603" s="30">
        <f t="shared" ca="1" si="382"/>
        <v>0</v>
      </c>
      <c r="O1603" s="10">
        <f t="shared" ca="1" si="383"/>
        <v>0</v>
      </c>
      <c r="P1603" s="29">
        <f t="shared" ca="1" si="384"/>
        <v>0</v>
      </c>
      <c r="Q1603" s="12">
        <f t="shared" ca="1" si="385"/>
        <v>90800</v>
      </c>
      <c r="R1603" s="10">
        <f t="shared" ca="1" si="386"/>
        <v>0</v>
      </c>
      <c r="S1603" s="10">
        <f t="shared" ca="1" si="376"/>
        <v>5.8662242805465308</v>
      </c>
      <c r="T1603" s="14">
        <f t="shared" ca="1" si="377"/>
        <v>0.40991960530913629</v>
      </c>
      <c r="U1603" s="12">
        <f t="shared" ca="1" si="387"/>
        <v>141900</v>
      </c>
      <c r="V1603" s="14">
        <f t="shared" ca="1" si="388"/>
        <v>-36.011275546159268</v>
      </c>
      <c r="W1603" s="12">
        <f t="shared" ca="1" si="378"/>
        <v>0</v>
      </c>
      <c r="X1603" s="7">
        <f ca="1">AVERAGE(E1603:OFFSET(F1603,-$X$5+1,0))</f>
        <v>12062.4</v>
      </c>
      <c r="Y1603" s="7">
        <f ca="1">AVERAGE(E1603:OFFSET(F1603,-$Y$5+1,0))</f>
        <v>12067.6</v>
      </c>
      <c r="Z1603" s="7">
        <f t="shared" ca="1" si="380"/>
        <v>-1</v>
      </c>
    </row>
    <row r="1604" spans="1:26">
      <c r="A1604" s="3" t="s">
        <v>102</v>
      </c>
      <c r="B1604" s="4">
        <v>44033</v>
      </c>
      <c r="C1604" s="3">
        <v>12125</v>
      </c>
      <c r="D1604" s="3">
        <v>12324</v>
      </c>
      <c r="E1604" s="3">
        <v>12121</v>
      </c>
      <c r="F1604" s="3">
        <v>12289</v>
      </c>
      <c r="G1604" s="3">
        <v>123081</v>
      </c>
      <c r="H1604" s="3">
        <v>0.79500000000000004</v>
      </c>
      <c r="I1604" s="2">
        <f t="shared" ref="I1604:I1662" si="389">IF(A1604=A1605,0,1)</f>
        <v>0</v>
      </c>
      <c r="J1604" s="10">
        <f t="shared" si="375"/>
        <v>94</v>
      </c>
      <c r="K1604" s="10">
        <f t="shared" ref="K1604:K1662" si="390">F1604-C1604</f>
        <v>164</v>
      </c>
      <c r="L1604" s="10">
        <f t="shared" ca="1" si="379"/>
        <v>0</v>
      </c>
      <c r="M1604" s="10">
        <f t="shared" ca="1" si="381"/>
        <v>-1</v>
      </c>
      <c r="N1604" s="30">
        <f t="shared" ca="1" si="382"/>
        <v>0</v>
      </c>
      <c r="O1604" s="10">
        <f t="shared" ca="1" si="383"/>
        <v>2425000</v>
      </c>
      <c r="P1604" s="29">
        <f t="shared" ca="1" si="384"/>
        <v>-33300</v>
      </c>
      <c r="Q1604" s="12">
        <f t="shared" ca="1" si="385"/>
        <v>57500</v>
      </c>
      <c r="R1604" s="10">
        <f t="shared" ca="1" si="386"/>
        <v>-1.3731958762886598</v>
      </c>
      <c r="S1604" s="10">
        <f t="shared" ca="1" si="376"/>
        <v>5.4583995760466353</v>
      </c>
      <c r="T1604" s="14">
        <f t="shared" ca="1" si="377"/>
        <v>0.37341579595788771</v>
      </c>
      <c r="U1604" s="12">
        <f t="shared" ca="1" si="387"/>
        <v>141900</v>
      </c>
      <c r="V1604" s="14">
        <f t="shared" ca="1" si="388"/>
        <v>-59.478505990133897</v>
      </c>
      <c r="W1604" s="12">
        <f t="shared" ca="1" si="378"/>
        <v>0</v>
      </c>
      <c r="X1604" s="7">
        <f ca="1">AVERAGE(E1604:OFFSET(F1604,-$X$5+1,0))</f>
        <v>12072.7</v>
      </c>
      <c r="Y1604" s="7">
        <f ca="1">AVERAGE(E1604:OFFSET(F1604,-$Y$5+1,0))</f>
        <v>12087.25</v>
      </c>
      <c r="Z1604" s="7">
        <f t="shared" ca="1" si="380"/>
        <v>0</v>
      </c>
    </row>
    <row r="1605" spans="1:26">
      <c r="A1605" s="3" t="s">
        <v>102</v>
      </c>
      <c r="B1605" s="4">
        <v>44034</v>
      </c>
      <c r="C1605" s="3">
        <v>12301</v>
      </c>
      <c r="D1605" s="3">
        <v>12361</v>
      </c>
      <c r="E1605" s="3">
        <v>12256</v>
      </c>
      <c r="F1605" s="3">
        <v>12331</v>
      </c>
      <c r="G1605" s="3">
        <v>95059</v>
      </c>
      <c r="H1605" s="3">
        <v>0.79500000000000004</v>
      </c>
      <c r="I1605" s="2">
        <f t="shared" si="389"/>
        <v>0</v>
      </c>
      <c r="J1605" s="10">
        <f t="shared" ref="J1605:J1662" si="391">C1605-F1604</f>
        <v>12</v>
      </c>
      <c r="K1605" s="10">
        <f t="shared" si="390"/>
        <v>30</v>
      </c>
      <c r="L1605" s="10">
        <f t="shared" ca="1" si="379"/>
        <v>0</v>
      </c>
      <c r="M1605" s="10">
        <f t="shared" ca="1" si="381"/>
        <v>-1</v>
      </c>
      <c r="N1605" s="30">
        <f t="shared" ca="1" si="382"/>
        <v>0</v>
      </c>
      <c r="O1605" s="10">
        <f t="shared" ca="1" si="383"/>
        <v>2425000</v>
      </c>
      <c r="P1605" s="29">
        <f t="shared" ca="1" si="384"/>
        <v>-8400</v>
      </c>
      <c r="Q1605" s="12">
        <f t="shared" ca="1" si="385"/>
        <v>49100</v>
      </c>
      <c r="R1605" s="10">
        <f t="shared" ca="1" si="386"/>
        <v>-0.34639175257731958</v>
      </c>
      <c r="S1605" s="10">
        <f t="shared" ca="1" si="376"/>
        <v>5.4031013110297001</v>
      </c>
      <c r="T1605" s="14">
        <f t="shared" ca="1" si="377"/>
        <v>0.36921215244039807</v>
      </c>
      <c r="U1605" s="12">
        <f t="shared" ca="1" si="387"/>
        <v>141900</v>
      </c>
      <c r="V1605" s="14">
        <f t="shared" ca="1" si="388"/>
        <v>-65.398167723749125</v>
      </c>
      <c r="W1605" s="12">
        <f t="shared" ca="1" si="378"/>
        <v>0</v>
      </c>
      <c r="X1605" s="7">
        <f ca="1">AVERAGE(E1605:OFFSET(F1605,-$X$5+1,0))</f>
        <v>12094.4</v>
      </c>
      <c r="Y1605" s="7">
        <f ca="1">AVERAGE(E1605:OFFSET(F1605,-$Y$5+1,0))</f>
        <v>12109.1</v>
      </c>
      <c r="Z1605" s="7">
        <f t="shared" ca="1" si="380"/>
        <v>0</v>
      </c>
    </row>
    <row r="1606" spans="1:26">
      <c r="A1606" s="3" t="s">
        <v>102</v>
      </c>
      <c r="B1606" s="4">
        <v>44035</v>
      </c>
      <c r="C1606" s="3">
        <v>12309</v>
      </c>
      <c r="D1606" s="3">
        <v>12313</v>
      </c>
      <c r="E1606" s="3">
        <v>12199</v>
      </c>
      <c r="F1606" s="3">
        <v>12288</v>
      </c>
      <c r="G1606" s="3">
        <v>122819</v>
      </c>
      <c r="H1606" s="3">
        <v>0.79500000000000004</v>
      </c>
      <c r="I1606" s="2">
        <f t="shared" si="389"/>
        <v>0</v>
      </c>
      <c r="J1606" s="10">
        <f t="shared" si="391"/>
        <v>-22</v>
      </c>
      <c r="K1606" s="10">
        <f t="shared" si="390"/>
        <v>-21</v>
      </c>
      <c r="L1606" s="10">
        <f t="shared" ca="1" si="379"/>
        <v>1</v>
      </c>
      <c r="M1606" s="10">
        <f t="shared" ca="1" si="381"/>
        <v>-1</v>
      </c>
      <c r="N1606" s="30">
        <f t="shared" ca="1" si="382"/>
        <v>0</v>
      </c>
      <c r="O1606" s="10">
        <f t="shared" ca="1" si="383"/>
        <v>2425000</v>
      </c>
      <c r="P1606" s="29">
        <f t="shared" ca="1" si="384"/>
        <v>8600</v>
      </c>
      <c r="Q1606" s="12">
        <f t="shared" ca="1" si="385"/>
        <v>57700</v>
      </c>
      <c r="R1606" s="10">
        <f t="shared" ca="1" si="386"/>
        <v>0.35463917525773198</v>
      </c>
      <c r="S1606" s="10">
        <f t="shared" ca="1" si="376"/>
        <v>5.4215340660353446</v>
      </c>
      <c r="T1606" s="14">
        <f t="shared" ca="1" si="377"/>
        <v>0.37074224961943664</v>
      </c>
      <c r="U1606" s="12">
        <f t="shared" ca="1" si="387"/>
        <v>141900</v>
      </c>
      <c r="V1606" s="14">
        <f t="shared" ca="1" si="388"/>
        <v>-59.337561663143056</v>
      </c>
      <c r="W1606" s="12">
        <f t="shared" ca="1" si="378"/>
        <v>0</v>
      </c>
      <c r="X1606" s="7">
        <f ca="1">AVERAGE(E1606:OFFSET(F1606,-$X$5+1,0))</f>
        <v>12146.8</v>
      </c>
      <c r="Y1606" s="7">
        <f ca="1">AVERAGE(E1606:OFFSET(F1606,-$Y$5+1,0))</f>
        <v>12120.2</v>
      </c>
      <c r="Z1606" s="7">
        <f t="shared" ca="1" si="380"/>
        <v>1</v>
      </c>
    </row>
    <row r="1607" spans="1:26">
      <c r="A1607" s="3" t="s">
        <v>102</v>
      </c>
      <c r="B1607" s="4">
        <v>44036</v>
      </c>
      <c r="C1607" s="3">
        <v>12232</v>
      </c>
      <c r="D1607" s="3">
        <v>12352</v>
      </c>
      <c r="E1607" s="3">
        <v>12123</v>
      </c>
      <c r="F1607" s="3">
        <v>12150</v>
      </c>
      <c r="G1607" s="3">
        <v>172087</v>
      </c>
      <c r="H1607" s="3">
        <v>0.79500000000000004</v>
      </c>
      <c r="I1607" s="2">
        <f t="shared" si="389"/>
        <v>0</v>
      </c>
      <c r="J1607" s="10">
        <f t="shared" si="391"/>
        <v>-56</v>
      </c>
      <c r="K1607" s="10">
        <f t="shared" si="390"/>
        <v>-82</v>
      </c>
      <c r="L1607" s="10">
        <f t="shared" ca="1" si="379"/>
        <v>0</v>
      </c>
      <c r="M1607" s="10">
        <f t="shared" ca="1" si="381"/>
        <v>0</v>
      </c>
      <c r="N1607" s="30">
        <f t="shared" ca="1" si="382"/>
        <v>0</v>
      </c>
      <c r="O1607" s="10">
        <f t="shared" ca="1" si="383"/>
        <v>0</v>
      </c>
      <c r="P1607" s="29">
        <f t="shared" ca="1" si="384"/>
        <v>10700</v>
      </c>
      <c r="Q1607" s="12">
        <f t="shared" ca="1" si="385"/>
        <v>68400</v>
      </c>
      <c r="R1607" s="10">
        <f t="shared" ca="1" si="386"/>
        <v>0.44123711340206184</v>
      </c>
      <c r="S1607" s="10">
        <f t="shared" ca="1" si="376"/>
        <v>5.5321305960692149</v>
      </c>
      <c r="T1607" s="14">
        <f t="shared" ca="1" si="377"/>
        <v>0.37987469191590195</v>
      </c>
      <c r="U1607" s="12">
        <f t="shared" ca="1" si="387"/>
        <v>141900</v>
      </c>
      <c r="V1607" s="14">
        <f t="shared" ca="1" si="388"/>
        <v>-51.79704016913319</v>
      </c>
      <c r="W1607" s="12">
        <f t="shared" ca="1" si="378"/>
        <v>0</v>
      </c>
      <c r="X1607" s="7">
        <f ca="1">AVERAGE(E1607:OFFSET(F1607,-$X$5+1,0))</f>
        <v>12169.1</v>
      </c>
      <c r="Y1607" s="7">
        <f ca="1">AVERAGE(E1607:OFFSET(F1607,-$Y$5+1,0))</f>
        <v>12134.55</v>
      </c>
      <c r="Z1607" s="7">
        <f t="shared" ca="1" si="380"/>
        <v>0</v>
      </c>
    </row>
    <row r="1608" spans="1:26">
      <c r="A1608" s="3" t="s">
        <v>102</v>
      </c>
      <c r="B1608" s="4">
        <v>44039</v>
      </c>
      <c r="C1608" s="3">
        <v>12410</v>
      </c>
      <c r="D1608" s="3">
        <v>12572</v>
      </c>
      <c r="E1608" s="3">
        <v>12407</v>
      </c>
      <c r="F1608" s="3">
        <v>12503</v>
      </c>
      <c r="G1608" s="3">
        <v>140577</v>
      </c>
      <c r="H1608" s="3">
        <v>0.79500000000000004</v>
      </c>
      <c r="I1608" s="2">
        <f t="shared" si="389"/>
        <v>0</v>
      </c>
      <c r="J1608" s="10">
        <f t="shared" si="391"/>
        <v>260</v>
      </c>
      <c r="K1608" s="10">
        <f t="shared" si="390"/>
        <v>93</v>
      </c>
      <c r="L1608" s="10">
        <f t="shared" ca="1" si="379"/>
        <v>0</v>
      </c>
      <c r="M1608" s="10">
        <f t="shared" ca="1" si="381"/>
        <v>0</v>
      </c>
      <c r="N1608" s="30">
        <f t="shared" ca="1" si="382"/>
        <v>0</v>
      </c>
      <c r="O1608" s="10">
        <f t="shared" ca="1" si="383"/>
        <v>0</v>
      </c>
      <c r="P1608" s="29">
        <f t="shared" ca="1" si="384"/>
        <v>0</v>
      </c>
      <c r="Q1608" s="12">
        <f t="shared" ca="1" si="385"/>
        <v>68400</v>
      </c>
      <c r="R1608" s="10">
        <f t="shared" ca="1" si="386"/>
        <v>0</v>
      </c>
      <c r="S1608" s="10">
        <f t="shared" ca="1" si="376"/>
        <v>5.5321305960692149</v>
      </c>
      <c r="T1608" s="14">
        <f t="shared" ca="1" si="377"/>
        <v>0.37994440407783397</v>
      </c>
      <c r="U1608" s="12">
        <f t="shared" ca="1" si="387"/>
        <v>141900</v>
      </c>
      <c r="V1608" s="14">
        <f t="shared" ca="1" si="388"/>
        <v>-51.79704016913319</v>
      </c>
      <c r="W1608" s="12">
        <f t="shared" ca="1" si="378"/>
        <v>0</v>
      </c>
      <c r="X1608" s="7">
        <f ca="1">AVERAGE(E1608:OFFSET(F1608,-$X$5+1,0))</f>
        <v>12266.7</v>
      </c>
      <c r="Y1608" s="7">
        <f ca="1">AVERAGE(E1608:OFFSET(F1608,-$Y$5+1,0))</f>
        <v>12164.55</v>
      </c>
      <c r="Z1608" s="7">
        <f t="shared" ca="1" si="380"/>
        <v>0</v>
      </c>
    </row>
    <row r="1609" spans="1:26">
      <c r="A1609" s="3" t="s">
        <v>102</v>
      </c>
      <c r="B1609" s="4">
        <v>44040</v>
      </c>
      <c r="C1609" s="3">
        <v>12834</v>
      </c>
      <c r="D1609" s="3">
        <v>12900</v>
      </c>
      <c r="E1609" s="3">
        <v>12408</v>
      </c>
      <c r="F1609" s="3">
        <v>12457</v>
      </c>
      <c r="G1609" s="3">
        <v>245816</v>
      </c>
      <c r="H1609" s="3">
        <v>0.79500000000000004</v>
      </c>
      <c r="I1609" s="2">
        <f t="shared" si="389"/>
        <v>0</v>
      </c>
      <c r="J1609" s="10">
        <f t="shared" si="391"/>
        <v>331</v>
      </c>
      <c r="K1609" s="10">
        <f t="shared" si="390"/>
        <v>-377</v>
      </c>
      <c r="L1609" s="10">
        <f t="shared" ca="1" si="379"/>
        <v>0</v>
      </c>
      <c r="M1609" s="10">
        <f t="shared" ca="1" si="381"/>
        <v>0</v>
      </c>
      <c r="N1609" s="30">
        <f t="shared" ca="1" si="382"/>
        <v>0</v>
      </c>
      <c r="O1609" s="10">
        <f t="shared" ca="1" si="383"/>
        <v>0</v>
      </c>
      <c r="P1609" s="29">
        <f t="shared" ca="1" si="384"/>
        <v>0</v>
      </c>
      <c r="Q1609" s="12">
        <f t="shared" ca="1" si="385"/>
        <v>68400</v>
      </c>
      <c r="R1609" s="10">
        <f t="shared" ca="1" si="386"/>
        <v>0</v>
      </c>
      <c r="S1609" s="10">
        <f t="shared" ca="1" si="376"/>
        <v>5.5321305960692149</v>
      </c>
      <c r="T1609" s="14">
        <f t="shared" ca="1" si="377"/>
        <v>0.38146697119258899</v>
      </c>
      <c r="U1609" s="12">
        <f t="shared" ca="1" si="387"/>
        <v>141900</v>
      </c>
      <c r="V1609" s="14">
        <f t="shared" ca="1" si="388"/>
        <v>-51.79704016913319</v>
      </c>
      <c r="W1609" s="12">
        <f t="shared" ca="1" si="378"/>
        <v>0</v>
      </c>
      <c r="X1609" s="7">
        <f ca="1">AVERAGE(E1609:OFFSET(F1609,-$X$5+1,0))</f>
        <v>12312.2</v>
      </c>
      <c r="Y1609" s="7">
        <f ca="1">AVERAGE(E1609:OFFSET(F1609,-$Y$5+1,0))</f>
        <v>12192.45</v>
      </c>
      <c r="Z1609" s="7">
        <f t="shared" ca="1" si="380"/>
        <v>0</v>
      </c>
    </row>
    <row r="1610" spans="1:26">
      <c r="A1610" s="3" t="s">
        <v>102</v>
      </c>
      <c r="B1610" s="4">
        <v>44041</v>
      </c>
      <c r="C1610" s="3">
        <v>12446</v>
      </c>
      <c r="D1610" s="3">
        <v>12543</v>
      </c>
      <c r="E1610" s="3">
        <v>12392</v>
      </c>
      <c r="F1610" s="3">
        <v>12423</v>
      </c>
      <c r="G1610" s="3">
        <v>138924</v>
      </c>
      <c r="H1610" s="3">
        <v>0.79500000000000004</v>
      </c>
      <c r="I1610" s="2">
        <f t="shared" si="389"/>
        <v>0</v>
      </c>
      <c r="J1610" s="10">
        <f t="shared" si="391"/>
        <v>-11</v>
      </c>
      <c r="K1610" s="10">
        <f t="shared" si="390"/>
        <v>-23</v>
      </c>
      <c r="L1610" s="10">
        <f t="shared" ca="1" si="379"/>
        <v>0</v>
      </c>
      <c r="M1610" s="10">
        <f t="shared" ca="1" si="381"/>
        <v>0</v>
      </c>
      <c r="N1610" s="30">
        <f t="shared" ca="1" si="382"/>
        <v>0</v>
      </c>
      <c r="O1610" s="10">
        <f t="shared" ca="1" si="383"/>
        <v>0</v>
      </c>
      <c r="P1610" s="29">
        <f t="shared" ca="1" si="384"/>
        <v>0</v>
      </c>
      <c r="Q1610" s="12">
        <f t="shared" ca="1" si="385"/>
        <v>68400</v>
      </c>
      <c r="R1610" s="10">
        <f t="shared" ca="1" si="386"/>
        <v>0</v>
      </c>
      <c r="S1610" s="10">
        <f t="shared" ca="1" si="376"/>
        <v>5.5321305960692149</v>
      </c>
      <c r="T1610" s="14">
        <f t="shared" ca="1" si="377"/>
        <v>0.38154428354752662</v>
      </c>
      <c r="U1610" s="12">
        <f t="shared" ca="1" si="387"/>
        <v>141900</v>
      </c>
      <c r="V1610" s="14">
        <f t="shared" ca="1" si="388"/>
        <v>-51.79704016913319</v>
      </c>
      <c r="W1610" s="12">
        <f t="shared" ca="1" si="378"/>
        <v>0</v>
      </c>
      <c r="X1610" s="7">
        <f ca="1">AVERAGE(E1610:OFFSET(F1610,-$X$5+1,0))</f>
        <v>12335</v>
      </c>
      <c r="Y1610" s="7">
        <f ca="1">AVERAGE(E1610:OFFSET(F1610,-$Y$5+1,0))</f>
        <v>12214.7</v>
      </c>
      <c r="Z1610" s="7">
        <f t="shared" ca="1" si="380"/>
        <v>0</v>
      </c>
    </row>
    <row r="1611" spans="1:26">
      <c r="A1611" s="3" t="s">
        <v>102</v>
      </c>
      <c r="B1611" s="4">
        <v>44042</v>
      </c>
      <c r="C1611" s="3">
        <v>12617</v>
      </c>
      <c r="D1611" s="3">
        <v>12627</v>
      </c>
      <c r="E1611" s="3">
        <v>12488</v>
      </c>
      <c r="F1611" s="3">
        <v>12596</v>
      </c>
      <c r="G1611" s="3">
        <v>126225</v>
      </c>
      <c r="H1611" s="3">
        <v>0.79500000000000004</v>
      </c>
      <c r="I1611" s="2">
        <f t="shared" si="389"/>
        <v>0</v>
      </c>
      <c r="J1611" s="10">
        <f t="shared" si="391"/>
        <v>194</v>
      </c>
      <c r="K1611" s="10">
        <f t="shared" si="390"/>
        <v>-21</v>
      </c>
      <c r="L1611" s="10">
        <f t="shared" ca="1" si="379"/>
        <v>0</v>
      </c>
      <c r="M1611" s="10">
        <f t="shared" ca="1" si="381"/>
        <v>0</v>
      </c>
      <c r="N1611" s="30">
        <f t="shared" ca="1" si="382"/>
        <v>0</v>
      </c>
      <c r="O1611" s="10">
        <f t="shared" ca="1" si="383"/>
        <v>0</v>
      </c>
      <c r="P1611" s="29">
        <f t="shared" ca="1" si="384"/>
        <v>0</v>
      </c>
      <c r="Q1611" s="12">
        <f t="shared" ca="1" si="385"/>
        <v>68400</v>
      </c>
      <c r="R1611" s="10">
        <f t="shared" ca="1" si="386"/>
        <v>0</v>
      </c>
      <c r="S1611" s="10">
        <f t="shared" ca="1" si="376"/>
        <v>5.4249902075989036</v>
      </c>
      <c r="T1611" s="14">
        <f t="shared" ca="1" si="377"/>
        <v>0.37267565810157338</v>
      </c>
      <c r="U1611" s="12">
        <f t="shared" ca="1" si="387"/>
        <v>141900</v>
      </c>
      <c r="V1611" s="14">
        <f t="shared" ca="1" si="388"/>
        <v>-51.79704016913319</v>
      </c>
      <c r="W1611" s="12">
        <f t="shared" ca="1" si="378"/>
        <v>0</v>
      </c>
      <c r="X1611" s="7">
        <f ca="1">AVERAGE(E1611:OFFSET(F1611,-$X$5+1,0))</f>
        <v>12394.7</v>
      </c>
      <c r="Y1611" s="7">
        <f ca="1">AVERAGE(E1611:OFFSET(F1611,-$Y$5+1,0))</f>
        <v>12270.75</v>
      </c>
      <c r="Z1611" s="7">
        <f t="shared" ca="1" si="380"/>
        <v>0</v>
      </c>
    </row>
    <row r="1612" spans="1:26">
      <c r="A1612" s="3" t="s">
        <v>102</v>
      </c>
      <c r="B1612" s="4">
        <v>44043</v>
      </c>
      <c r="C1612" s="3">
        <v>12606</v>
      </c>
      <c r="D1612" s="3">
        <v>12644</v>
      </c>
      <c r="E1612" s="3">
        <v>12525</v>
      </c>
      <c r="F1612" s="3">
        <v>12577</v>
      </c>
      <c r="G1612" s="3">
        <v>130348</v>
      </c>
      <c r="H1612" s="3">
        <v>0.79500000000000004</v>
      </c>
      <c r="I1612" s="2">
        <f t="shared" si="389"/>
        <v>0</v>
      </c>
      <c r="J1612" s="10">
        <f t="shared" si="391"/>
        <v>10</v>
      </c>
      <c r="K1612" s="10">
        <f t="shared" si="390"/>
        <v>-29</v>
      </c>
      <c r="L1612" s="10">
        <f t="shared" ca="1" si="379"/>
        <v>0</v>
      </c>
      <c r="M1612" s="10">
        <f t="shared" ca="1" si="381"/>
        <v>0</v>
      </c>
      <c r="N1612" s="30">
        <f t="shared" ca="1" si="382"/>
        <v>0</v>
      </c>
      <c r="O1612" s="10">
        <f t="shared" ca="1" si="383"/>
        <v>0</v>
      </c>
      <c r="P1612" s="29">
        <f t="shared" ca="1" si="384"/>
        <v>0</v>
      </c>
      <c r="Q1612" s="12">
        <f t="shared" ca="1" si="385"/>
        <v>68400</v>
      </c>
      <c r="R1612" s="10">
        <f t="shared" ca="1" si="386"/>
        <v>0</v>
      </c>
      <c r="S1612" s="10">
        <f t="shared" ca="1" si="376"/>
        <v>5.2176217137853964</v>
      </c>
      <c r="T1612" s="14">
        <f t="shared" ca="1" si="377"/>
        <v>0.35543825213220609</v>
      </c>
      <c r="U1612" s="12">
        <f t="shared" ca="1" si="387"/>
        <v>141900</v>
      </c>
      <c r="V1612" s="14">
        <f t="shared" ca="1" si="388"/>
        <v>-51.79704016913319</v>
      </c>
      <c r="W1612" s="12">
        <f t="shared" ca="1" si="378"/>
        <v>0</v>
      </c>
      <c r="X1612" s="7">
        <f ca="1">AVERAGE(E1612:OFFSET(F1612,-$X$5+1,0))</f>
        <v>12477.6</v>
      </c>
      <c r="Y1612" s="7">
        <f ca="1">AVERAGE(E1612:OFFSET(F1612,-$Y$5+1,0))</f>
        <v>12323.35</v>
      </c>
      <c r="Z1612" s="7">
        <f t="shared" ca="1" si="380"/>
        <v>0</v>
      </c>
    </row>
    <row r="1613" spans="1:26">
      <c r="A1613" s="3" t="s">
        <v>102</v>
      </c>
      <c r="B1613" s="4">
        <v>44046</v>
      </c>
      <c r="C1613" s="3">
        <v>12531</v>
      </c>
      <c r="D1613" s="3">
        <v>12567</v>
      </c>
      <c r="E1613" s="3">
        <v>12405</v>
      </c>
      <c r="F1613" s="3">
        <v>12443</v>
      </c>
      <c r="G1613" s="3">
        <v>134894</v>
      </c>
      <c r="H1613" s="3">
        <v>0.79500000000000004</v>
      </c>
      <c r="I1613" s="2">
        <f t="shared" si="389"/>
        <v>0</v>
      </c>
      <c r="J1613" s="10">
        <f t="shared" si="391"/>
        <v>-46</v>
      </c>
      <c r="K1613" s="10">
        <f t="shared" si="390"/>
        <v>-88</v>
      </c>
      <c r="L1613" s="10">
        <f t="shared" ca="1" si="379"/>
        <v>0</v>
      </c>
      <c r="M1613" s="10">
        <f t="shared" ca="1" si="381"/>
        <v>0</v>
      </c>
      <c r="N1613" s="30">
        <f t="shared" ca="1" si="382"/>
        <v>0</v>
      </c>
      <c r="O1613" s="10">
        <f t="shared" ca="1" si="383"/>
        <v>0</v>
      </c>
      <c r="P1613" s="29">
        <f t="shared" ca="1" si="384"/>
        <v>0</v>
      </c>
      <c r="Q1613" s="12">
        <f t="shared" ca="1" si="385"/>
        <v>68400</v>
      </c>
      <c r="R1613" s="10">
        <f t="shared" ca="1" si="386"/>
        <v>0</v>
      </c>
      <c r="S1613" s="10">
        <f t="shared" ca="1" si="376"/>
        <v>5.1070251837515261</v>
      </c>
      <c r="T1613" s="14">
        <f t="shared" ca="1" si="377"/>
        <v>0.34628104804751436</v>
      </c>
      <c r="U1613" s="12">
        <f t="shared" ca="1" si="387"/>
        <v>141900</v>
      </c>
      <c r="V1613" s="14">
        <f t="shared" ca="1" si="388"/>
        <v>-51.79704016913319</v>
      </c>
      <c r="W1613" s="12">
        <f t="shared" ca="1" si="378"/>
        <v>0</v>
      </c>
      <c r="X1613" s="7">
        <f ca="1">AVERAGE(E1613:OFFSET(F1613,-$X$5+1,0))</f>
        <v>12471.4</v>
      </c>
      <c r="Y1613" s="7">
        <f ca="1">AVERAGE(E1613:OFFSET(F1613,-$Y$5+1,0))</f>
        <v>12369.05</v>
      </c>
      <c r="Z1613" s="7">
        <f t="shared" ca="1" si="380"/>
        <v>0</v>
      </c>
    </row>
    <row r="1614" spans="1:26">
      <c r="A1614" s="3" t="s">
        <v>102</v>
      </c>
      <c r="B1614" s="4">
        <v>44047</v>
      </c>
      <c r="C1614" s="3">
        <v>12516</v>
      </c>
      <c r="D1614" s="3">
        <v>12632</v>
      </c>
      <c r="E1614" s="3">
        <v>12489</v>
      </c>
      <c r="F1614" s="3">
        <v>12629</v>
      </c>
      <c r="G1614" s="3">
        <v>111175</v>
      </c>
      <c r="H1614" s="3">
        <v>0.79500000000000004</v>
      </c>
      <c r="I1614" s="2">
        <f t="shared" si="389"/>
        <v>0</v>
      </c>
      <c r="J1614" s="10">
        <f t="shared" si="391"/>
        <v>73</v>
      </c>
      <c r="K1614" s="10">
        <f t="shared" si="390"/>
        <v>113</v>
      </c>
      <c r="L1614" s="10">
        <f t="shared" ca="1" si="379"/>
        <v>0</v>
      </c>
      <c r="M1614" s="10">
        <f t="shared" ca="1" si="381"/>
        <v>0</v>
      </c>
      <c r="N1614" s="30">
        <f t="shared" ca="1" si="382"/>
        <v>0</v>
      </c>
      <c r="O1614" s="10">
        <f t="shared" ca="1" si="383"/>
        <v>0</v>
      </c>
      <c r="P1614" s="29">
        <f t="shared" ca="1" si="384"/>
        <v>0</v>
      </c>
      <c r="Q1614" s="12">
        <f t="shared" ca="1" si="385"/>
        <v>68400</v>
      </c>
      <c r="R1614" s="10">
        <f t="shared" ca="1" si="386"/>
        <v>0</v>
      </c>
      <c r="S1614" s="10">
        <f t="shared" ca="1" si="376"/>
        <v>5.1438906937628168</v>
      </c>
      <c r="T1614" s="14">
        <f t="shared" ca="1" si="377"/>
        <v>0.34943653254899504</v>
      </c>
      <c r="U1614" s="12">
        <f t="shared" ca="1" si="387"/>
        <v>141900</v>
      </c>
      <c r="V1614" s="14">
        <f t="shared" ca="1" si="388"/>
        <v>-51.79704016913319</v>
      </c>
      <c r="W1614" s="12">
        <f t="shared" ca="1" si="378"/>
        <v>0</v>
      </c>
      <c r="X1614" s="7">
        <f ca="1">AVERAGE(E1614:OFFSET(F1614,-$X$5+1,0))</f>
        <v>12496.7</v>
      </c>
      <c r="Y1614" s="7">
        <f ca="1">AVERAGE(E1614:OFFSET(F1614,-$Y$5+1,0))</f>
        <v>12404.45</v>
      </c>
      <c r="Z1614" s="7">
        <f t="shared" ca="1" si="380"/>
        <v>0</v>
      </c>
    </row>
    <row r="1615" spans="1:26">
      <c r="A1615" s="3" t="s">
        <v>102</v>
      </c>
      <c r="B1615" s="4">
        <v>44048</v>
      </c>
      <c r="C1615" s="3">
        <v>12700</v>
      </c>
      <c r="D1615" s="3">
        <v>12746</v>
      </c>
      <c r="E1615" s="3">
        <v>12643</v>
      </c>
      <c r="F1615" s="3">
        <v>12744</v>
      </c>
      <c r="G1615" s="3">
        <v>106101</v>
      </c>
      <c r="H1615" s="3">
        <v>0.79500000000000004</v>
      </c>
      <c r="I1615" s="2">
        <f t="shared" si="389"/>
        <v>0</v>
      </c>
      <c r="J1615" s="10">
        <f t="shared" si="391"/>
        <v>71</v>
      </c>
      <c r="K1615" s="10">
        <f t="shared" si="390"/>
        <v>44</v>
      </c>
      <c r="L1615" s="10">
        <f t="shared" ca="1" si="379"/>
        <v>0</v>
      </c>
      <c r="M1615" s="10">
        <f t="shared" ca="1" si="381"/>
        <v>0</v>
      </c>
      <c r="N1615" s="30">
        <f t="shared" ca="1" si="382"/>
        <v>0</v>
      </c>
      <c r="O1615" s="10">
        <f t="shared" ca="1" si="383"/>
        <v>0</v>
      </c>
      <c r="P1615" s="29">
        <f t="shared" ca="1" si="384"/>
        <v>0</v>
      </c>
      <c r="Q1615" s="12">
        <f t="shared" ca="1" si="385"/>
        <v>68400</v>
      </c>
      <c r="R1615" s="10">
        <f t="shared" ca="1" si="386"/>
        <v>0</v>
      </c>
      <c r="S1615" s="10">
        <f t="shared" ca="1" si="376"/>
        <v>5.3558673763277342</v>
      </c>
      <c r="T1615" s="14">
        <f t="shared" ca="1" si="377"/>
        <v>0.368189015809193</v>
      </c>
      <c r="U1615" s="12">
        <f t="shared" ca="1" si="387"/>
        <v>141900</v>
      </c>
      <c r="V1615" s="14">
        <f t="shared" ca="1" si="388"/>
        <v>-51.79704016913319</v>
      </c>
      <c r="W1615" s="12">
        <f t="shared" ca="1" si="378"/>
        <v>0</v>
      </c>
      <c r="X1615" s="7">
        <f ca="1">AVERAGE(E1615:OFFSET(F1615,-$X$5+1,0))</f>
        <v>12553.9</v>
      </c>
      <c r="Y1615" s="7">
        <f ca="1">AVERAGE(E1615:OFFSET(F1615,-$Y$5+1,0))</f>
        <v>12444.45</v>
      </c>
      <c r="Z1615" s="7">
        <f t="shared" ca="1" si="380"/>
        <v>0</v>
      </c>
    </row>
    <row r="1616" spans="1:26">
      <c r="A1616" s="3" t="s">
        <v>102</v>
      </c>
      <c r="B1616" s="4">
        <v>44049</v>
      </c>
      <c r="C1616" s="3">
        <v>12856</v>
      </c>
      <c r="D1616" s="3">
        <v>12925</v>
      </c>
      <c r="E1616" s="3">
        <v>12753</v>
      </c>
      <c r="F1616" s="3">
        <v>12835</v>
      </c>
      <c r="G1616" s="3">
        <v>141397</v>
      </c>
      <c r="H1616" s="3">
        <v>0.79500000000000004</v>
      </c>
      <c r="I1616" s="2">
        <f t="shared" si="389"/>
        <v>0</v>
      </c>
      <c r="J1616" s="10">
        <f t="shared" si="391"/>
        <v>112</v>
      </c>
      <c r="K1616" s="10">
        <f t="shared" si="390"/>
        <v>-21</v>
      </c>
      <c r="L1616" s="10">
        <f t="shared" ca="1" si="379"/>
        <v>0</v>
      </c>
      <c r="M1616" s="10">
        <f t="shared" ca="1" si="381"/>
        <v>0</v>
      </c>
      <c r="N1616" s="30">
        <f t="shared" ca="1" si="382"/>
        <v>0</v>
      </c>
      <c r="O1616" s="10">
        <f t="shared" ca="1" si="383"/>
        <v>0</v>
      </c>
      <c r="P1616" s="29">
        <f t="shared" ca="1" si="384"/>
        <v>0</v>
      </c>
      <c r="Q1616" s="12">
        <f t="shared" ca="1" si="385"/>
        <v>68400</v>
      </c>
      <c r="R1616" s="10">
        <f t="shared" ca="1" si="386"/>
        <v>0</v>
      </c>
      <c r="S1616" s="10">
        <f t="shared" ca="1" si="376"/>
        <v>5.3604755650791454</v>
      </c>
      <c r="T1616" s="14">
        <f t="shared" ca="1" si="377"/>
        <v>0.36876493582604569</v>
      </c>
      <c r="U1616" s="12">
        <f t="shared" ca="1" si="387"/>
        <v>141900</v>
      </c>
      <c r="V1616" s="14">
        <f t="shared" ca="1" si="388"/>
        <v>-51.79704016913319</v>
      </c>
      <c r="W1616" s="12">
        <f t="shared" ca="1" si="378"/>
        <v>0</v>
      </c>
      <c r="X1616" s="7">
        <f ca="1">AVERAGE(E1616:OFFSET(F1616,-$X$5+1,0))</f>
        <v>12604.3</v>
      </c>
      <c r="Y1616" s="7">
        <f ca="1">AVERAGE(E1616:OFFSET(F1616,-$Y$5+1,0))</f>
        <v>12499.5</v>
      </c>
      <c r="Z1616" s="7">
        <f t="shared" ca="1" si="380"/>
        <v>0</v>
      </c>
    </row>
    <row r="1617" spans="1:26">
      <c r="A1617" s="3" t="s">
        <v>102</v>
      </c>
      <c r="B1617" s="4">
        <v>44050</v>
      </c>
      <c r="C1617" s="3">
        <v>12860</v>
      </c>
      <c r="D1617" s="3">
        <v>12866</v>
      </c>
      <c r="E1617" s="3">
        <v>12706</v>
      </c>
      <c r="F1617" s="3">
        <v>12763</v>
      </c>
      <c r="G1617" s="3">
        <v>114920</v>
      </c>
      <c r="H1617" s="3">
        <v>0.79500000000000004</v>
      </c>
      <c r="I1617" s="2">
        <f t="shared" si="389"/>
        <v>0</v>
      </c>
      <c r="J1617" s="10">
        <f t="shared" si="391"/>
        <v>25</v>
      </c>
      <c r="K1617" s="10">
        <f t="shared" si="390"/>
        <v>-97</v>
      </c>
      <c r="L1617" s="10">
        <f t="shared" ca="1" si="379"/>
        <v>0</v>
      </c>
      <c r="M1617" s="10">
        <f t="shared" ca="1" si="381"/>
        <v>0</v>
      </c>
      <c r="N1617" s="30">
        <f t="shared" ca="1" si="382"/>
        <v>0</v>
      </c>
      <c r="O1617" s="10">
        <f t="shared" ca="1" si="383"/>
        <v>0</v>
      </c>
      <c r="P1617" s="29">
        <f t="shared" ca="1" si="384"/>
        <v>0</v>
      </c>
      <c r="Q1617" s="12">
        <f t="shared" ca="1" si="385"/>
        <v>68400</v>
      </c>
      <c r="R1617" s="10">
        <f t="shared" ca="1" si="386"/>
        <v>0</v>
      </c>
      <c r="S1617" s="10">
        <f t="shared" ca="1" si="376"/>
        <v>5.1323702218842886</v>
      </c>
      <c r="T1617" s="14">
        <f t="shared" ca="1" si="377"/>
        <v>0.35355742905316168</v>
      </c>
      <c r="U1617" s="12">
        <f t="shared" ca="1" si="387"/>
        <v>141900</v>
      </c>
      <c r="V1617" s="14">
        <f t="shared" ca="1" si="388"/>
        <v>-51.79704016913319</v>
      </c>
      <c r="W1617" s="12">
        <f t="shared" ca="1" si="378"/>
        <v>0</v>
      </c>
      <c r="X1617" s="7">
        <f ca="1">AVERAGE(E1617:OFFSET(F1617,-$X$5+1,0))</f>
        <v>12641</v>
      </c>
      <c r="Y1617" s="7">
        <f ca="1">AVERAGE(E1617:OFFSET(F1617,-$Y$5+1,0))</f>
        <v>12559.3</v>
      </c>
      <c r="Z1617" s="7">
        <f t="shared" ca="1" si="380"/>
        <v>0</v>
      </c>
    </row>
    <row r="1618" spans="1:26">
      <c r="A1618" s="3" t="s">
        <v>102</v>
      </c>
      <c r="B1618" s="4">
        <v>44053</v>
      </c>
      <c r="C1618" s="3">
        <v>12779</v>
      </c>
      <c r="D1618" s="3">
        <v>12905</v>
      </c>
      <c r="E1618" s="3">
        <v>12720</v>
      </c>
      <c r="F1618" s="3">
        <v>12855</v>
      </c>
      <c r="G1618" s="3">
        <v>109604</v>
      </c>
      <c r="H1618" s="3">
        <v>0.79500000000000004</v>
      </c>
      <c r="I1618" s="2">
        <f t="shared" si="389"/>
        <v>0</v>
      </c>
      <c r="J1618" s="10">
        <f t="shared" si="391"/>
        <v>16</v>
      </c>
      <c r="K1618" s="10">
        <f t="shared" si="390"/>
        <v>76</v>
      </c>
      <c r="L1618" s="10">
        <f t="shared" ca="1" si="379"/>
        <v>0</v>
      </c>
      <c r="M1618" s="10">
        <f t="shared" ca="1" si="381"/>
        <v>0</v>
      </c>
      <c r="N1618" s="30">
        <f t="shared" ca="1" si="382"/>
        <v>0</v>
      </c>
      <c r="O1618" s="10">
        <f t="shared" ca="1" si="383"/>
        <v>0</v>
      </c>
      <c r="P1618" s="29">
        <f t="shared" ca="1" si="384"/>
        <v>0</v>
      </c>
      <c r="Q1618" s="12">
        <f t="shared" ca="1" si="385"/>
        <v>68400</v>
      </c>
      <c r="R1618" s="10">
        <f t="shared" ca="1" si="386"/>
        <v>0</v>
      </c>
      <c r="S1618" s="10">
        <f t="shared" ca="1" si="376"/>
        <v>5.3328264325706778</v>
      </c>
      <c r="T1618" s="14">
        <f t="shared" ca="1" si="377"/>
        <v>0.37060744855415156</v>
      </c>
      <c r="U1618" s="12">
        <f t="shared" ca="1" si="387"/>
        <v>141900</v>
      </c>
      <c r="V1618" s="14">
        <f t="shared" ca="1" si="388"/>
        <v>-51.79704016913319</v>
      </c>
      <c r="W1618" s="12">
        <f t="shared" ca="1" si="378"/>
        <v>0</v>
      </c>
      <c r="X1618" s="7">
        <f ca="1">AVERAGE(E1618:OFFSET(F1618,-$X$5+1,0))</f>
        <v>12713.7</v>
      </c>
      <c r="Y1618" s="7">
        <f ca="1">AVERAGE(E1618:OFFSET(F1618,-$Y$5+1,0))</f>
        <v>12592.55</v>
      </c>
      <c r="Z1618" s="7">
        <f t="shared" ca="1" si="380"/>
        <v>0</v>
      </c>
    </row>
    <row r="1619" spans="1:26">
      <c r="A1619" s="3" t="s">
        <v>102</v>
      </c>
      <c r="B1619" s="4">
        <v>44054</v>
      </c>
      <c r="C1619" s="3">
        <v>12825</v>
      </c>
      <c r="D1619" s="3">
        <v>12874</v>
      </c>
      <c r="E1619" s="3">
        <v>12727</v>
      </c>
      <c r="F1619" s="3">
        <v>12737</v>
      </c>
      <c r="G1619" s="3">
        <v>106920</v>
      </c>
      <c r="H1619" s="3">
        <v>0.79500000000000004</v>
      </c>
      <c r="I1619" s="2">
        <f t="shared" si="389"/>
        <v>0</v>
      </c>
      <c r="J1619" s="10">
        <f t="shared" si="391"/>
        <v>-30</v>
      </c>
      <c r="K1619" s="10">
        <f t="shared" si="390"/>
        <v>-88</v>
      </c>
      <c r="L1619" s="10">
        <f t="shared" ca="1" si="379"/>
        <v>0</v>
      </c>
      <c r="M1619" s="10">
        <f t="shared" ca="1" si="381"/>
        <v>0</v>
      </c>
      <c r="N1619" s="30">
        <f t="shared" ca="1" si="382"/>
        <v>0</v>
      </c>
      <c r="O1619" s="10">
        <f t="shared" ca="1" si="383"/>
        <v>0</v>
      </c>
      <c r="P1619" s="29">
        <f t="shared" ca="1" si="384"/>
        <v>0</v>
      </c>
      <c r="Q1619" s="12">
        <f t="shared" ca="1" si="385"/>
        <v>68400</v>
      </c>
      <c r="R1619" s="10">
        <f t="shared" ca="1" si="386"/>
        <v>0</v>
      </c>
      <c r="S1619" s="10">
        <f t="shared" ca="1" si="376"/>
        <v>5.0379023524803577</v>
      </c>
      <c r="T1619" s="14">
        <f t="shared" ca="1" si="377"/>
        <v>0.34571277983212806</v>
      </c>
      <c r="U1619" s="12">
        <f t="shared" ca="1" si="387"/>
        <v>141900</v>
      </c>
      <c r="V1619" s="14">
        <f t="shared" ca="1" si="388"/>
        <v>-51.79704016913319</v>
      </c>
      <c r="W1619" s="12">
        <f t="shared" ca="1" si="378"/>
        <v>0</v>
      </c>
      <c r="X1619" s="7">
        <f ca="1">AVERAGE(E1619:OFFSET(F1619,-$X$5+1,0))</f>
        <v>12748.3</v>
      </c>
      <c r="Y1619" s="7">
        <f ca="1">AVERAGE(E1619:OFFSET(F1619,-$Y$5+1,0))</f>
        <v>12622.5</v>
      </c>
      <c r="Z1619" s="7">
        <f t="shared" ca="1" si="380"/>
        <v>0</v>
      </c>
    </row>
    <row r="1620" spans="1:26">
      <c r="A1620" s="3" t="s">
        <v>102</v>
      </c>
      <c r="B1620" s="4">
        <v>44055</v>
      </c>
      <c r="C1620" s="3">
        <v>12700</v>
      </c>
      <c r="D1620" s="3">
        <v>12701</v>
      </c>
      <c r="E1620" s="3">
        <v>12565</v>
      </c>
      <c r="F1620" s="3">
        <v>12655</v>
      </c>
      <c r="G1620" s="3">
        <v>131890</v>
      </c>
      <c r="H1620" s="3">
        <v>0.79500000000000004</v>
      </c>
      <c r="I1620" s="2">
        <f t="shared" si="389"/>
        <v>0</v>
      </c>
      <c r="J1620" s="10">
        <f t="shared" si="391"/>
        <v>-37</v>
      </c>
      <c r="K1620" s="10">
        <f t="shared" si="390"/>
        <v>-45</v>
      </c>
      <c r="L1620" s="10">
        <f t="shared" ca="1" si="379"/>
        <v>0</v>
      </c>
      <c r="M1620" s="10">
        <f t="shared" ca="1" si="381"/>
        <v>0</v>
      </c>
      <c r="N1620" s="30">
        <f t="shared" ca="1" si="382"/>
        <v>0</v>
      </c>
      <c r="O1620" s="10">
        <f t="shared" ca="1" si="383"/>
        <v>0</v>
      </c>
      <c r="P1620" s="29">
        <f t="shared" ca="1" si="384"/>
        <v>0</v>
      </c>
      <c r="Q1620" s="12">
        <f t="shared" ca="1" si="385"/>
        <v>68400</v>
      </c>
      <c r="R1620" s="10">
        <f t="shared" ca="1" si="386"/>
        <v>0</v>
      </c>
      <c r="S1620" s="10">
        <f t="shared" ca="1" si="376"/>
        <v>5.298265016935094</v>
      </c>
      <c r="T1620" s="14">
        <f t="shared" ca="1" si="377"/>
        <v>0.36783293158311414</v>
      </c>
      <c r="U1620" s="12">
        <f t="shared" ca="1" si="387"/>
        <v>141900</v>
      </c>
      <c r="V1620" s="14">
        <f t="shared" ca="1" si="388"/>
        <v>-51.79704016913319</v>
      </c>
      <c r="W1620" s="12">
        <f t="shared" ca="1" si="378"/>
        <v>0</v>
      </c>
      <c r="X1620" s="7">
        <f ca="1">AVERAGE(E1620:OFFSET(F1620,-$X$5+1,0))</f>
        <v>12731.6</v>
      </c>
      <c r="Y1620" s="7">
        <f ca="1">AVERAGE(E1620:OFFSET(F1620,-$Y$5+1,0))</f>
        <v>12642.75</v>
      </c>
      <c r="Z1620" s="7">
        <f t="shared" ca="1" si="380"/>
        <v>0</v>
      </c>
    </row>
    <row r="1621" spans="1:26">
      <c r="A1621" s="3" t="s">
        <v>102</v>
      </c>
      <c r="B1621" s="4">
        <v>44056</v>
      </c>
      <c r="C1621" s="3">
        <v>12816</v>
      </c>
      <c r="D1621" s="3">
        <v>12836</v>
      </c>
      <c r="E1621" s="3">
        <v>12702</v>
      </c>
      <c r="F1621" s="3">
        <v>12723</v>
      </c>
      <c r="G1621" s="3">
        <v>113664</v>
      </c>
      <c r="H1621" s="3">
        <v>0.79500000000000004</v>
      </c>
      <c r="I1621" s="2">
        <f t="shared" si="389"/>
        <v>0</v>
      </c>
      <c r="J1621" s="10">
        <f t="shared" si="391"/>
        <v>161</v>
      </c>
      <c r="K1621" s="10">
        <f t="shared" si="390"/>
        <v>-93</v>
      </c>
      <c r="L1621" s="10">
        <f t="shared" ca="1" si="379"/>
        <v>0</v>
      </c>
      <c r="M1621" s="10">
        <f t="shared" ca="1" si="381"/>
        <v>0</v>
      </c>
      <c r="N1621" s="30">
        <f t="shared" ca="1" si="382"/>
        <v>0</v>
      </c>
      <c r="O1621" s="10">
        <f t="shared" ca="1" si="383"/>
        <v>0</v>
      </c>
      <c r="P1621" s="29">
        <f t="shared" ca="1" si="384"/>
        <v>0</v>
      </c>
      <c r="Q1621" s="12">
        <f t="shared" ca="1" si="385"/>
        <v>68400</v>
      </c>
      <c r="R1621" s="10">
        <f t="shared" ca="1" si="386"/>
        <v>0</v>
      </c>
      <c r="S1621" s="10">
        <f t="shared" ca="1" si="376"/>
        <v>5.3547153291398812</v>
      </c>
      <c r="T1621" s="14">
        <f t="shared" ca="1" si="377"/>
        <v>0.372690285256702</v>
      </c>
      <c r="U1621" s="12">
        <f t="shared" ca="1" si="387"/>
        <v>141900</v>
      </c>
      <c r="V1621" s="14">
        <f t="shared" ca="1" si="388"/>
        <v>-51.79704016913319</v>
      </c>
      <c r="W1621" s="12">
        <f t="shared" ca="1" si="378"/>
        <v>0</v>
      </c>
      <c r="X1621" s="7">
        <f ca="1">AVERAGE(E1621:OFFSET(F1621,-$X$5+1,0))</f>
        <v>12715.3</v>
      </c>
      <c r="Y1621" s="7">
        <f ca="1">AVERAGE(E1621:OFFSET(F1621,-$Y$5+1,0))</f>
        <v>12659.8</v>
      </c>
      <c r="Z1621" s="7">
        <f t="shared" ca="1" si="380"/>
        <v>0</v>
      </c>
    </row>
    <row r="1622" spans="1:26">
      <c r="A1622" s="3" t="s">
        <v>102</v>
      </c>
      <c r="B1622" s="4">
        <v>44057</v>
      </c>
      <c r="C1622" s="3">
        <v>12696</v>
      </c>
      <c r="D1622" s="3">
        <v>12790</v>
      </c>
      <c r="E1622" s="3">
        <v>12646</v>
      </c>
      <c r="F1622" s="3">
        <v>12788</v>
      </c>
      <c r="G1622" s="3">
        <v>105105</v>
      </c>
      <c r="H1622" s="3">
        <v>0.79500000000000004</v>
      </c>
      <c r="I1622" s="2">
        <f t="shared" si="389"/>
        <v>0</v>
      </c>
      <c r="J1622" s="10">
        <f t="shared" si="391"/>
        <v>-27</v>
      </c>
      <c r="K1622" s="10">
        <f t="shared" si="390"/>
        <v>92</v>
      </c>
      <c r="L1622" s="10">
        <f t="shared" ca="1" si="379"/>
        <v>0</v>
      </c>
      <c r="M1622" s="10">
        <f t="shared" ca="1" si="381"/>
        <v>0</v>
      </c>
      <c r="N1622" s="30">
        <f t="shared" ca="1" si="382"/>
        <v>0</v>
      </c>
      <c r="O1622" s="10">
        <f t="shared" ca="1" si="383"/>
        <v>0</v>
      </c>
      <c r="P1622" s="29">
        <f t="shared" ca="1" si="384"/>
        <v>0</v>
      </c>
      <c r="Q1622" s="12">
        <f t="shared" ca="1" si="385"/>
        <v>68400</v>
      </c>
      <c r="R1622" s="10">
        <f t="shared" ca="1" si="386"/>
        <v>0</v>
      </c>
      <c r="S1622" s="10">
        <f t="shared" ca="1" si="376"/>
        <v>5.3547153291398812</v>
      </c>
      <c r="T1622" s="14">
        <f t="shared" ca="1" si="377"/>
        <v>0.37276867223089716</v>
      </c>
      <c r="U1622" s="12">
        <f t="shared" ca="1" si="387"/>
        <v>141900</v>
      </c>
      <c r="V1622" s="14">
        <f t="shared" ca="1" si="388"/>
        <v>-51.79704016913319</v>
      </c>
      <c r="W1622" s="12">
        <f t="shared" ca="1" si="378"/>
        <v>0</v>
      </c>
      <c r="X1622" s="7">
        <f ca="1">AVERAGE(E1622:OFFSET(F1622,-$X$5+1,0))</f>
        <v>12711.8</v>
      </c>
      <c r="Y1622" s="7">
        <f ca="1">AVERAGE(E1622:OFFSET(F1622,-$Y$5+1,0))</f>
        <v>12676.4</v>
      </c>
      <c r="Z1622" s="7">
        <f t="shared" ca="1" si="380"/>
        <v>0</v>
      </c>
    </row>
    <row r="1623" spans="1:26">
      <c r="A1623" s="3" t="s">
        <v>102</v>
      </c>
      <c r="B1623" s="4">
        <v>44060</v>
      </c>
      <c r="C1623" s="3">
        <v>12776</v>
      </c>
      <c r="D1623" s="3">
        <v>12959</v>
      </c>
      <c r="E1623" s="3">
        <v>12771</v>
      </c>
      <c r="F1623" s="3">
        <v>12955</v>
      </c>
      <c r="G1623" s="3">
        <v>126563</v>
      </c>
      <c r="H1623" s="3">
        <v>0.79500000000000004</v>
      </c>
      <c r="I1623" s="2">
        <f t="shared" si="389"/>
        <v>0</v>
      </c>
      <c r="J1623" s="10">
        <f t="shared" si="391"/>
        <v>-12</v>
      </c>
      <c r="K1623" s="10">
        <f t="shared" si="390"/>
        <v>179</v>
      </c>
      <c r="L1623" s="10">
        <f t="shared" ca="1" si="379"/>
        <v>0</v>
      </c>
      <c r="M1623" s="10">
        <f t="shared" ca="1" si="381"/>
        <v>0</v>
      </c>
      <c r="N1623" s="30">
        <f t="shared" ca="1" si="382"/>
        <v>0</v>
      </c>
      <c r="O1623" s="10">
        <f t="shared" ca="1" si="383"/>
        <v>0</v>
      </c>
      <c r="P1623" s="29">
        <f t="shared" ca="1" si="384"/>
        <v>0</v>
      </c>
      <c r="Q1623" s="12">
        <f t="shared" ca="1" si="385"/>
        <v>68400</v>
      </c>
      <c r="R1623" s="10">
        <f t="shared" ca="1" si="386"/>
        <v>0</v>
      </c>
      <c r="S1623" s="10">
        <f t="shared" ca="1" si="376"/>
        <v>5.3547153291398812</v>
      </c>
      <c r="T1623" s="14">
        <f t="shared" ca="1" si="377"/>
        <v>0.37284705920509226</v>
      </c>
      <c r="U1623" s="12">
        <f t="shared" ca="1" si="387"/>
        <v>141900</v>
      </c>
      <c r="V1623" s="14">
        <f t="shared" ca="1" si="388"/>
        <v>-51.79704016913319</v>
      </c>
      <c r="W1623" s="12">
        <f t="shared" ca="1" si="378"/>
        <v>0</v>
      </c>
      <c r="X1623" s="7">
        <f ca="1">AVERAGE(E1623:OFFSET(F1623,-$X$5+1,0))</f>
        <v>12726.9</v>
      </c>
      <c r="Y1623" s="7">
        <f ca="1">AVERAGE(E1623:OFFSET(F1623,-$Y$5+1,0))</f>
        <v>12720.3</v>
      </c>
      <c r="Z1623" s="7">
        <f t="shared" ca="1" si="380"/>
        <v>0</v>
      </c>
    </row>
    <row r="1624" spans="1:26">
      <c r="A1624" s="3" t="s">
        <v>102</v>
      </c>
      <c r="B1624" s="4">
        <v>44061</v>
      </c>
      <c r="C1624" s="3">
        <v>12983</v>
      </c>
      <c r="D1624" s="3">
        <v>12998</v>
      </c>
      <c r="E1624" s="3">
        <v>12836</v>
      </c>
      <c r="F1624" s="3">
        <v>12875</v>
      </c>
      <c r="G1624" s="3">
        <v>134346</v>
      </c>
      <c r="H1624" s="3">
        <v>0.79500000000000004</v>
      </c>
      <c r="I1624" s="2">
        <f t="shared" si="389"/>
        <v>0</v>
      </c>
      <c r="J1624" s="10">
        <f t="shared" si="391"/>
        <v>28</v>
      </c>
      <c r="K1624" s="10">
        <f t="shared" si="390"/>
        <v>-108</v>
      </c>
      <c r="L1624" s="10">
        <f t="shared" ca="1" si="379"/>
        <v>0</v>
      </c>
      <c r="M1624" s="10">
        <f t="shared" ca="1" si="381"/>
        <v>0</v>
      </c>
      <c r="N1624" s="30">
        <f t="shared" ca="1" si="382"/>
        <v>0</v>
      </c>
      <c r="O1624" s="10">
        <f t="shared" ca="1" si="383"/>
        <v>0</v>
      </c>
      <c r="P1624" s="29">
        <f t="shared" ca="1" si="384"/>
        <v>0</v>
      </c>
      <c r="Q1624" s="12">
        <f t="shared" ca="1" si="385"/>
        <v>68400</v>
      </c>
      <c r="R1624" s="10">
        <f t="shared" ca="1" si="386"/>
        <v>0</v>
      </c>
      <c r="S1624" s="10">
        <f t="shared" ca="1" si="376"/>
        <v>5.3547153291398812</v>
      </c>
      <c r="T1624" s="14">
        <f t="shared" ca="1" si="377"/>
        <v>0.37311276313850733</v>
      </c>
      <c r="U1624" s="12">
        <f t="shared" ca="1" si="387"/>
        <v>141900</v>
      </c>
      <c r="V1624" s="14">
        <f t="shared" ca="1" si="388"/>
        <v>-51.79704016913319</v>
      </c>
      <c r="W1624" s="12">
        <f t="shared" ca="1" si="378"/>
        <v>0</v>
      </c>
      <c r="X1624" s="7">
        <f ca="1">AVERAGE(E1624:OFFSET(F1624,-$X$5+1,0))</f>
        <v>12751.6</v>
      </c>
      <c r="Y1624" s="7">
        <f ca="1">AVERAGE(E1624:OFFSET(F1624,-$Y$5+1,0))</f>
        <v>12749.95</v>
      </c>
      <c r="Z1624" s="7">
        <f t="shared" ca="1" si="380"/>
        <v>0</v>
      </c>
    </row>
    <row r="1625" spans="1:26">
      <c r="A1625" s="3" t="s">
        <v>102</v>
      </c>
      <c r="B1625" s="4">
        <v>44062</v>
      </c>
      <c r="C1625" s="3">
        <v>12905</v>
      </c>
      <c r="D1625" s="3">
        <v>12955</v>
      </c>
      <c r="E1625" s="3">
        <v>12780</v>
      </c>
      <c r="F1625" s="3">
        <v>12806</v>
      </c>
      <c r="G1625" s="3">
        <v>70664</v>
      </c>
      <c r="H1625" s="3">
        <v>0.79500000000000004</v>
      </c>
      <c r="I1625" s="2">
        <f t="shared" si="389"/>
        <v>1</v>
      </c>
      <c r="J1625" s="10">
        <f t="shared" si="391"/>
        <v>30</v>
      </c>
      <c r="K1625" s="10">
        <f t="shared" si="390"/>
        <v>-99</v>
      </c>
      <c r="L1625" s="10">
        <f t="shared" ca="1" si="379"/>
        <v>0</v>
      </c>
      <c r="M1625" s="10">
        <f t="shared" si="381"/>
        <v>0</v>
      </c>
      <c r="N1625" s="30">
        <f t="shared" si="382"/>
        <v>0</v>
      </c>
      <c r="O1625" s="10">
        <f t="shared" si="383"/>
        <v>0</v>
      </c>
      <c r="P1625" s="29">
        <f t="shared" ca="1" si="384"/>
        <v>0</v>
      </c>
      <c r="Q1625" s="12">
        <f t="shared" ca="1" si="385"/>
        <v>68400</v>
      </c>
      <c r="R1625" s="10">
        <f t="shared" ca="1" si="386"/>
        <v>0</v>
      </c>
      <c r="S1625" s="10">
        <f t="shared" ca="1" si="376"/>
        <v>5.3547153291398812</v>
      </c>
      <c r="T1625" s="14">
        <f t="shared" ca="1" si="377"/>
        <v>0.37387754579703963</v>
      </c>
      <c r="U1625" s="12">
        <f t="shared" ca="1" si="387"/>
        <v>141900</v>
      </c>
      <c r="V1625" s="14">
        <f t="shared" ca="1" si="388"/>
        <v>-51.79704016913319</v>
      </c>
      <c r="W1625" s="12">
        <f t="shared" ca="1" si="378"/>
        <v>0</v>
      </c>
      <c r="X1625" s="7">
        <f ca="1">AVERAGE(E1625:OFFSET(F1625,-$X$5+1,0))</f>
        <v>12788.2</v>
      </c>
      <c r="Y1625" s="7">
        <f ca="1">AVERAGE(E1625:OFFSET(F1625,-$Y$5+1,0))</f>
        <v>12759.9</v>
      </c>
      <c r="Z1625" s="7">
        <f t="shared" ca="1" si="380"/>
        <v>0</v>
      </c>
    </row>
    <row r="1626" spans="1:26">
      <c r="A1626" s="3" t="s">
        <v>103</v>
      </c>
      <c r="B1626" s="4">
        <v>44063</v>
      </c>
      <c r="C1626" s="3">
        <v>12695</v>
      </c>
      <c r="D1626" s="3">
        <v>12709</v>
      </c>
      <c r="E1626" s="3">
        <v>12067</v>
      </c>
      <c r="F1626" s="3">
        <v>12305</v>
      </c>
      <c r="G1626" s="3">
        <v>237845</v>
      </c>
      <c r="H1626" s="3">
        <v>0.79500000000000004</v>
      </c>
      <c r="I1626" s="2">
        <f t="shared" si="389"/>
        <v>0</v>
      </c>
      <c r="J1626" s="10">
        <f t="shared" si="391"/>
        <v>-111</v>
      </c>
      <c r="K1626" s="10">
        <f t="shared" si="390"/>
        <v>-390</v>
      </c>
      <c r="L1626" s="10">
        <f t="shared" ca="1" si="379"/>
        <v>-1</v>
      </c>
      <c r="M1626" s="10">
        <f t="shared" ca="1" si="381"/>
        <v>0</v>
      </c>
      <c r="N1626" s="30">
        <f t="shared" ca="1" si="382"/>
        <v>0</v>
      </c>
      <c r="O1626" s="10">
        <f t="shared" ca="1" si="383"/>
        <v>0</v>
      </c>
      <c r="P1626" s="29">
        <f t="shared" ca="1" si="384"/>
        <v>0</v>
      </c>
      <c r="Q1626" s="12">
        <f t="shared" ca="1" si="385"/>
        <v>68400</v>
      </c>
      <c r="R1626" s="10">
        <f t="shared" ca="1" si="386"/>
        <v>0</v>
      </c>
      <c r="S1626" s="10">
        <f t="shared" ca="1" si="376"/>
        <v>5.3547153291398812</v>
      </c>
      <c r="T1626" s="14">
        <f t="shared" ca="1" si="377"/>
        <v>0.37395611638245896</v>
      </c>
      <c r="U1626" s="12">
        <f t="shared" ca="1" si="387"/>
        <v>141900</v>
      </c>
      <c r="V1626" s="14">
        <f t="shared" ca="1" si="388"/>
        <v>-51.79704016913319</v>
      </c>
      <c r="W1626" s="12">
        <f t="shared" ca="1" si="378"/>
        <v>0</v>
      </c>
      <c r="X1626" s="7">
        <f ca="1">AVERAGE(E1626:OFFSET(F1626,-$X$5+1,0))</f>
        <v>12682.9</v>
      </c>
      <c r="Y1626" s="7">
        <f ca="1">AVERAGE(E1626:OFFSET(F1626,-$Y$5+1,0))</f>
        <v>12699.1</v>
      </c>
      <c r="Z1626" s="7">
        <f t="shared" ca="1" si="380"/>
        <v>-1</v>
      </c>
    </row>
    <row r="1627" spans="1:26">
      <c r="A1627" s="3" t="s">
        <v>103</v>
      </c>
      <c r="B1627" s="4">
        <v>44064</v>
      </c>
      <c r="C1627" s="3">
        <v>12466</v>
      </c>
      <c r="D1627" s="3">
        <v>12598</v>
      </c>
      <c r="E1627" s="3">
        <v>12423</v>
      </c>
      <c r="F1627" s="3">
        <v>12543</v>
      </c>
      <c r="G1627" s="3">
        <v>134925</v>
      </c>
      <c r="H1627" s="3">
        <v>0.79500000000000004</v>
      </c>
      <c r="I1627" s="2">
        <f t="shared" si="389"/>
        <v>0</v>
      </c>
      <c r="J1627" s="10">
        <f t="shared" si="391"/>
        <v>161</v>
      </c>
      <c r="K1627" s="10">
        <f t="shared" si="390"/>
        <v>77</v>
      </c>
      <c r="L1627" s="10">
        <f t="shared" ca="1" si="379"/>
        <v>0</v>
      </c>
      <c r="M1627" s="10">
        <f t="shared" ca="1" si="381"/>
        <v>-1</v>
      </c>
      <c r="N1627" s="30">
        <f t="shared" ca="1" si="382"/>
        <v>0</v>
      </c>
      <c r="O1627" s="10">
        <f t="shared" ca="1" si="383"/>
        <v>2493200</v>
      </c>
      <c r="P1627" s="29">
        <f t="shared" ca="1" si="384"/>
        <v>-15900</v>
      </c>
      <c r="Q1627" s="12">
        <f t="shared" ca="1" si="385"/>
        <v>52500</v>
      </c>
      <c r="R1627" s="10">
        <f t="shared" ca="1" si="386"/>
        <v>-0.63773463821594734</v>
      </c>
      <c r="S1627" s="10">
        <f t="shared" ca="1" si="376"/>
        <v>5.1715398262712844</v>
      </c>
      <c r="T1627" s="14">
        <f t="shared" ca="1" si="377"/>
        <v>0.35790068704305189</v>
      </c>
      <c r="U1627" s="12">
        <f t="shared" ca="1" si="387"/>
        <v>141900</v>
      </c>
      <c r="V1627" s="14">
        <f t="shared" ca="1" si="388"/>
        <v>-63.00211416490486</v>
      </c>
      <c r="W1627" s="12">
        <f t="shared" ca="1" si="378"/>
        <v>0</v>
      </c>
      <c r="X1627" s="7">
        <f ca="1">AVERAGE(E1627:OFFSET(F1627,-$X$5+1,0))</f>
        <v>12636.1</v>
      </c>
      <c r="Y1627" s="7">
        <f ca="1">AVERAGE(E1627:OFFSET(F1627,-$Y$5+1,0))</f>
        <v>12673.95</v>
      </c>
      <c r="Z1627" s="7">
        <f t="shared" ca="1" si="380"/>
        <v>0</v>
      </c>
    </row>
    <row r="1628" spans="1:26">
      <c r="A1628" s="3" t="s">
        <v>103</v>
      </c>
      <c r="B1628" s="4">
        <v>44067</v>
      </c>
      <c r="C1628" s="3">
        <v>12568</v>
      </c>
      <c r="D1628" s="3">
        <v>12653</v>
      </c>
      <c r="E1628" s="3">
        <v>12503</v>
      </c>
      <c r="F1628" s="3">
        <v>12604</v>
      </c>
      <c r="G1628" s="3">
        <v>103793</v>
      </c>
      <c r="H1628" s="3">
        <v>0.79500000000000004</v>
      </c>
      <c r="I1628" s="2">
        <f t="shared" si="389"/>
        <v>0</v>
      </c>
      <c r="J1628" s="10">
        <f t="shared" si="391"/>
        <v>25</v>
      </c>
      <c r="K1628" s="10">
        <f t="shared" si="390"/>
        <v>36</v>
      </c>
      <c r="L1628" s="10">
        <f t="shared" ca="1" si="379"/>
        <v>0</v>
      </c>
      <c r="M1628" s="10">
        <f t="shared" ca="1" si="381"/>
        <v>-1</v>
      </c>
      <c r="N1628" s="30">
        <f t="shared" ca="1" si="382"/>
        <v>0</v>
      </c>
      <c r="O1628" s="10">
        <f t="shared" ca="1" si="383"/>
        <v>2493200</v>
      </c>
      <c r="P1628" s="29">
        <f t="shared" ca="1" si="384"/>
        <v>-12200</v>
      </c>
      <c r="Q1628" s="12">
        <f t="shared" ca="1" si="385"/>
        <v>40300</v>
      </c>
      <c r="R1628" s="10">
        <f t="shared" ca="1" si="386"/>
        <v>-0.48933098026632438</v>
      </c>
      <c r="S1628" s="10">
        <f t="shared" ca="1" si="376"/>
        <v>5.0309900693532406</v>
      </c>
      <c r="T1628" s="14">
        <f t="shared" ca="1" si="377"/>
        <v>0.34571854327004009</v>
      </c>
      <c r="U1628" s="12">
        <f t="shared" ca="1" si="387"/>
        <v>141900</v>
      </c>
      <c r="V1628" s="14">
        <f t="shared" ca="1" si="388"/>
        <v>-71.599718111346021</v>
      </c>
      <c r="W1628" s="12">
        <f t="shared" ca="1" si="378"/>
        <v>0</v>
      </c>
      <c r="X1628" s="7">
        <f ca="1">AVERAGE(E1628:OFFSET(F1628,-$X$5+1,0))</f>
        <v>12574.2</v>
      </c>
      <c r="Y1628" s="7">
        <f ca="1">AVERAGE(E1628:OFFSET(F1628,-$Y$5+1,0))</f>
        <v>12650.55</v>
      </c>
      <c r="Z1628" s="7">
        <f t="shared" ca="1" si="380"/>
        <v>0</v>
      </c>
    </row>
    <row r="1629" spans="1:26">
      <c r="A1629" s="3" t="s">
        <v>103</v>
      </c>
      <c r="B1629" s="4">
        <v>44068</v>
      </c>
      <c r="C1629" s="3">
        <v>12657</v>
      </c>
      <c r="D1629" s="3">
        <v>12795</v>
      </c>
      <c r="E1629" s="3">
        <v>12643</v>
      </c>
      <c r="F1629" s="3">
        <v>12737</v>
      </c>
      <c r="G1629" s="3">
        <v>111954</v>
      </c>
      <c r="H1629" s="3">
        <v>0.79500000000000004</v>
      </c>
      <c r="I1629" s="2">
        <f t="shared" si="389"/>
        <v>0</v>
      </c>
      <c r="J1629" s="10">
        <f t="shared" si="391"/>
        <v>53</v>
      </c>
      <c r="K1629" s="10">
        <f t="shared" si="390"/>
        <v>80</v>
      </c>
      <c r="L1629" s="10">
        <f t="shared" ca="1" si="379"/>
        <v>0</v>
      </c>
      <c r="M1629" s="10">
        <f t="shared" ca="1" si="381"/>
        <v>-1</v>
      </c>
      <c r="N1629" s="30">
        <f t="shared" ca="1" si="382"/>
        <v>0</v>
      </c>
      <c r="O1629" s="10">
        <f t="shared" ca="1" si="383"/>
        <v>2493200</v>
      </c>
      <c r="P1629" s="29">
        <f t="shared" ca="1" si="384"/>
        <v>-26600</v>
      </c>
      <c r="Q1629" s="12">
        <f t="shared" ca="1" si="385"/>
        <v>13700</v>
      </c>
      <c r="R1629" s="10">
        <f t="shared" ca="1" si="386"/>
        <v>-1.0669019733675598</v>
      </c>
      <c r="S1629" s="10">
        <f t="shared" ca="1" si="376"/>
        <v>4.7533466970807128</v>
      </c>
      <c r="T1629" s="14">
        <f t="shared" ca="1" si="377"/>
        <v>0.32096228048826542</v>
      </c>
      <c r="U1629" s="12">
        <f t="shared" ca="1" si="387"/>
        <v>141900</v>
      </c>
      <c r="V1629" s="14">
        <f t="shared" ca="1" si="388"/>
        <v>-90.345313601127557</v>
      </c>
      <c r="W1629" s="12">
        <f t="shared" ca="1" si="378"/>
        <v>0</v>
      </c>
      <c r="X1629" s="7">
        <f ca="1">AVERAGE(E1629:OFFSET(F1629,-$X$5+1,0))</f>
        <v>12541.1</v>
      </c>
      <c r="Y1629" s="7">
        <f ca="1">AVERAGE(E1629:OFFSET(F1629,-$Y$5+1,0))</f>
        <v>12646.35</v>
      </c>
      <c r="Z1629" s="7">
        <f t="shared" ca="1" si="380"/>
        <v>0</v>
      </c>
    </row>
    <row r="1630" spans="1:26">
      <c r="A1630" s="3" t="s">
        <v>103</v>
      </c>
      <c r="B1630" s="4">
        <v>44069</v>
      </c>
      <c r="C1630" s="3">
        <v>12730</v>
      </c>
      <c r="D1630" s="3">
        <v>12799</v>
      </c>
      <c r="E1630" s="3">
        <v>12681</v>
      </c>
      <c r="F1630" s="3">
        <v>12792</v>
      </c>
      <c r="G1630" s="3">
        <v>86909</v>
      </c>
      <c r="H1630" s="3">
        <v>0.79500000000000004</v>
      </c>
      <c r="I1630" s="2">
        <f t="shared" si="389"/>
        <v>0</v>
      </c>
      <c r="J1630" s="10">
        <f t="shared" si="391"/>
        <v>-7</v>
      </c>
      <c r="K1630" s="10">
        <f t="shared" si="390"/>
        <v>62</v>
      </c>
      <c r="L1630" s="10">
        <f t="shared" ca="1" si="379"/>
        <v>0</v>
      </c>
      <c r="M1630" s="10">
        <f t="shared" ca="1" si="381"/>
        <v>-1</v>
      </c>
      <c r="N1630" s="30">
        <f t="shared" ca="1" si="382"/>
        <v>0</v>
      </c>
      <c r="O1630" s="10">
        <f t="shared" ca="1" si="383"/>
        <v>2493200</v>
      </c>
      <c r="P1630" s="29">
        <f t="shared" ca="1" si="384"/>
        <v>-11000</v>
      </c>
      <c r="Q1630" s="12">
        <f t="shared" ca="1" si="385"/>
        <v>2700</v>
      </c>
      <c r="R1630" s="10">
        <f t="shared" ca="1" si="386"/>
        <v>-0.44120006417455476</v>
      </c>
      <c r="S1630" s="10">
        <f t="shared" ca="1" si="376"/>
        <v>4.9630192852699251</v>
      </c>
      <c r="T1630" s="14">
        <f t="shared" ca="1" si="377"/>
        <v>0.3384303643427094</v>
      </c>
      <c r="U1630" s="12">
        <f t="shared" ca="1" si="387"/>
        <v>141900</v>
      </c>
      <c r="V1630" s="14">
        <f t="shared" ca="1" si="388"/>
        <v>-98.097251585623681</v>
      </c>
      <c r="W1630" s="12">
        <f t="shared" ca="1" si="378"/>
        <v>0</v>
      </c>
      <c r="X1630" s="7">
        <f ca="1">AVERAGE(E1630:OFFSET(F1630,-$X$5+1,0))</f>
        <v>12529.8</v>
      </c>
      <c r="Y1630" s="7">
        <f ca="1">AVERAGE(E1630:OFFSET(F1630,-$Y$5+1,0))</f>
        <v>12659</v>
      </c>
      <c r="Z1630" s="7">
        <f t="shared" ca="1" si="380"/>
        <v>0</v>
      </c>
    </row>
    <row r="1631" spans="1:26">
      <c r="A1631" s="3" t="s">
        <v>103</v>
      </c>
      <c r="B1631" s="4">
        <v>44070</v>
      </c>
      <c r="C1631" s="3">
        <v>12838</v>
      </c>
      <c r="D1631" s="3">
        <v>12925</v>
      </c>
      <c r="E1631" s="3">
        <v>12735</v>
      </c>
      <c r="F1631" s="3">
        <v>12760</v>
      </c>
      <c r="G1631" s="3">
        <v>126988</v>
      </c>
      <c r="H1631" s="3">
        <v>0.79500000000000004</v>
      </c>
      <c r="I1631" s="2">
        <f t="shared" si="389"/>
        <v>0</v>
      </c>
      <c r="J1631" s="10">
        <f t="shared" si="391"/>
        <v>46</v>
      </c>
      <c r="K1631" s="10">
        <f t="shared" si="390"/>
        <v>-78</v>
      </c>
      <c r="L1631" s="10">
        <f t="shared" ca="1" si="379"/>
        <v>0</v>
      </c>
      <c r="M1631" s="10">
        <f t="shared" ca="1" si="381"/>
        <v>-1</v>
      </c>
      <c r="N1631" s="30">
        <f t="shared" ca="1" si="382"/>
        <v>0</v>
      </c>
      <c r="O1631" s="10">
        <f t="shared" ca="1" si="383"/>
        <v>2493200</v>
      </c>
      <c r="P1631" s="29">
        <f t="shared" ca="1" si="384"/>
        <v>6400</v>
      </c>
      <c r="Q1631" s="12">
        <f t="shared" ca="1" si="385"/>
        <v>9100</v>
      </c>
      <c r="R1631" s="10">
        <f t="shared" ca="1" si="386"/>
        <v>0.25669821915610458</v>
      </c>
      <c r="S1631" s="10">
        <f t="shared" ca="1" si="376"/>
        <v>5.103569042187968</v>
      </c>
      <c r="T1631" s="14">
        <f t="shared" ca="1" si="377"/>
        <v>0.35031408131325453</v>
      </c>
      <c r="U1631" s="12">
        <f t="shared" ca="1" si="387"/>
        <v>141900</v>
      </c>
      <c r="V1631" s="14">
        <f t="shared" ca="1" si="388"/>
        <v>-93.587033121916846</v>
      </c>
      <c r="W1631" s="12">
        <f t="shared" ca="1" si="378"/>
        <v>0</v>
      </c>
      <c r="X1631" s="7">
        <f ca="1">AVERAGE(E1631:OFFSET(F1631,-$X$5+1,0))</f>
        <v>12642.1</v>
      </c>
      <c r="Y1631" s="7">
        <f ca="1">AVERAGE(E1631:OFFSET(F1631,-$Y$5+1,0))</f>
        <v>12662.5</v>
      </c>
      <c r="Z1631" s="7">
        <f t="shared" ca="1" si="380"/>
        <v>0</v>
      </c>
    </row>
    <row r="1632" spans="1:26">
      <c r="A1632" s="3" t="s">
        <v>103</v>
      </c>
      <c r="B1632" s="4">
        <v>44071</v>
      </c>
      <c r="C1632" s="3">
        <v>12740</v>
      </c>
      <c r="D1632" s="3">
        <v>12782</v>
      </c>
      <c r="E1632" s="3">
        <v>12634</v>
      </c>
      <c r="F1632" s="3">
        <v>12691</v>
      </c>
      <c r="G1632" s="3">
        <v>138555</v>
      </c>
      <c r="H1632" s="3">
        <v>0.79500000000000004</v>
      </c>
      <c r="I1632" s="2">
        <f t="shared" si="389"/>
        <v>0</v>
      </c>
      <c r="J1632" s="10">
        <f t="shared" si="391"/>
        <v>-20</v>
      </c>
      <c r="K1632" s="10">
        <f t="shared" si="390"/>
        <v>-49</v>
      </c>
      <c r="L1632" s="10">
        <f t="shared" ca="1" si="379"/>
        <v>1</v>
      </c>
      <c r="M1632" s="10">
        <f t="shared" ca="1" si="381"/>
        <v>-1</v>
      </c>
      <c r="N1632" s="30">
        <f t="shared" ca="1" si="382"/>
        <v>0</v>
      </c>
      <c r="O1632" s="10">
        <f t="shared" ca="1" si="383"/>
        <v>2493200</v>
      </c>
      <c r="P1632" s="29">
        <f t="shared" ca="1" si="384"/>
        <v>13800</v>
      </c>
      <c r="Q1632" s="12">
        <f t="shared" ca="1" si="385"/>
        <v>22900</v>
      </c>
      <c r="R1632" s="10">
        <f t="shared" ca="1" si="386"/>
        <v>0.55350553505535061</v>
      </c>
      <c r="S1632" s="10">
        <f t="shared" ca="1" si="376"/>
        <v>5.2544872237966871</v>
      </c>
      <c r="T1632" s="14">
        <f t="shared" ca="1" si="377"/>
        <v>0.36284656996671333</v>
      </c>
      <c r="U1632" s="12">
        <f t="shared" ca="1" si="387"/>
        <v>141900</v>
      </c>
      <c r="V1632" s="14">
        <f t="shared" ca="1" si="388"/>
        <v>-83.86187455954898</v>
      </c>
      <c r="W1632" s="12">
        <f t="shared" ca="1" si="378"/>
        <v>0</v>
      </c>
      <c r="X1632" s="7">
        <f ca="1">AVERAGE(E1632:OFFSET(F1632,-$X$5+1,0))</f>
        <v>12678</v>
      </c>
      <c r="Y1632" s="7">
        <f ca="1">AVERAGE(E1632:OFFSET(F1632,-$Y$5+1,0))</f>
        <v>12657.05</v>
      </c>
      <c r="Z1632" s="7">
        <f t="shared" ca="1" si="380"/>
        <v>1</v>
      </c>
    </row>
    <row r="1633" spans="1:26">
      <c r="A1633" s="3" t="s">
        <v>103</v>
      </c>
      <c r="B1633" s="4">
        <v>44074</v>
      </c>
      <c r="C1633" s="3">
        <v>12800</v>
      </c>
      <c r="D1633" s="3">
        <v>12826</v>
      </c>
      <c r="E1633" s="3">
        <v>12563</v>
      </c>
      <c r="F1633" s="3">
        <v>12591</v>
      </c>
      <c r="G1633" s="3">
        <v>142474</v>
      </c>
      <c r="H1633" s="3">
        <v>0.79500000000000004</v>
      </c>
      <c r="I1633" s="2">
        <f t="shared" si="389"/>
        <v>0</v>
      </c>
      <c r="J1633" s="10">
        <f t="shared" si="391"/>
        <v>109</v>
      </c>
      <c r="K1633" s="10">
        <f t="shared" si="390"/>
        <v>-209</v>
      </c>
      <c r="L1633" s="10">
        <f t="shared" ca="1" si="379"/>
        <v>0</v>
      </c>
      <c r="M1633" s="10">
        <f t="shared" ca="1" si="381"/>
        <v>0</v>
      </c>
      <c r="N1633" s="30">
        <f t="shared" ca="1" si="382"/>
        <v>0</v>
      </c>
      <c r="O1633" s="10">
        <f t="shared" ca="1" si="383"/>
        <v>0</v>
      </c>
      <c r="P1633" s="29">
        <f t="shared" ca="1" si="384"/>
        <v>-22300</v>
      </c>
      <c r="Q1633" s="12">
        <f t="shared" ca="1" si="385"/>
        <v>600</v>
      </c>
      <c r="R1633" s="10">
        <f t="shared" ca="1" si="386"/>
        <v>-0.89443285737205203</v>
      </c>
      <c r="S1633" s="10">
        <f t="shared" ca="1" si="376"/>
        <v>4.9975807009055089</v>
      </c>
      <c r="T1633" s="14">
        <f t="shared" ca="1" si="377"/>
        <v>0.34030143164922655</v>
      </c>
      <c r="U1633" s="12">
        <f t="shared" ca="1" si="387"/>
        <v>141900</v>
      </c>
      <c r="V1633" s="14">
        <f t="shared" ca="1" si="388"/>
        <v>-99.577167019027485</v>
      </c>
      <c r="W1633" s="12">
        <f t="shared" ca="1" si="378"/>
        <v>0</v>
      </c>
      <c r="X1633" s="7">
        <f ca="1">AVERAGE(E1633:OFFSET(F1633,-$X$5+1,0))</f>
        <v>12682.7</v>
      </c>
      <c r="Y1633" s="7">
        <f ca="1">AVERAGE(E1633:OFFSET(F1633,-$Y$5+1,0))</f>
        <v>12628.45</v>
      </c>
      <c r="Z1633" s="7">
        <f t="shared" ca="1" si="380"/>
        <v>0</v>
      </c>
    </row>
    <row r="1634" spans="1:26">
      <c r="A1634" s="3" t="s">
        <v>103</v>
      </c>
      <c r="B1634" s="4">
        <v>44075</v>
      </c>
      <c r="C1634" s="3">
        <v>12566</v>
      </c>
      <c r="D1634" s="3">
        <v>12698</v>
      </c>
      <c r="E1634" s="3">
        <v>12531</v>
      </c>
      <c r="F1634" s="3">
        <v>12691</v>
      </c>
      <c r="G1634" s="3">
        <v>114612</v>
      </c>
      <c r="H1634" s="3">
        <v>0.79500000000000004</v>
      </c>
      <c r="I1634" s="2">
        <f t="shared" si="389"/>
        <v>0</v>
      </c>
      <c r="J1634" s="10">
        <f t="shared" si="391"/>
        <v>-25</v>
      </c>
      <c r="K1634" s="10">
        <f t="shared" si="390"/>
        <v>125</v>
      </c>
      <c r="L1634" s="10">
        <f t="shared" ca="1" si="379"/>
        <v>0</v>
      </c>
      <c r="M1634" s="10">
        <f t="shared" ca="1" si="381"/>
        <v>0</v>
      </c>
      <c r="N1634" s="30">
        <f t="shared" ca="1" si="382"/>
        <v>0</v>
      </c>
      <c r="O1634" s="10">
        <f t="shared" ca="1" si="383"/>
        <v>0</v>
      </c>
      <c r="P1634" s="29">
        <f t="shared" ca="1" si="384"/>
        <v>0</v>
      </c>
      <c r="Q1634" s="12">
        <f t="shared" ca="1" si="385"/>
        <v>600</v>
      </c>
      <c r="R1634" s="10">
        <f t="shared" ca="1" si="386"/>
        <v>0</v>
      </c>
      <c r="S1634" s="10">
        <f t="shared" ca="1" si="376"/>
        <v>4.9975807009055089</v>
      </c>
      <c r="T1634" s="14">
        <f t="shared" ca="1" si="377"/>
        <v>0.34037361163752511</v>
      </c>
      <c r="U1634" s="12">
        <f t="shared" ca="1" si="387"/>
        <v>141900</v>
      </c>
      <c r="V1634" s="14">
        <f t="shared" ca="1" si="388"/>
        <v>-99.577167019027485</v>
      </c>
      <c r="W1634" s="12">
        <f t="shared" ca="1" si="378"/>
        <v>0</v>
      </c>
      <c r="X1634" s="7">
        <f ca="1">AVERAGE(E1634:OFFSET(F1634,-$X$5+1,0))</f>
        <v>12666.9</v>
      </c>
      <c r="Y1634" s="7">
        <f ca="1">AVERAGE(E1634:OFFSET(F1634,-$Y$5+1,0))</f>
        <v>12604</v>
      </c>
      <c r="Z1634" s="7">
        <f t="shared" ca="1" si="380"/>
        <v>0</v>
      </c>
    </row>
    <row r="1635" spans="1:26">
      <c r="A1635" s="3" t="s">
        <v>103</v>
      </c>
      <c r="B1635" s="4">
        <v>44076</v>
      </c>
      <c r="C1635" s="3">
        <v>12765</v>
      </c>
      <c r="D1635" s="3">
        <v>12776</v>
      </c>
      <c r="E1635" s="3">
        <v>12595</v>
      </c>
      <c r="F1635" s="3">
        <v>12691</v>
      </c>
      <c r="G1635" s="3">
        <v>127417</v>
      </c>
      <c r="H1635" s="3">
        <v>0.79500000000000004</v>
      </c>
      <c r="I1635" s="2">
        <f t="shared" si="389"/>
        <v>0</v>
      </c>
      <c r="J1635" s="10">
        <f t="shared" si="391"/>
        <v>74</v>
      </c>
      <c r="K1635" s="10">
        <f t="shared" si="390"/>
        <v>-74</v>
      </c>
      <c r="L1635" s="10">
        <f t="shared" ca="1" si="379"/>
        <v>0</v>
      </c>
      <c r="M1635" s="10">
        <f t="shared" ca="1" si="381"/>
        <v>0</v>
      </c>
      <c r="N1635" s="30">
        <f t="shared" ca="1" si="382"/>
        <v>0</v>
      </c>
      <c r="O1635" s="10">
        <f t="shared" ca="1" si="383"/>
        <v>0</v>
      </c>
      <c r="P1635" s="29">
        <f t="shared" ca="1" si="384"/>
        <v>0</v>
      </c>
      <c r="Q1635" s="12">
        <f t="shared" ca="1" si="385"/>
        <v>600</v>
      </c>
      <c r="R1635" s="10">
        <f t="shared" ca="1" si="386"/>
        <v>0</v>
      </c>
      <c r="S1635" s="10">
        <f t="shared" ca="1" si="376"/>
        <v>4.9975807009055089</v>
      </c>
      <c r="T1635" s="14">
        <f t="shared" ca="1" si="377"/>
        <v>0.34050764627395363</v>
      </c>
      <c r="U1635" s="12">
        <f t="shared" ca="1" si="387"/>
        <v>141900</v>
      </c>
      <c r="V1635" s="14">
        <f t="shared" ca="1" si="388"/>
        <v>-99.577167019027485</v>
      </c>
      <c r="W1635" s="12">
        <f t="shared" ca="1" si="378"/>
        <v>0</v>
      </c>
      <c r="X1635" s="7">
        <f ca="1">AVERAGE(E1635:OFFSET(F1635,-$X$5+1,0))</f>
        <v>12648.2</v>
      </c>
      <c r="Y1635" s="7">
        <f ca="1">AVERAGE(E1635:OFFSET(F1635,-$Y$5+1,0))</f>
        <v>12589</v>
      </c>
      <c r="Z1635" s="7">
        <f t="shared" ca="1" si="380"/>
        <v>0</v>
      </c>
    </row>
    <row r="1636" spans="1:26">
      <c r="A1636" s="3" t="s">
        <v>103</v>
      </c>
      <c r="B1636" s="4">
        <v>44077</v>
      </c>
      <c r="C1636" s="3">
        <v>12792</v>
      </c>
      <c r="D1636" s="3">
        <v>12858</v>
      </c>
      <c r="E1636" s="3">
        <v>12705</v>
      </c>
      <c r="F1636" s="3">
        <v>12732</v>
      </c>
      <c r="G1636" s="3">
        <v>130555</v>
      </c>
      <c r="H1636" s="3">
        <v>0.79500000000000004</v>
      </c>
      <c r="I1636" s="2">
        <f t="shared" si="389"/>
        <v>0</v>
      </c>
      <c r="J1636" s="10">
        <f t="shared" si="391"/>
        <v>101</v>
      </c>
      <c r="K1636" s="10">
        <f t="shared" si="390"/>
        <v>-60</v>
      </c>
      <c r="L1636" s="10">
        <f t="shared" ca="1" si="379"/>
        <v>0</v>
      </c>
      <c r="M1636" s="10">
        <f t="shared" ca="1" si="381"/>
        <v>0</v>
      </c>
      <c r="N1636" s="30">
        <f t="shared" ca="1" si="382"/>
        <v>0</v>
      </c>
      <c r="O1636" s="10">
        <f t="shared" ca="1" si="383"/>
        <v>0</v>
      </c>
      <c r="P1636" s="29">
        <f t="shared" ca="1" si="384"/>
        <v>0</v>
      </c>
      <c r="Q1636" s="12">
        <f t="shared" ca="1" si="385"/>
        <v>600</v>
      </c>
      <c r="R1636" s="10">
        <f t="shared" ca="1" si="386"/>
        <v>0</v>
      </c>
      <c r="S1636" s="10">
        <f t="shared" ca="1" si="376"/>
        <v>4.9975807009055089</v>
      </c>
      <c r="T1636" s="14">
        <f t="shared" ca="1" si="377"/>
        <v>0.34064550773410207</v>
      </c>
      <c r="U1636" s="12">
        <f t="shared" ca="1" si="387"/>
        <v>141900</v>
      </c>
      <c r="V1636" s="14">
        <f t="shared" ca="1" si="388"/>
        <v>-99.577167019027485</v>
      </c>
      <c r="W1636" s="12">
        <f t="shared" ca="1" si="378"/>
        <v>0</v>
      </c>
      <c r="X1636" s="7">
        <f ca="1">AVERAGE(E1636:OFFSET(F1636,-$X$5+1,0))</f>
        <v>12642.4</v>
      </c>
      <c r="Y1636" s="7">
        <f ca="1">AVERAGE(E1636:OFFSET(F1636,-$Y$5+1,0))</f>
        <v>12642.25</v>
      </c>
      <c r="Z1636" s="7">
        <f t="shared" ca="1" si="380"/>
        <v>0</v>
      </c>
    </row>
    <row r="1637" spans="1:26">
      <c r="A1637" s="3" t="s">
        <v>103</v>
      </c>
      <c r="B1637" s="4">
        <v>44078</v>
      </c>
      <c r="C1637" s="3">
        <v>12558</v>
      </c>
      <c r="D1637" s="3">
        <v>12651</v>
      </c>
      <c r="E1637" s="3">
        <v>12510</v>
      </c>
      <c r="F1637" s="3">
        <v>12606</v>
      </c>
      <c r="G1637" s="3">
        <v>130795</v>
      </c>
      <c r="H1637" s="3">
        <v>0.79500000000000004</v>
      </c>
      <c r="I1637" s="2">
        <f t="shared" si="389"/>
        <v>0</v>
      </c>
      <c r="J1637" s="10">
        <f t="shared" si="391"/>
        <v>-174</v>
      </c>
      <c r="K1637" s="10">
        <f t="shared" si="390"/>
        <v>48</v>
      </c>
      <c r="L1637" s="10">
        <f t="shared" ca="1" si="379"/>
        <v>-1</v>
      </c>
      <c r="M1637" s="10">
        <f t="shared" ca="1" si="381"/>
        <v>0</v>
      </c>
      <c r="N1637" s="30">
        <f t="shared" ca="1" si="382"/>
        <v>0</v>
      </c>
      <c r="O1637" s="10">
        <f t="shared" ca="1" si="383"/>
        <v>0</v>
      </c>
      <c r="P1637" s="29">
        <f t="shared" ca="1" si="384"/>
        <v>0</v>
      </c>
      <c r="Q1637" s="12">
        <f t="shared" ca="1" si="385"/>
        <v>600</v>
      </c>
      <c r="R1637" s="10">
        <f t="shared" ca="1" si="386"/>
        <v>0</v>
      </c>
      <c r="S1637" s="10">
        <f t="shared" ca="1" si="376"/>
        <v>4.9975807009055089</v>
      </c>
      <c r="T1637" s="14">
        <f t="shared" ca="1" si="377"/>
        <v>0.3407179047935513</v>
      </c>
      <c r="U1637" s="12">
        <f t="shared" ca="1" si="387"/>
        <v>141900</v>
      </c>
      <c r="V1637" s="14">
        <f t="shared" ca="1" si="388"/>
        <v>-99.577167019027485</v>
      </c>
      <c r="W1637" s="12">
        <f t="shared" ca="1" si="378"/>
        <v>0</v>
      </c>
      <c r="X1637" s="7">
        <f ca="1">AVERAGE(E1637:OFFSET(F1637,-$X$5+1,0))</f>
        <v>12621.5</v>
      </c>
      <c r="Y1637" s="7">
        <f ca="1">AVERAGE(E1637:OFFSET(F1637,-$Y$5+1,0))</f>
        <v>12649.75</v>
      </c>
      <c r="Z1637" s="7">
        <f t="shared" ca="1" si="380"/>
        <v>-1</v>
      </c>
    </row>
    <row r="1638" spans="1:26">
      <c r="A1638" s="3" t="s">
        <v>103</v>
      </c>
      <c r="B1638" s="4">
        <v>44081</v>
      </c>
      <c r="C1638" s="3">
        <v>12608</v>
      </c>
      <c r="D1638" s="3">
        <v>12733</v>
      </c>
      <c r="E1638" s="3">
        <v>12560</v>
      </c>
      <c r="F1638" s="3">
        <v>12582</v>
      </c>
      <c r="G1638" s="3">
        <v>137459</v>
      </c>
      <c r="H1638" s="3">
        <v>0.79500000000000004</v>
      </c>
      <c r="I1638" s="2">
        <f t="shared" si="389"/>
        <v>0</v>
      </c>
      <c r="J1638" s="10">
        <f t="shared" si="391"/>
        <v>2</v>
      </c>
      <c r="K1638" s="10">
        <f t="shared" si="390"/>
        <v>-26</v>
      </c>
      <c r="L1638" s="10">
        <f t="shared" ca="1" si="379"/>
        <v>0</v>
      </c>
      <c r="M1638" s="10">
        <f t="shared" ca="1" si="381"/>
        <v>-1</v>
      </c>
      <c r="N1638" s="30">
        <f t="shared" ca="1" si="382"/>
        <v>0</v>
      </c>
      <c r="O1638" s="10">
        <f t="shared" ca="1" si="383"/>
        <v>2521600</v>
      </c>
      <c r="P1638" s="29">
        <f t="shared" ca="1" si="384"/>
        <v>4700</v>
      </c>
      <c r="Q1638" s="12">
        <f t="shared" ca="1" si="385"/>
        <v>5300</v>
      </c>
      <c r="R1638" s="10">
        <f t="shared" ca="1" si="386"/>
        <v>0.18638959390862944</v>
      </c>
      <c r="S1638" s="10">
        <f t="shared" ca="1" si="376"/>
        <v>5.051726918734591</v>
      </c>
      <c r="T1638" s="14">
        <f t="shared" ca="1" si="377"/>
        <v>0.3453320246170396</v>
      </c>
      <c r="U1638" s="12">
        <f t="shared" ca="1" si="387"/>
        <v>141900</v>
      </c>
      <c r="V1638" s="14">
        <f t="shared" ca="1" si="388"/>
        <v>-96.264975334742772</v>
      </c>
      <c r="W1638" s="12">
        <f t="shared" ca="1" si="378"/>
        <v>0</v>
      </c>
      <c r="X1638" s="7">
        <f ca="1">AVERAGE(E1638:OFFSET(F1638,-$X$5+1,0))</f>
        <v>12620.3</v>
      </c>
      <c r="Y1638" s="7">
        <f ca="1">AVERAGE(E1638:OFFSET(F1638,-$Y$5+1,0))</f>
        <v>12651.5</v>
      </c>
      <c r="Z1638" s="7">
        <f t="shared" ca="1" si="380"/>
        <v>0</v>
      </c>
    </row>
    <row r="1639" spans="1:26">
      <c r="A1639" s="3" t="s">
        <v>103</v>
      </c>
      <c r="B1639" s="4">
        <v>44082</v>
      </c>
      <c r="C1639" s="3">
        <v>12657</v>
      </c>
      <c r="D1639" s="3">
        <v>12695</v>
      </c>
      <c r="E1639" s="3">
        <v>12610</v>
      </c>
      <c r="F1639" s="3">
        <v>12667</v>
      </c>
      <c r="G1639" s="3">
        <v>110554</v>
      </c>
      <c r="H1639" s="3">
        <v>0.79500000000000004</v>
      </c>
      <c r="I1639" s="2">
        <f t="shared" si="389"/>
        <v>0</v>
      </c>
      <c r="J1639" s="10">
        <f t="shared" si="391"/>
        <v>75</v>
      </c>
      <c r="K1639" s="10">
        <f t="shared" si="390"/>
        <v>10</v>
      </c>
      <c r="L1639" s="10">
        <f t="shared" ca="1" si="379"/>
        <v>0</v>
      </c>
      <c r="M1639" s="10">
        <f t="shared" ca="1" si="381"/>
        <v>-1</v>
      </c>
      <c r="N1639" s="30">
        <f t="shared" ca="1" si="382"/>
        <v>0</v>
      </c>
      <c r="O1639" s="10">
        <f t="shared" ca="1" si="383"/>
        <v>2521600</v>
      </c>
      <c r="P1639" s="29">
        <f t="shared" ca="1" si="384"/>
        <v>-17000</v>
      </c>
      <c r="Q1639" s="12">
        <f t="shared" ca="1" si="385"/>
        <v>-11700</v>
      </c>
      <c r="R1639" s="10">
        <f t="shared" ca="1" si="386"/>
        <v>-0.6741751269035533</v>
      </c>
      <c r="S1639" s="10">
        <f t="shared" ca="1" si="376"/>
        <v>4.8558788967996129</v>
      </c>
      <c r="T1639" s="14">
        <f t="shared" ca="1" si="377"/>
        <v>0.32840361535418833</v>
      </c>
      <c r="U1639" s="12">
        <f t="shared" ca="1" si="387"/>
        <v>141900</v>
      </c>
      <c r="V1639" s="14">
        <f t="shared" ca="1" si="388"/>
        <v>-108.24524312896406</v>
      </c>
      <c r="W1639" s="12">
        <f t="shared" ca="1" si="378"/>
        <v>0</v>
      </c>
      <c r="X1639" s="7">
        <f ca="1">AVERAGE(E1639:OFFSET(F1639,-$X$5+1,0))</f>
        <v>12625.8</v>
      </c>
      <c r="Y1639" s="7">
        <f ca="1">AVERAGE(E1639:OFFSET(F1639,-$Y$5+1,0))</f>
        <v>12646.35</v>
      </c>
      <c r="Z1639" s="7">
        <f t="shared" ca="1" si="380"/>
        <v>0</v>
      </c>
    </row>
    <row r="1640" spans="1:26">
      <c r="A1640" s="3" t="s">
        <v>103</v>
      </c>
      <c r="B1640" s="4">
        <v>44083</v>
      </c>
      <c r="C1640" s="3">
        <v>12545</v>
      </c>
      <c r="D1640" s="3">
        <v>12606</v>
      </c>
      <c r="E1640" s="3">
        <v>12434</v>
      </c>
      <c r="F1640" s="3">
        <v>12598</v>
      </c>
      <c r="G1640" s="3">
        <v>153591</v>
      </c>
      <c r="H1640" s="3">
        <v>0.79500000000000004</v>
      </c>
      <c r="I1640" s="2">
        <f t="shared" si="389"/>
        <v>0</v>
      </c>
      <c r="J1640" s="10">
        <f t="shared" si="391"/>
        <v>-122</v>
      </c>
      <c r="K1640" s="10">
        <f t="shared" si="390"/>
        <v>53</v>
      </c>
      <c r="L1640" s="10">
        <f t="shared" ca="1" si="379"/>
        <v>0</v>
      </c>
      <c r="M1640" s="10">
        <f t="shared" ca="1" si="381"/>
        <v>-1</v>
      </c>
      <c r="N1640" s="30">
        <f t="shared" ca="1" si="382"/>
        <v>0</v>
      </c>
      <c r="O1640" s="10">
        <f t="shared" ca="1" si="383"/>
        <v>2521600</v>
      </c>
      <c r="P1640" s="29">
        <f t="shared" ca="1" si="384"/>
        <v>13800</v>
      </c>
      <c r="Q1640" s="12">
        <f t="shared" ca="1" si="385"/>
        <v>2100</v>
      </c>
      <c r="R1640" s="10">
        <f t="shared" ca="1" si="386"/>
        <v>0.54727157360406087</v>
      </c>
      <c r="S1640" s="10">
        <f t="shared" ca="1" si="376"/>
        <v>5.0148614087233012</v>
      </c>
      <c r="T1640" s="14">
        <f t="shared" ca="1" si="377"/>
        <v>0.34156530464054391</v>
      </c>
      <c r="U1640" s="12">
        <f t="shared" ca="1" si="387"/>
        <v>141900</v>
      </c>
      <c r="V1640" s="14">
        <f t="shared" ca="1" si="388"/>
        <v>-98.520084566596196</v>
      </c>
      <c r="W1640" s="12">
        <f t="shared" ca="1" si="378"/>
        <v>0</v>
      </c>
      <c r="X1640" s="7">
        <f ca="1">AVERAGE(E1640:OFFSET(F1640,-$X$5+1,0))</f>
        <v>12600.4</v>
      </c>
      <c r="Y1640" s="7">
        <f ca="1">AVERAGE(E1640:OFFSET(F1640,-$Y$5+1,0))</f>
        <v>12624.3</v>
      </c>
      <c r="Z1640" s="7">
        <f t="shared" ca="1" si="380"/>
        <v>0</v>
      </c>
    </row>
    <row r="1641" spans="1:26">
      <c r="A1641" s="3" t="s">
        <v>103</v>
      </c>
      <c r="B1641" s="4">
        <v>44084</v>
      </c>
      <c r="C1641" s="3">
        <v>12669</v>
      </c>
      <c r="D1641" s="3">
        <v>12706</v>
      </c>
      <c r="E1641" s="3">
        <v>12622</v>
      </c>
      <c r="F1641" s="3">
        <v>12699</v>
      </c>
      <c r="G1641" s="3">
        <v>111296</v>
      </c>
      <c r="H1641" s="3">
        <v>0.79500000000000004</v>
      </c>
      <c r="I1641" s="2">
        <f t="shared" si="389"/>
        <v>0</v>
      </c>
      <c r="J1641" s="10">
        <f t="shared" si="391"/>
        <v>71</v>
      </c>
      <c r="K1641" s="10">
        <f t="shared" si="390"/>
        <v>30</v>
      </c>
      <c r="L1641" s="10">
        <f t="shared" ca="1" si="379"/>
        <v>0</v>
      </c>
      <c r="M1641" s="10">
        <f t="shared" ca="1" si="381"/>
        <v>-1</v>
      </c>
      <c r="N1641" s="30">
        <f t="shared" ca="1" si="382"/>
        <v>0</v>
      </c>
      <c r="O1641" s="10">
        <f t="shared" ca="1" si="383"/>
        <v>2521600</v>
      </c>
      <c r="P1641" s="29">
        <f t="shared" ca="1" si="384"/>
        <v>-20200</v>
      </c>
      <c r="Q1641" s="12">
        <f t="shared" ca="1" si="385"/>
        <v>-18100</v>
      </c>
      <c r="R1641" s="10">
        <f t="shared" ca="1" si="386"/>
        <v>-0.80107868020304573</v>
      </c>
      <c r="S1641" s="10">
        <f t="shared" ca="1" si="376"/>
        <v>4.7821478767770325</v>
      </c>
      <c r="T1641" s="14">
        <f t="shared" ca="1" si="377"/>
        <v>0.32153297203591275</v>
      </c>
      <c r="U1641" s="12">
        <f t="shared" ca="1" si="387"/>
        <v>141900</v>
      </c>
      <c r="V1641" s="14">
        <f t="shared" ca="1" si="388"/>
        <v>-112.7554615926709</v>
      </c>
      <c r="W1641" s="12">
        <f t="shared" ca="1" si="378"/>
        <v>0</v>
      </c>
      <c r="X1641" s="7">
        <f ca="1">AVERAGE(E1641:OFFSET(F1641,-$X$5+1,0))</f>
        <v>12588.8</v>
      </c>
      <c r="Y1641" s="7">
        <f ca="1">AVERAGE(E1641:OFFSET(F1641,-$Y$5+1,0))</f>
        <v>12615.6</v>
      </c>
      <c r="Z1641" s="7">
        <f t="shared" ca="1" si="380"/>
        <v>0</v>
      </c>
    </row>
    <row r="1642" spans="1:26">
      <c r="A1642" s="3" t="s">
        <v>103</v>
      </c>
      <c r="B1642" s="4">
        <v>44085</v>
      </c>
      <c r="C1642" s="3">
        <v>12658</v>
      </c>
      <c r="D1642" s="3">
        <v>12689</v>
      </c>
      <c r="E1642" s="3">
        <v>12606</v>
      </c>
      <c r="F1642" s="3">
        <v>12661</v>
      </c>
      <c r="G1642" s="3">
        <v>114638</v>
      </c>
      <c r="H1642" s="3">
        <v>0.79500000000000004</v>
      </c>
      <c r="I1642" s="2">
        <f t="shared" si="389"/>
        <v>0</v>
      </c>
      <c r="J1642" s="10">
        <f t="shared" si="391"/>
        <v>-41</v>
      </c>
      <c r="K1642" s="10">
        <f t="shared" si="390"/>
        <v>3</v>
      </c>
      <c r="L1642" s="10">
        <f t="shared" ca="1" si="379"/>
        <v>0</v>
      </c>
      <c r="M1642" s="10">
        <f t="shared" ca="1" si="381"/>
        <v>-1</v>
      </c>
      <c r="N1642" s="30">
        <f t="shared" ca="1" si="382"/>
        <v>0</v>
      </c>
      <c r="O1642" s="10">
        <f t="shared" ca="1" si="383"/>
        <v>2521600</v>
      </c>
      <c r="P1642" s="29">
        <f t="shared" ca="1" si="384"/>
        <v>7600</v>
      </c>
      <c r="Q1642" s="12">
        <f t="shared" ca="1" si="385"/>
        <v>-10500</v>
      </c>
      <c r="R1642" s="10">
        <f t="shared" ca="1" si="386"/>
        <v>0.30139593908629442</v>
      </c>
      <c r="S1642" s="10">
        <f t="shared" ca="1" si="376"/>
        <v>4.8697034630538463</v>
      </c>
      <c r="T1642" s="14">
        <f t="shared" ca="1" si="377"/>
        <v>0.32950635077185059</v>
      </c>
      <c r="U1642" s="12">
        <f t="shared" ca="1" si="387"/>
        <v>141900</v>
      </c>
      <c r="V1642" s="14">
        <f t="shared" ca="1" si="388"/>
        <v>-107.39957716701903</v>
      </c>
      <c r="W1642" s="12">
        <f t="shared" ca="1" si="378"/>
        <v>0</v>
      </c>
      <c r="X1642" s="7">
        <f ca="1">AVERAGE(E1642:OFFSET(F1642,-$X$5+1,0))</f>
        <v>12603.9</v>
      </c>
      <c r="Y1642" s="7">
        <f ca="1">AVERAGE(E1642:OFFSET(F1642,-$Y$5+1,0))</f>
        <v>12612.7</v>
      </c>
      <c r="Z1642" s="7">
        <f t="shared" ca="1" si="380"/>
        <v>0</v>
      </c>
    </row>
    <row r="1643" spans="1:26">
      <c r="A1643" s="3" t="s">
        <v>103</v>
      </c>
      <c r="B1643" s="4">
        <v>44088</v>
      </c>
      <c r="C1643" s="3">
        <v>12694</v>
      </c>
      <c r="D1643" s="3">
        <v>12797</v>
      </c>
      <c r="E1643" s="3">
        <v>12678</v>
      </c>
      <c r="F1643" s="3">
        <v>12785</v>
      </c>
      <c r="G1643" s="3">
        <v>127791</v>
      </c>
      <c r="H1643" s="3">
        <v>0.79500000000000004</v>
      </c>
      <c r="I1643" s="2">
        <f t="shared" si="389"/>
        <v>0</v>
      </c>
      <c r="J1643" s="10">
        <f t="shared" si="391"/>
        <v>33</v>
      </c>
      <c r="K1643" s="10">
        <f t="shared" si="390"/>
        <v>91</v>
      </c>
      <c r="L1643" s="10">
        <f t="shared" ca="1" si="379"/>
        <v>1</v>
      </c>
      <c r="M1643" s="10">
        <f t="shared" ca="1" si="381"/>
        <v>-1</v>
      </c>
      <c r="N1643" s="30">
        <f t="shared" ca="1" si="382"/>
        <v>0</v>
      </c>
      <c r="O1643" s="10">
        <f t="shared" ca="1" si="383"/>
        <v>2521600</v>
      </c>
      <c r="P1643" s="29">
        <f t="shared" ca="1" si="384"/>
        <v>-24800</v>
      </c>
      <c r="Q1643" s="12">
        <f t="shared" ca="1" si="385"/>
        <v>-35300</v>
      </c>
      <c r="R1643" s="10">
        <f t="shared" ca="1" si="386"/>
        <v>-0.98350253807106602</v>
      </c>
      <c r="S1643" s="10">
        <f t="shared" ca="1" si="376"/>
        <v>4.5839957604663484</v>
      </c>
      <c r="T1643" s="14">
        <f t="shared" ca="1" si="377"/>
        <v>0.30477014969395855</v>
      </c>
      <c r="U1643" s="12">
        <f t="shared" ca="1" si="387"/>
        <v>141900</v>
      </c>
      <c r="V1643" s="14">
        <f t="shared" ca="1" si="388"/>
        <v>-124.87667371388302</v>
      </c>
      <c r="W1643" s="12">
        <f t="shared" ca="1" si="378"/>
        <v>0</v>
      </c>
      <c r="X1643" s="7">
        <f ca="1">AVERAGE(E1643:OFFSET(F1643,-$X$5+1,0))</f>
        <v>12636</v>
      </c>
      <c r="Y1643" s="7">
        <f ca="1">AVERAGE(E1643:OFFSET(F1643,-$Y$5+1,0))</f>
        <v>12628.15</v>
      </c>
      <c r="Z1643" s="7">
        <f t="shared" ca="1" si="380"/>
        <v>1</v>
      </c>
    </row>
    <row r="1644" spans="1:26">
      <c r="A1644" s="3" t="s">
        <v>103</v>
      </c>
      <c r="B1644" s="4">
        <v>44089</v>
      </c>
      <c r="C1644" s="3">
        <v>12768</v>
      </c>
      <c r="D1644" s="3">
        <v>12855</v>
      </c>
      <c r="E1644" s="3">
        <v>12756</v>
      </c>
      <c r="F1644" s="3">
        <v>12840</v>
      </c>
      <c r="G1644" s="3">
        <v>108510</v>
      </c>
      <c r="H1644" s="3">
        <v>0.79500000000000004</v>
      </c>
      <c r="I1644" s="2">
        <f t="shared" si="389"/>
        <v>0</v>
      </c>
      <c r="J1644" s="10">
        <f t="shared" si="391"/>
        <v>-17</v>
      </c>
      <c r="K1644" s="10">
        <f t="shared" si="390"/>
        <v>72</v>
      </c>
      <c r="L1644" s="10">
        <f t="shared" ca="1" si="379"/>
        <v>0</v>
      </c>
      <c r="M1644" s="10">
        <f t="shared" ca="1" si="381"/>
        <v>0</v>
      </c>
      <c r="N1644" s="30">
        <f t="shared" ca="1" si="382"/>
        <v>0</v>
      </c>
      <c r="O1644" s="10">
        <f t="shared" ca="1" si="383"/>
        <v>0</v>
      </c>
      <c r="P1644" s="29">
        <f t="shared" ca="1" si="384"/>
        <v>2900</v>
      </c>
      <c r="Q1644" s="12">
        <f t="shared" ca="1" si="385"/>
        <v>-32400</v>
      </c>
      <c r="R1644" s="10">
        <f t="shared" ca="1" si="386"/>
        <v>0.11500634517766498</v>
      </c>
      <c r="S1644" s="10">
        <f t="shared" ref="S1644:S1662" ca="1" si="392">100*SUM(P1405:P1644)/SUM(N1405:N1644)</f>
        <v>4.6174051289140801</v>
      </c>
      <c r="T1644" s="14">
        <f t="shared" ca="1" si="377"/>
        <v>0.30767712577423645</v>
      </c>
      <c r="U1644" s="12">
        <f t="shared" ca="1" si="387"/>
        <v>141900</v>
      </c>
      <c r="V1644" s="14">
        <f t="shared" ca="1" si="388"/>
        <v>-122.83298097251586</v>
      </c>
      <c r="W1644" s="12">
        <f t="shared" ca="1" si="378"/>
        <v>0</v>
      </c>
      <c r="X1644" s="7">
        <f ca="1">AVERAGE(E1644:OFFSET(F1644,-$X$5+1,0))</f>
        <v>12667.9</v>
      </c>
      <c r="Y1644" s="7">
        <f ca="1">AVERAGE(E1644:OFFSET(F1644,-$Y$5+1,0))</f>
        <v>12646.85</v>
      </c>
      <c r="Z1644" s="7">
        <f t="shared" ca="1" si="380"/>
        <v>0</v>
      </c>
    </row>
    <row r="1645" spans="1:26">
      <c r="A1645" s="3" t="s">
        <v>103</v>
      </c>
      <c r="B1645" s="4">
        <v>44090</v>
      </c>
      <c r="C1645" s="3">
        <v>12945</v>
      </c>
      <c r="D1645" s="3">
        <v>13018</v>
      </c>
      <c r="E1645" s="3">
        <v>12900</v>
      </c>
      <c r="F1645" s="3">
        <v>12968</v>
      </c>
      <c r="G1645" s="3">
        <v>67977</v>
      </c>
      <c r="H1645" s="3">
        <v>0.79500000000000004</v>
      </c>
      <c r="I1645" s="2">
        <f t="shared" si="389"/>
        <v>1</v>
      </c>
      <c r="J1645" s="10">
        <f t="shared" si="391"/>
        <v>105</v>
      </c>
      <c r="K1645" s="10">
        <f t="shared" si="390"/>
        <v>23</v>
      </c>
      <c r="L1645" s="10">
        <f t="shared" ca="1" si="379"/>
        <v>0</v>
      </c>
      <c r="M1645" s="10">
        <f t="shared" si="381"/>
        <v>0</v>
      </c>
      <c r="N1645" s="30">
        <f t="shared" si="382"/>
        <v>0</v>
      </c>
      <c r="O1645" s="10">
        <f t="shared" si="383"/>
        <v>0</v>
      </c>
      <c r="P1645" s="29">
        <f t="shared" ca="1" si="384"/>
        <v>0</v>
      </c>
      <c r="Q1645" s="12">
        <f t="shared" ca="1" si="385"/>
        <v>-32400</v>
      </c>
      <c r="R1645" s="10">
        <f t="shared" ca="1" si="386"/>
        <v>0</v>
      </c>
      <c r="S1645" s="10">
        <f t="shared" ca="1" si="392"/>
        <v>4.6174051289140801</v>
      </c>
      <c r="T1645" s="14">
        <f t="shared" ref="T1645:T1662" ca="1" si="393">(S1645-AVERAGE(H1376:H1645))/(_xlfn.STDEV.S(R1376:R1645)*SQRT(240))</f>
        <v>0.30859824497330213</v>
      </c>
      <c r="U1645" s="12">
        <f t="shared" ca="1" si="387"/>
        <v>141900</v>
      </c>
      <c r="V1645" s="14">
        <f t="shared" ca="1" si="388"/>
        <v>-122.83298097251586</v>
      </c>
      <c r="W1645" s="12">
        <f t="shared" ref="W1645:W1662" ca="1" si="394">MAX(V1406:V1645)</f>
        <v>0</v>
      </c>
      <c r="X1645" s="7">
        <f ca="1">AVERAGE(E1645:OFFSET(F1645,-$X$5+1,0))</f>
        <v>12751.5</v>
      </c>
      <c r="Y1645" s="7">
        <f ca="1">AVERAGE(E1645:OFFSET(F1645,-$Y$5+1,0))</f>
        <v>12675.95</v>
      </c>
      <c r="Z1645" s="7">
        <f t="shared" ca="1" si="380"/>
        <v>0</v>
      </c>
    </row>
    <row r="1646" spans="1:26">
      <c r="A1646" s="3" t="s">
        <v>104</v>
      </c>
      <c r="B1646" s="4">
        <v>44091</v>
      </c>
      <c r="C1646" s="3">
        <v>12855</v>
      </c>
      <c r="D1646" s="3">
        <v>12908</v>
      </c>
      <c r="E1646" s="3">
        <v>12772</v>
      </c>
      <c r="F1646" s="3">
        <v>12816</v>
      </c>
      <c r="G1646" s="3">
        <v>119751</v>
      </c>
      <c r="H1646" s="3">
        <v>0.79500000000000004</v>
      </c>
      <c r="I1646" s="2">
        <f t="shared" si="389"/>
        <v>0</v>
      </c>
      <c r="J1646" s="10">
        <f t="shared" si="391"/>
        <v>-113</v>
      </c>
      <c r="K1646" s="10">
        <f t="shared" si="390"/>
        <v>-39</v>
      </c>
      <c r="L1646" s="10">
        <f t="shared" ca="1" si="379"/>
        <v>0</v>
      </c>
      <c r="M1646" s="10">
        <f t="shared" ca="1" si="381"/>
        <v>0</v>
      </c>
      <c r="N1646" s="30">
        <f t="shared" ca="1" si="382"/>
        <v>0</v>
      </c>
      <c r="O1646" s="10">
        <f t="shared" ca="1" si="383"/>
        <v>0</v>
      </c>
      <c r="P1646" s="29">
        <f t="shared" ca="1" si="384"/>
        <v>0</v>
      </c>
      <c r="Q1646" s="12">
        <f t="shared" ca="1" si="385"/>
        <v>-32400</v>
      </c>
      <c r="R1646" s="10">
        <f t="shared" ca="1" si="386"/>
        <v>0</v>
      </c>
      <c r="S1646" s="10">
        <f t="shared" ca="1" si="392"/>
        <v>4.6174051289140801</v>
      </c>
      <c r="T1646" s="14">
        <f t="shared" ca="1" si="393"/>
        <v>0.30867853085581681</v>
      </c>
      <c r="U1646" s="12">
        <f t="shared" ca="1" si="387"/>
        <v>141900</v>
      </c>
      <c r="V1646" s="14">
        <f t="shared" ca="1" si="388"/>
        <v>-122.83298097251586</v>
      </c>
      <c r="W1646" s="12">
        <f t="shared" ca="1" si="394"/>
        <v>0</v>
      </c>
      <c r="X1646" s="7">
        <f ca="1">AVERAGE(E1646:OFFSET(F1646,-$X$5+1,0))</f>
        <v>12778.2</v>
      </c>
      <c r="Y1646" s="7">
        <f ca="1">AVERAGE(E1646:OFFSET(F1646,-$Y$5+1,0))</f>
        <v>12683.5</v>
      </c>
      <c r="Z1646" s="7">
        <f t="shared" ca="1" si="380"/>
        <v>0</v>
      </c>
    </row>
    <row r="1647" spans="1:26">
      <c r="A1647" s="3" t="s">
        <v>104</v>
      </c>
      <c r="B1647" s="4">
        <v>44092</v>
      </c>
      <c r="C1647" s="3">
        <v>12839</v>
      </c>
      <c r="D1647" s="3">
        <v>12866</v>
      </c>
      <c r="E1647" s="3">
        <v>12773</v>
      </c>
      <c r="F1647" s="3">
        <v>12835</v>
      </c>
      <c r="G1647" s="3">
        <v>95760</v>
      </c>
      <c r="H1647" s="3">
        <v>0.79500000000000004</v>
      </c>
      <c r="I1647" s="2">
        <f t="shared" si="389"/>
        <v>0</v>
      </c>
      <c r="J1647" s="10">
        <f t="shared" si="391"/>
        <v>23</v>
      </c>
      <c r="K1647" s="10">
        <f t="shared" si="390"/>
        <v>-4</v>
      </c>
      <c r="L1647" s="10">
        <f t="shared" ca="1" si="379"/>
        <v>0</v>
      </c>
      <c r="M1647" s="10">
        <f t="shared" ca="1" si="381"/>
        <v>0</v>
      </c>
      <c r="N1647" s="30">
        <f t="shared" ca="1" si="382"/>
        <v>0</v>
      </c>
      <c r="O1647" s="10">
        <f t="shared" ca="1" si="383"/>
        <v>0</v>
      </c>
      <c r="P1647" s="29">
        <f t="shared" ca="1" si="384"/>
        <v>0</v>
      </c>
      <c r="Q1647" s="12">
        <f t="shared" ca="1" si="385"/>
        <v>-32400</v>
      </c>
      <c r="R1647" s="10">
        <f t="shared" ca="1" si="386"/>
        <v>0</v>
      </c>
      <c r="S1647" s="10">
        <f t="shared" ca="1" si="392"/>
        <v>4.6174051289140801</v>
      </c>
      <c r="T1647" s="14">
        <f t="shared" ca="1" si="393"/>
        <v>0.30949559439447039</v>
      </c>
      <c r="U1647" s="12">
        <f t="shared" ca="1" si="387"/>
        <v>141900</v>
      </c>
      <c r="V1647" s="14">
        <f t="shared" ca="1" si="388"/>
        <v>-122.83298097251586</v>
      </c>
      <c r="W1647" s="12">
        <f t="shared" ca="1" si="394"/>
        <v>0</v>
      </c>
      <c r="X1647" s="7">
        <f ca="1">AVERAGE(E1647:OFFSET(F1647,-$X$5+1,0))</f>
        <v>12812.3</v>
      </c>
      <c r="Y1647" s="7">
        <f ca="1">AVERAGE(E1647:OFFSET(F1647,-$Y$5+1,0))</f>
        <v>12708.1</v>
      </c>
      <c r="Z1647" s="7">
        <f t="shared" ca="1" si="380"/>
        <v>0</v>
      </c>
    </row>
    <row r="1648" spans="1:26">
      <c r="A1648" s="3" t="s">
        <v>104</v>
      </c>
      <c r="B1648" s="4">
        <v>44095</v>
      </c>
      <c r="C1648" s="3">
        <v>12820</v>
      </c>
      <c r="D1648" s="3">
        <v>12877</v>
      </c>
      <c r="E1648" s="3">
        <v>12655</v>
      </c>
      <c r="F1648" s="3">
        <v>12659</v>
      </c>
      <c r="G1648" s="3">
        <v>140049</v>
      </c>
      <c r="H1648" s="3">
        <v>0.79500000000000004</v>
      </c>
      <c r="I1648" s="2">
        <f t="shared" si="389"/>
        <v>0</v>
      </c>
      <c r="J1648" s="10">
        <f t="shared" si="391"/>
        <v>-15</v>
      </c>
      <c r="K1648" s="10">
        <f t="shared" si="390"/>
        <v>-161</v>
      </c>
      <c r="L1648" s="10">
        <f t="shared" ca="1" si="379"/>
        <v>0</v>
      </c>
      <c r="M1648" s="10">
        <f t="shared" ca="1" si="381"/>
        <v>0</v>
      </c>
      <c r="N1648" s="30">
        <f t="shared" ca="1" si="382"/>
        <v>0</v>
      </c>
      <c r="O1648" s="10">
        <f t="shared" ca="1" si="383"/>
        <v>0</v>
      </c>
      <c r="P1648" s="29">
        <f t="shared" ca="1" si="384"/>
        <v>0</v>
      </c>
      <c r="Q1648" s="12">
        <f t="shared" ca="1" si="385"/>
        <v>-32400</v>
      </c>
      <c r="R1648" s="10">
        <f t="shared" ca="1" si="386"/>
        <v>0</v>
      </c>
      <c r="S1648" s="10">
        <f t="shared" ca="1" si="392"/>
        <v>4.6174051289140801</v>
      </c>
      <c r="T1648" s="14">
        <f t="shared" ca="1" si="393"/>
        <v>0.31034517042737914</v>
      </c>
      <c r="U1648" s="12">
        <f t="shared" ca="1" si="387"/>
        <v>141900</v>
      </c>
      <c r="V1648" s="14">
        <f t="shared" ca="1" si="388"/>
        <v>-122.83298097251586</v>
      </c>
      <c r="W1648" s="12">
        <f t="shared" ca="1" si="394"/>
        <v>0</v>
      </c>
      <c r="X1648" s="7">
        <f ca="1">AVERAGE(E1648:OFFSET(F1648,-$X$5+1,0))</f>
        <v>12797.4</v>
      </c>
      <c r="Y1648" s="7">
        <f ca="1">AVERAGE(E1648:OFFSET(F1648,-$Y$5+1,0))</f>
        <v>12716.7</v>
      </c>
      <c r="Z1648" s="7">
        <f t="shared" ca="1" si="380"/>
        <v>0</v>
      </c>
    </row>
    <row r="1649" spans="1:26">
      <c r="A1649" s="3" t="s">
        <v>104</v>
      </c>
      <c r="B1649" s="4">
        <v>44096</v>
      </c>
      <c r="C1649" s="3">
        <v>12627</v>
      </c>
      <c r="D1649" s="3">
        <v>12655</v>
      </c>
      <c r="E1649" s="3">
        <v>12481</v>
      </c>
      <c r="F1649" s="3">
        <v>12507</v>
      </c>
      <c r="G1649" s="3">
        <v>130601</v>
      </c>
      <c r="H1649" s="3">
        <v>0.79500000000000004</v>
      </c>
      <c r="I1649" s="2">
        <f t="shared" si="389"/>
        <v>0</v>
      </c>
      <c r="J1649" s="10">
        <f t="shared" si="391"/>
        <v>-32</v>
      </c>
      <c r="K1649" s="10">
        <f t="shared" si="390"/>
        <v>-120</v>
      </c>
      <c r="L1649" s="10">
        <f t="shared" ca="1" si="379"/>
        <v>0</v>
      </c>
      <c r="M1649" s="10">
        <f t="shared" ca="1" si="381"/>
        <v>0</v>
      </c>
      <c r="N1649" s="30">
        <f t="shared" ca="1" si="382"/>
        <v>0</v>
      </c>
      <c r="O1649" s="10">
        <f t="shared" ca="1" si="383"/>
        <v>0</v>
      </c>
      <c r="P1649" s="29">
        <f t="shared" ca="1" si="384"/>
        <v>0</v>
      </c>
      <c r="Q1649" s="12">
        <f t="shared" ca="1" si="385"/>
        <v>-32400</v>
      </c>
      <c r="R1649" s="10">
        <f t="shared" ca="1" si="386"/>
        <v>0</v>
      </c>
      <c r="S1649" s="10">
        <f t="shared" ca="1" si="392"/>
        <v>4.6174051289140801</v>
      </c>
      <c r="T1649" s="14">
        <f t="shared" ca="1" si="393"/>
        <v>0.3117294722020747</v>
      </c>
      <c r="U1649" s="12">
        <f t="shared" ca="1" si="387"/>
        <v>141900</v>
      </c>
      <c r="V1649" s="14">
        <f t="shared" ca="1" si="388"/>
        <v>-122.83298097251586</v>
      </c>
      <c r="W1649" s="12">
        <f t="shared" ca="1" si="394"/>
        <v>0</v>
      </c>
      <c r="X1649" s="7">
        <f ca="1">AVERAGE(E1649:OFFSET(F1649,-$X$5+1,0))</f>
        <v>12736.6</v>
      </c>
      <c r="Y1649" s="7">
        <f ca="1">AVERAGE(E1649:OFFSET(F1649,-$Y$5+1,0))</f>
        <v>12702.25</v>
      </c>
      <c r="Z1649" s="7">
        <f t="shared" ca="1" si="380"/>
        <v>0</v>
      </c>
    </row>
    <row r="1650" spans="1:26">
      <c r="A1650" s="3" t="s">
        <v>104</v>
      </c>
      <c r="B1650" s="4">
        <v>44097</v>
      </c>
      <c r="C1650" s="3">
        <v>12553</v>
      </c>
      <c r="D1650" s="3">
        <v>12563</v>
      </c>
      <c r="E1650" s="3">
        <v>12441</v>
      </c>
      <c r="F1650" s="3">
        <v>12528</v>
      </c>
      <c r="G1650" s="3">
        <v>117910</v>
      </c>
      <c r="H1650" s="3">
        <v>0.79500000000000004</v>
      </c>
      <c r="I1650" s="2">
        <f t="shared" si="389"/>
        <v>0</v>
      </c>
      <c r="J1650" s="10">
        <f t="shared" si="391"/>
        <v>46</v>
      </c>
      <c r="K1650" s="10">
        <f t="shared" si="390"/>
        <v>-25</v>
      </c>
      <c r="L1650" s="10">
        <f t="shared" ca="1" si="379"/>
        <v>-1</v>
      </c>
      <c r="M1650" s="10">
        <f t="shared" ca="1" si="381"/>
        <v>0</v>
      </c>
      <c r="N1650" s="30">
        <f t="shared" ca="1" si="382"/>
        <v>0</v>
      </c>
      <c r="O1650" s="10">
        <f t="shared" ca="1" si="383"/>
        <v>0</v>
      </c>
      <c r="P1650" s="29">
        <f t="shared" ca="1" si="384"/>
        <v>0</v>
      </c>
      <c r="Q1650" s="12">
        <f t="shared" ca="1" si="385"/>
        <v>-32400</v>
      </c>
      <c r="R1650" s="10">
        <f t="shared" ca="1" si="386"/>
        <v>0</v>
      </c>
      <c r="S1650" s="10">
        <f t="shared" ca="1" si="392"/>
        <v>4.8489666136724958</v>
      </c>
      <c r="T1650" s="14">
        <f t="shared" ca="1" si="393"/>
        <v>0.33273478109332205</v>
      </c>
      <c r="U1650" s="12">
        <f t="shared" ca="1" si="387"/>
        <v>141900</v>
      </c>
      <c r="V1650" s="14">
        <f t="shared" ca="1" si="388"/>
        <v>-122.83298097251586</v>
      </c>
      <c r="W1650" s="12">
        <f t="shared" ca="1" si="394"/>
        <v>0</v>
      </c>
      <c r="X1650" s="7">
        <f ca="1">AVERAGE(E1650:OFFSET(F1650,-$X$5+1,0))</f>
        <v>12646.7</v>
      </c>
      <c r="Y1650" s="7">
        <f ca="1">AVERAGE(E1650:OFFSET(F1650,-$Y$5+1,0))</f>
        <v>12699.1</v>
      </c>
      <c r="Z1650" s="7">
        <f t="shared" ca="1" si="380"/>
        <v>-1</v>
      </c>
    </row>
    <row r="1651" spans="1:26">
      <c r="A1651" s="3" t="s">
        <v>104</v>
      </c>
      <c r="B1651" s="4">
        <v>44098</v>
      </c>
      <c r="C1651" s="3">
        <v>12407</v>
      </c>
      <c r="D1651" s="3">
        <v>12414</v>
      </c>
      <c r="E1651" s="3">
        <v>12166</v>
      </c>
      <c r="F1651" s="3">
        <v>12175</v>
      </c>
      <c r="G1651" s="3">
        <v>171038</v>
      </c>
      <c r="H1651" s="3">
        <v>0.79500000000000004</v>
      </c>
      <c r="I1651" s="2">
        <f t="shared" si="389"/>
        <v>0</v>
      </c>
      <c r="J1651" s="10">
        <f t="shared" si="391"/>
        <v>-121</v>
      </c>
      <c r="K1651" s="10">
        <f t="shared" si="390"/>
        <v>-232</v>
      </c>
      <c r="L1651" s="10">
        <f t="shared" ca="1" si="379"/>
        <v>0</v>
      </c>
      <c r="M1651" s="10">
        <f t="shared" ca="1" si="381"/>
        <v>-1</v>
      </c>
      <c r="N1651" s="30">
        <f t="shared" ca="1" si="382"/>
        <v>0</v>
      </c>
      <c r="O1651" s="10">
        <f t="shared" ca="1" si="383"/>
        <v>2481400</v>
      </c>
      <c r="P1651" s="29">
        <f t="shared" ca="1" si="384"/>
        <v>45900</v>
      </c>
      <c r="Q1651" s="12">
        <f t="shared" ca="1" si="385"/>
        <v>13500</v>
      </c>
      <c r="R1651" s="10">
        <f t="shared" ca="1" si="386"/>
        <v>1.8497622309986299</v>
      </c>
      <c r="S1651" s="10">
        <f t="shared" ca="1" si="392"/>
        <v>5.3040252528743581</v>
      </c>
      <c r="T1651" s="14">
        <f t="shared" ca="1" si="393"/>
        <v>0.36779158645201454</v>
      </c>
      <c r="U1651" s="12">
        <f t="shared" ca="1" si="387"/>
        <v>141900</v>
      </c>
      <c r="V1651" s="14">
        <f t="shared" ca="1" si="388"/>
        <v>-90.486257928118391</v>
      </c>
      <c r="W1651" s="12">
        <f t="shared" ca="1" si="394"/>
        <v>0</v>
      </c>
      <c r="X1651" s="7">
        <f ca="1">AVERAGE(E1651:OFFSET(F1651,-$X$5+1,0))</f>
        <v>12522</v>
      </c>
      <c r="Y1651" s="7">
        <f ca="1">AVERAGE(E1651:OFFSET(F1651,-$Y$5+1,0))</f>
        <v>12650.1</v>
      </c>
      <c r="Z1651" s="7">
        <f t="shared" ca="1" si="380"/>
        <v>0</v>
      </c>
    </row>
    <row r="1652" spans="1:26">
      <c r="A1652" s="3" t="s">
        <v>104</v>
      </c>
      <c r="B1652" s="4">
        <v>44099</v>
      </c>
      <c r="C1652" s="3">
        <v>12265</v>
      </c>
      <c r="D1652" s="3">
        <v>12309</v>
      </c>
      <c r="E1652" s="3">
        <v>12114</v>
      </c>
      <c r="F1652" s="3">
        <v>12195</v>
      </c>
      <c r="G1652" s="3">
        <v>128504</v>
      </c>
      <c r="H1652" s="3">
        <v>0.79500000000000004</v>
      </c>
      <c r="I1652" s="2">
        <f t="shared" si="389"/>
        <v>0</v>
      </c>
      <c r="J1652" s="10">
        <f t="shared" si="391"/>
        <v>90</v>
      </c>
      <c r="K1652" s="10">
        <f t="shared" si="390"/>
        <v>-70</v>
      </c>
      <c r="L1652" s="10">
        <f t="shared" ca="1" si="379"/>
        <v>0</v>
      </c>
      <c r="M1652" s="10">
        <f t="shared" ca="1" si="381"/>
        <v>-1</v>
      </c>
      <c r="N1652" s="30">
        <f t="shared" ca="1" si="382"/>
        <v>0</v>
      </c>
      <c r="O1652" s="10">
        <f t="shared" ca="1" si="383"/>
        <v>2481400</v>
      </c>
      <c r="P1652" s="29">
        <f t="shared" ca="1" si="384"/>
        <v>-4000</v>
      </c>
      <c r="Q1652" s="12">
        <f t="shared" ca="1" si="385"/>
        <v>9500</v>
      </c>
      <c r="R1652" s="10">
        <f t="shared" ca="1" si="386"/>
        <v>-0.16119932296284356</v>
      </c>
      <c r="S1652" s="10">
        <f t="shared" ca="1" si="392"/>
        <v>5.0943526646851458</v>
      </c>
      <c r="T1652" s="14">
        <f t="shared" ca="1" si="393"/>
        <v>0.35020597550756416</v>
      </c>
      <c r="U1652" s="12">
        <f t="shared" ca="1" si="387"/>
        <v>141900</v>
      </c>
      <c r="V1652" s="14">
        <f t="shared" ca="1" si="388"/>
        <v>-93.305144467935165</v>
      </c>
      <c r="W1652" s="12">
        <f t="shared" ca="1" si="394"/>
        <v>0</v>
      </c>
      <c r="X1652" s="7">
        <f ca="1">AVERAGE(E1652:OFFSET(F1652,-$X$5+1,0))</f>
        <v>12392.1</v>
      </c>
      <c r="Y1652" s="7">
        <f ca="1">AVERAGE(E1652:OFFSET(F1652,-$Y$5+1,0))</f>
        <v>12602.2</v>
      </c>
      <c r="Z1652" s="7">
        <f t="shared" ca="1" si="380"/>
        <v>0</v>
      </c>
    </row>
    <row r="1653" spans="1:26">
      <c r="A1653" s="3" t="s">
        <v>104</v>
      </c>
      <c r="B1653" s="4">
        <v>44102</v>
      </c>
      <c r="C1653" s="3">
        <v>12292</v>
      </c>
      <c r="D1653" s="3">
        <v>12421</v>
      </c>
      <c r="E1653" s="3">
        <v>12246</v>
      </c>
      <c r="F1653" s="3">
        <v>12417</v>
      </c>
      <c r="G1653" s="3">
        <v>94633</v>
      </c>
      <c r="H1653" s="3">
        <v>0.79500000000000004</v>
      </c>
      <c r="I1653" s="2">
        <f t="shared" si="389"/>
        <v>0</v>
      </c>
      <c r="J1653" s="10">
        <f t="shared" si="391"/>
        <v>97</v>
      </c>
      <c r="K1653" s="10">
        <f t="shared" si="390"/>
        <v>125</v>
      </c>
      <c r="L1653" s="10">
        <f t="shared" ca="1" si="379"/>
        <v>0</v>
      </c>
      <c r="M1653" s="10">
        <f t="shared" ca="1" si="381"/>
        <v>-1</v>
      </c>
      <c r="N1653" s="30">
        <f t="shared" ca="1" si="382"/>
        <v>0</v>
      </c>
      <c r="O1653" s="10">
        <f t="shared" ca="1" si="383"/>
        <v>2481400</v>
      </c>
      <c r="P1653" s="29">
        <f t="shared" ca="1" si="384"/>
        <v>-44400</v>
      </c>
      <c r="Q1653" s="12">
        <f t="shared" ca="1" si="385"/>
        <v>-34900</v>
      </c>
      <c r="R1653" s="10">
        <f t="shared" ca="1" si="386"/>
        <v>-1.7893124848875634</v>
      </c>
      <c r="S1653" s="10">
        <f t="shared" ca="1" si="392"/>
        <v>4.6496624501739587</v>
      </c>
      <c r="T1653" s="14">
        <f t="shared" ca="1" si="393"/>
        <v>0.30960159328094861</v>
      </c>
      <c r="U1653" s="12">
        <f t="shared" ca="1" si="387"/>
        <v>141900</v>
      </c>
      <c r="V1653" s="14">
        <f t="shared" ca="1" si="388"/>
        <v>-124.59478505990134</v>
      </c>
      <c r="W1653" s="12">
        <f t="shared" ca="1" si="394"/>
        <v>0</v>
      </c>
      <c r="X1653" s="7">
        <f ca="1">AVERAGE(E1653:OFFSET(F1653,-$X$5+1,0))</f>
        <v>12327</v>
      </c>
      <c r="Y1653" s="7">
        <f ca="1">AVERAGE(E1653:OFFSET(F1653,-$Y$5+1,0))</f>
        <v>12562.2</v>
      </c>
      <c r="Z1653" s="7">
        <f t="shared" ca="1" si="380"/>
        <v>0</v>
      </c>
    </row>
    <row r="1654" spans="1:26">
      <c r="A1654" s="3" t="s">
        <v>104</v>
      </c>
      <c r="B1654" s="4">
        <v>44103</v>
      </c>
      <c r="C1654" s="3">
        <v>12478</v>
      </c>
      <c r="D1654" s="3">
        <v>12522</v>
      </c>
      <c r="E1654" s="3">
        <v>12395</v>
      </c>
      <c r="F1654" s="3">
        <v>12421</v>
      </c>
      <c r="G1654" s="3">
        <v>103096</v>
      </c>
      <c r="H1654" s="3">
        <v>0.79500000000000004</v>
      </c>
      <c r="I1654" s="2">
        <f t="shared" si="389"/>
        <v>0</v>
      </c>
      <c r="J1654" s="10">
        <f t="shared" si="391"/>
        <v>61</v>
      </c>
      <c r="K1654" s="10">
        <f t="shared" si="390"/>
        <v>-57</v>
      </c>
      <c r="L1654" s="10">
        <f t="shared" ca="1" si="379"/>
        <v>0</v>
      </c>
      <c r="M1654" s="10">
        <f t="shared" ca="1" si="381"/>
        <v>-1</v>
      </c>
      <c r="N1654" s="30">
        <f t="shared" ca="1" si="382"/>
        <v>0</v>
      </c>
      <c r="O1654" s="10">
        <f t="shared" ca="1" si="383"/>
        <v>2481400</v>
      </c>
      <c r="P1654" s="29">
        <f t="shared" ca="1" si="384"/>
        <v>-800</v>
      </c>
      <c r="Q1654" s="12">
        <f t="shared" ca="1" si="385"/>
        <v>-35700</v>
      </c>
      <c r="R1654" s="10">
        <f t="shared" ca="1" si="386"/>
        <v>-3.2239864592568709E-2</v>
      </c>
      <c r="S1654" s="10">
        <f t="shared" ca="1" si="392"/>
        <v>4.7210893758208332</v>
      </c>
      <c r="T1654" s="14">
        <f t="shared" ca="1" si="393"/>
        <v>0.31560697365003726</v>
      </c>
      <c r="U1654" s="12">
        <f t="shared" ca="1" si="387"/>
        <v>141900</v>
      </c>
      <c r="V1654" s="14">
        <f t="shared" ca="1" si="388"/>
        <v>-125.15856236786469</v>
      </c>
      <c r="W1654" s="12">
        <f t="shared" ca="1" si="394"/>
        <v>0</v>
      </c>
      <c r="X1654" s="7">
        <f ca="1">AVERAGE(E1654:OFFSET(F1654,-$X$5+1,0))</f>
        <v>12309.8</v>
      </c>
      <c r="Y1654" s="7">
        <f ca="1">AVERAGE(E1654:OFFSET(F1654,-$Y$5+1,0))</f>
        <v>12523.2</v>
      </c>
      <c r="Z1654" s="7">
        <f t="shared" ca="1" si="380"/>
        <v>0</v>
      </c>
    </row>
    <row r="1655" spans="1:26">
      <c r="A1655" s="3" t="s">
        <v>104</v>
      </c>
      <c r="B1655" s="4">
        <v>44104</v>
      </c>
      <c r="C1655" s="3">
        <v>12456</v>
      </c>
      <c r="D1655" s="3">
        <v>12548</v>
      </c>
      <c r="E1655" s="3">
        <v>12444</v>
      </c>
      <c r="F1655" s="3">
        <v>12472</v>
      </c>
      <c r="G1655" s="3">
        <v>107766</v>
      </c>
      <c r="H1655" s="3">
        <v>0.79500000000000004</v>
      </c>
      <c r="I1655" s="2">
        <f t="shared" si="389"/>
        <v>0</v>
      </c>
      <c r="J1655" s="10">
        <f t="shared" si="391"/>
        <v>35</v>
      </c>
      <c r="K1655" s="10">
        <f t="shared" si="390"/>
        <v>16</v>
      </c>
      <c r="L1655" s="10">
        <f t="shared" ca="1" si="379"/>
        <v>0</v>
      </c>
      <c r="M1655" s="10">
        <f t="shared" ca="1" si="381"/>
        <v>-1</v>
      </c>
      <c r="N1655" s="30">
        <f t="shared" ca="1" si="382"/>
        <v>0</v>
      </c>
      <c r="O1655" s="10">
        <f t="shared" ca="1" si="383"/>
        <v>2481400</v>
      </c>
      <c r="P1655" s="29">
        <f t="shared" ca="1" si="384"/>
        <v>-10200</v>
      </c>
      <c r="Q1655" s="12">
        <f t="shared" ca="1" si="385"/>
        <v>-45900</v>
      </c>
      <c r="R1655" s="10">
        <f t="shared" ca="1" si="386"/>
        <v>-0.41105827355525104</v>
      </c>
      <c r="S1655" s="10">
        <f t="shared" ca="1" si="392"/>
        <v>4.7084168567544529</v>
      </c>
      <c r="T1655" s="14">
        <f t="shared" ca="1" si="393"/>
        <v>0.31441575004361583</v>
      </c>
      <c r="U1655" s="12">
        <f t="shared" ca="1" si="387"/>
        <v>141900</v>
      </c>
      <c r="V1655" s="14">
        <f t="shared" ca="1" si="388"/>
        <v>-132.34672304439746</v>
      </c>
      <c r="W1655" s="12">
        <f t="shared" ca="1" si="394"/>
        <v>0</v>
      </c>
      <c r="X1655" s="7">
        <f ca="1">AVERAGE(E1655:OFFSET(F1655,-$X$5+1,0))</f>
        <v>12304.5</v>
      </c>
      <c r="Y1655" s="7">
        <f ca="1">AVERAGE(E1655:OFFSET(F1655,-$Y$5+1,0))</f>
        <v>12475.6</v>
      </c>
      <c r="Z1655" s="7">
        <f t="shared" ca="1" si="380"/>
        <v>0</v>
      </c>
    </row>
    <row r="1656" spans="1:26">
      <c r="A1656" s="3" t="s">
        <v>104</v>
      </c>
      <c r="B1656" s="4">
        <v>44109</v>
      </c>
      <c r="C1656" s="3">
        <v>12577</v>
      </c>
      <c r="D1656" s="3">
        <v>12620</v>
      </c>
      <c r="E1656" s="3">
        <v>12486</v>
      </c>
      <c r="F1656" s="3">
        <v>12529</v>
      </c>
      <c r="G1656" s="3">
        <v>93958</v>
      </c>
      <c r="H1656" s="3">
        <v>0.79500000000000004</v>
      </c>
      <c r="I1656" s="2">
        <f t="shared" si="389"/>
        <v>0</v>
      </c>
      <c r="J1656" s="10">
        <f t="shared" si="391"/>
        <v>105</v>
      </c>
      <c r="K1656" s="10">
        <f t="shared" si="390"/>
        <v>-48</v>
      </c>
      <c r="L1656" s="10">
        <f t="shared" ca="1" si="379"/>
        <v>0</v>
      </c>
      <c r="M1656" s="10">
        <f t="shared" ca="1" si="381"/>
        <v>-1</v>
      </c>
      <c r="N1656" s="30">
        <f t="shared" ca="1" si="382"/>
        <v>0</v>
      </c>
      <c r="O1656" s="10">
        <f t="shared" ca="1" si="383"/>
        <v>2481400</v>
      </c>
      <c r="P1656" s="29">
        <f t="shared" ca="1" si="384"/>
        <v>-11400</v>
      </c>
      <c r="Q1656" s="12">
        <f t="shared" ca="1" si="385"/>
        <v>-57300</v>
      </c>
      <c r="R1656" s="10">
        <f t="shared" ca="1" si="386"/>
        <v>-0.45941807044410415</v>
      </c>
      <c r="S1656" s="10">
        <f t="shared" ca="1" si="392"/>
        <v>4.5770834773392322</v>
      </c>
      <c r="T1656" s="14">
        <f t="shared" ca="1" si="393"/>
        <v>0.30333879528992563</v>
      </c>
      <c r="U1656" s="12">
        <f t="shared" ca="1" si="387"/>
        <v>141900</v>
      </c>
      <c r="V1656" s="14">
        <f t="shared" ca="1" si="388"/>
        <v>-140.38054968287526</v>
      </c>
      <c r="W1656" s="12">
        <f t="shared" ca="1" si="394"/>
        <v>0</v>
      </c>
      <c r="X1656" s="7">
        <f ca="1">AVERAGE(E1656:OFFSET(F1656,-$X$5+1,0))</f>
        <v>12371.9</v>
      </c>
      <c r="Y1656" s="7">
        <f ca="1">AVERAGE(E1656:OFFSET(F1656,-$Y$5+1,0))</f>
        <v>12446.95</v>
      </c>
      <c r="Z1656" s="7">
        <f t="shared" ca="1" si="380"/>
        <v>0</v>
      </c>
    </row>
    <row r="1657" spans="1:26">
      <c r="A1657" s="3" t="s">
        <v>104</v>
      </c>
      <c r="B1657" s="4">
        <v>44110</v>
      </c>
      <c r="C1657" s="3">
        <v>12618</v>
      </c>
      <c r="D1657" s="3">
        <v>12704</v>
      </c>
      <c r="E1657" s="3">
        <v>12614</v>
      </c>
      <c r="F1657" s="3">
        <v>12675</v>
      </c>
      <c r="G1657" s="3">
        <v>99739</v>
      </c>
      <c r="H1657" s="3">
        <v>0.79500000000000004</v>
      </c>
      <c r="I1657" s="2">
        <f t="shared" si="389"/>
        <v>0</v>
      </c>
      <c r="J1657" s="10">
        <f t="shared" si="391"/>
        <v>89</v>
      </c>
      <c r="K1657" s="10">
        <f t="shared" si="390"/>
        <v>57</v>
      </c>
      <c r="L1657" s="10">
        <f t="shared" ca="1" si="379"/>
        <v>1</v>
      </c>
      <c r="M1657" s="10">
        <f t="shared" ca="1" si="381"/>
        <v>-1</v>
      </c>
      <c r="N1657" s="30">
        <f t="shared" ca="1" si="382"/>
        <v>0</v>
      </c>
      <c r="O1657" s="10">
        <f t="shared" ca="1" si="383"/>
        <v>2481400</v>
      </c>
      <c r="P1657" s="29">
        <f t="shared" ca="1" si="384"/>
        <v>-29200</v>
      </c>
      <c r="Q1657" s="12">
        <f t="shared" ca="1" si="385"/>
        <v>-86500</v>
      </c>
      <c r="R1657" s="10">
        <f t="shared" ca="1" si="386"/>
        <v>-1.176755057628758</v>
      </c>
      <c r="S1657" s="10">
        <f t="shared" ca="1" si="392"/>
        <v>4.2406856984862102</v>
      </c>
      <c r="T1657" s="14">
        <f t="shared" ca="1" si="393"/>
        <v>0.27423030239343515</v>
      </c>
      <c r="U1657" s="12">
        <f t="shared" ca="1" si="387"/>
        <v>141900</v>
      </c>
      <c r="V1657" s="14">
        <f t="shared" ca="1" si="388"/>
        <v>-160.95842142353771</v>
      </c>
      <c r="W1657" s="12">
        <f t="shared" ca="1" si="394"/>
        <v>0</v>
      </c>
      <c r="X1657" s="7">
        <f ca="1">AVERAGE(E1657:OFFSET(F1657,-$X$5+1,0))</f>
        <v>12469.9</v>
      </c>
      <c r="Y1657" s="7">
        <f ca="1">AVERAGE(E1657:OFFSET(F1657,-$Y$5+1,0))</f>
        <v>12431</v>
      </c>
      <c r="Z1657" s="7">
        <f t="shared" ca="1" si="380"/>
        <v>1</v>
      </c>
    </row>
    <row r="1658" spans="1:26">
      <c r="A1658" s="3" t="s">
        <v>104</v>
      </c>
      <c r="B1658" s="4">
        <v>44111</v>
      </c>
      <c r="C1658" s="3">
        <v>12620</v>
      </c>
      <c r="D1658" s="3">
        <v>12758</v>
      </c>
      <c r="E1658" s="3">
        <v>12606</v>
      </c>
      <c r="F1658" s="3">
        <v>12755</v>
      </c>
      <c r="G1658" s="3">
        <v>89405</v>
      </c>
      <c r="H1658" s="3">
        <v>0.79500000000000004</v>
      </c>
      <c r="I1658" s="2">
        <f t="shared" si="389"/>
        <v>0</v>
      </c>
      <c r="J1658" s="10">
        <f t="shared" si="391"/>
        <v>-55</v>
      </c>
      <c r="K1658" s="10">
        <f t="shared" si="390"/>
        <v>135</v>
      </c>
      <c r="L1658" s="10">
        <f t="shared" ca="1" si="379"/>
        <v>0</v>
      </c>
      <c r="M1658" s="10">
        <f t="shared" ca="1" si="381"/>
        <v>0</v>
      </c>
      <c r="N1658" s="30">
        <f t="shared" ca="1" si="382"/>
        <v>0</v>
      </c>
      <c r="O1658" s="10">
        <f t="shared" ca="1" si="383"/>
        <v>0</v>
      </c>
      <c r="P1658" s="29">
        <f t="shared" ca="1" si="384"/>
        <v>10500</v>
      </c>
      <c r="Q1658" s="12">
        <f t="shared" ca="1" si="385"/>
        <v>-76000</v>
      </c>
      <c r="R1658" s="10">
        <f t="shared" ca="1" si="386"/>
        <v>0.42314822277746433</v>
      </c>
      <c r="S1658" s="10">
        <f t="shared" ca="1" si="392"/>
        <v>4.3616506532107557</v>
      </c>
      <c r="T1658" s="14">
        <f t="shared" ca="1" si="393"/>
        <v>0.28418216992015605</v>
      </c>
      <c r="U1658" s="12">
        <f t="shared" ca="1" si="387"/>
        <v>141900</v>
      </c>
      <c r="V1658" s="14">
        <f t="shared" ca="1" si="388"/>
        <v>-153.55884425651868</v>
      </c>
      <c r="W1658" s="12">
        <f t="shared" ca="1" si="394"/>
        <v>0</v>
      </c>
      <c r="X1658" s="7">
        <f ca="1">AVERAGE(E1658:OFFSET(F1658,-$X$5+1,0))</f>
        <v>12539.7</v>
      </c>
      <c r="Y1658" s="7">
        <f ca="1">AVERAGE(E1658:OFFSET(F1658,-$Y$5+1,0))</f>
        <v>12433.35</v>
      </c>
      <c r="Z1658" s="7">
        <f t="shared" ca="1" si="380"/>
        <v>0</v>
      </c>
    </row>
    <row r="1659" spans="1:26">
      <c r="A1659" s="3" t="s">
        <v>104</v>
      </c>
      <c r="B1659" s="4">
        <v>44112</v>
      </c>
      <c r="C1659" s="3">
        <v>12831</v>
      </c>
      <c r="D1659" s="3">
        <v>12876</v>
      </c>
      <c r="E1659" s="3">
        <v>12772</v>
      </c>
      <c r="F1659" s="3">
        <v>12873</v>
      </c>
      <c r="G1659" s="3">
        <v>99102</v>
      </c>
      <c r="H1659" s="3">
        <v>0.79500000000000004</v>
      </c>
      <c r="I1659" s="2">
        <f t="shared" si="389"/>
        <v>0</v>
      </c>
      <c r="J1659" s="10">
        <f t="shared" si="391"/>
        <v>76</v>
      </c>
      <c r="K1659" s="10">
        <f t="shared" si="390"/>
        <v>42</v>
      </c>
      <c r="L1659" s="10">
        <f t="shared" ca="1" si="379"/>
        <v>0</v>
      </c>
      <c r="M1659" s="10">
        <f t="shared" ca="1" si="381"/>
        <v>0</v>
      </c>
      <c r="N1659" s="30">
        <f t="shared" ca="1" si="382"/>
        <v>0</v>
      </c>
      <c r="O1659" s="10">
        <f t="shared" ca="1" si="383"/>
        <v>0</v>
      </c>
      <c r="P1659" s="29">
        <f t="shared" ca="1" si="384"/>
        <v>0</v>
      </c>
      <c r="Q1659" s="12">
        <f t="shared" ca="1" si="385"/>
        <v>-76000</v>
      </c>
      <c r="R1659" s="10">
        <f t="shared" ca="1" si="386"/>
        <v>0</v>
      </c>
      <c r="S1659" s="10">
        <f t="shared" ca="1" si="392"/>
        <v>4.3616506532107557</v>
      </c>
      <c r="T1659" s="14">
        <f t="shared" ca="1" si="393"/>
        <v>0.28428350042546552</v>
      </c>
      <c r="U1659" s="12">
        <f t="shared" ca="1" si="387"/>
        <v>141900</v>
      </c>
      <c r="V1659" s="14">
        <f t="shared" ca="1" si="388"/>
        <v>-153.55884425651868</v>
      </c>
      <c r="W1659" s="12">
        <f t="shared" ca="1" si="394"/>
        <v>0</v>
      </c>
      <c r="X1659" s="7">
        <f ca="1">AVERAGE(E1659:OFFSET(F1659,-$X$5+1,0))</f>
        <v>12622.6</v>
      </c>
      <c r="Y1659" s="7">
        <f ca="1">AVERAGE(E1659:OFFSET(F1659,-$Y$5+1,0))</f>
        <v>12466.2</v>
      </c>
      <c r="Z1659" s="7">
        <f t="shared" ca="1" si="380"/>
        <v>0</v>
      </c>
    </row>
    <row r="1660" spans="1:26">
      <c r="A1660" s="3" t="s">
        <v>104</v>
      </c>
      <c r="B1660" s="4">
        <v>44116</v>
      </c>
      <c r="C1660" s="3">
        <v>12935</v>
      </c>
      <c r="D1660" s="3">
        <v>12995</v>
      </c>
      <c r="E1660" s="3">
        <v>12878</v>
      </c>
      <c r="F1660" s="3">
        <v>12920</v>
      </c>
      <c r="G1660" s="3">
        <v>106219</v>
      </c>
      <c r="H1660" s="3">
        <v>0.79500000000000004</v>
      </c>
      <c r="I1660" s="2">
        <f t="shared" si="389"/>
        <v>0</v>
      </c>
      <c r="J1660" s="10">
        <f t="shared" si="391"/>
        <v>62</v>
      </c>
      <c r="K1660" s="10">
        <f t="shared" si="390"/>
        <v>-15</v>
      </c>
      <c r="L1660" s="10">
        <f t="shared" ca="1" si="379"/>
        <v>0</v>
      </c>
      <c r="M1660" s="10">
        <f t="shared" ca="1" si="381"/>
        <v>0</v>
      </c>
      <c r="N1660" s="30">
        <f t="shared" ca="1" si="382"/>
        <v>0</v>
      </c>
      <c r="O1660" s="10">
        <f t="shared" ca="1" si="383"/>
        <v>0</v>
      </c>
      <c r="P1660" s="29">
        <f t="shared" ca="1" si="384"/>
        <v>0</v>
      </c>
      <c r="Q1660" s="12">
        <f t="shared" ca="1" si="385"/>
        <v>-76000</v>
      </c>
      <c r="R1660" s="10">
        <f t="shared" ca="1" si="386"/>
        <v>0</v>
      </c>
      <c r="S1660" s="10">
        <f t="shared" ca="1" si="392"/>
        <v>4.3616506532107557</v>
      </c>
      <c r="T1660" s="14">
        <f t="shared" ca="1" si="393"/>
        <v>0.28622730890786496</v>
      </c>
      <c r="U1660" s="12">
        <f t="shared" ca="1" si="387"/>
        <v>141900</v>
      </c>
      <c r="V1660" s="14">
        <f t="shared" ca="1" si="388"/>
        <v>-153.55884425651868</v>
      </c>
      <c r="W1660" s="12">
        <f t="shared" ca="1" si="394"/>
        <v>0</v>
      </c>
      <c r="X1660" s="7">
        <f ca="1">AVERAGE(E1660:OFFSET(F1660,-$X$5+1,0))</f>
        <v>12710.8</v>
      </c>
      <c r="Y1660" s="7">
        <f ca="1">AVERAGE(E1660:OFFSET(F1660,-$Y$5+1,0))</f>
        <v>12507.65</v>
      </c>
      <c r="Z1660" s="7">
        <f t="shared" ca="1" si="380"/>
        <v>0</v>
      </c>
    </row>
    <row r="1661" spans="1:26">
      <c r="A1661" s="3" t="s">
        <v>104</v>
      </c>
      <c r="B1661" s="4">
        <v>44117</v>
      </c>
      <c r="C1661" s="3">
        <v>12950</v>
      </c>
      <c r="D1661" s="3">
        <v>12952</v>
      </c>
      <c r="E1661" s="3">
        <v>12816</v>
      </c>
      <c r="F1661" s="3">
        <v>12919</v>
      </c>
      <c r="G1661" s="3">
        <v>99008</v>
      </c>
      <c r="H1661" s="3">
        <v>0.79500000000000004</v>
      </c>
      <c r="I1661" s="2">
        <f t="shared" si="389"/>
        <v>0</v>
      </c>
      <c r="J1661" s="10">
        <f t="shared" si="391"/>
        <v>30</v>
      </c>
      <c r="K1661" s="10">
        <f t="shared" si="390"/>
        <v>-31</v>
      </c>
      <c r="L1661" s="10">
        <f ca="1">Z1661</f>
        <v>0</v>
      </c>
      <c r="M1661" s="10">
        <f t="shared" ca="1" si="381"/>
        <v>0</v>
      </c>
      <c r="N1661" s="30">
        <f t="shared" ca="1" si="382"/>
        <v>0</v>
      </c>
      <c r="O1661" s="10">
        <f t="shared" ca="1" si="383"/>
        <v>0</v>
      </c>
      <c r="P1661" s="29">
        <f t="shared" ca="1" si="384"/>
        <v>0</v>
      </c>
      <c r="Q1661" s="12">
        <f t="shared" ca="1" si="385"/>
        <v>-76000</v>
      </c>
      <c r="R1661" s="10">
        <f t="shared" ca="1" si="386"/>
        <v>0</v>
      </c>
      <c r="S1661" s="10">
        <f t="shared" ca="1" si="392"/>
        <v>4.3616506532107557</v>
      </c>
      <c r="T1661" s="14">
        <f t="shared" ca="1" si="393"/>
        <v>0.28640503189417793</v>
      </c>
      <c r="U1661" s="12">
        <f t="shared" ca="1" si="387"/>
        <v>141900</v>
      </c>
      <c r="V1661" s="14">
        <f t="shared" ca="1" si="388"/>
        <v>-153.55884425651868</v>
      </c>
      <c r="W1661" s="12">
        <f t="shared" ca="1" si="394"/>
        <v>0</v>
      </c>
      <c r="X1661" s="7">
        <f ca="1">AVERAGE(E1661:OFFSET(F1661,-$X$5+1,0))</f>
        <v>12782.8</v>
      </c>
      <c r="Y1661" s="7">
        <f ca="1">AVERAGE(E1661:OFFSET(F1661,-$Y$5+1,0))</f>
        <v>12577.35</v>
      </c>
      <c r="Z1661" s="7">
        <f t="shared" ref="Z1661:Z1662" ca="1" si="395">IF(AND(X1660&lt;=Y1660,X1661&gt;Y1661),1,IF(AND(X1660&gt;Y1660,X1661&lt;=Y1661),-1,0))</f>
        <v>0</v>
      </c>
    </row>
    <row r="1662" spans="1:26">
      <c r="A1662" s="3" t="s">
        <v>104</v>
      </c>
      <c r="B1662" s="4">
        <v>44118</v>
      </c>
      <c r="C1662" s="3">
        <v>12940</v>
      </c>
      <c r="D1662" s="3">
        <v>12956</v>
      </c>
      <c r="E1662" s="3">
        <v>12871</v>
      </c>
      <c r="F1662" s="3">
        <v>12888</v>
      </c>
      <c r="G1662" s="3">
        <v>82548</v>
      </c>
      <c r="H1662" s="3">
        <v>0.79500000000000004</v>
      </c>
      <c r="I1662" s="2">
        <f t="shared" si="389"/>
        <v>1</v>
      </c>
      <c r="J1662" s="10">
        <f t="shared" si="391"/>
        <v>21</v>
      </c>
      <c r="K1662" s="10">
        <f t="shared" si="390"/>
        <v>-52</v>
      </c>
      <c r="L1662" s="10">
        <f ca="1">Z1662</f>
        <v>0</v>
      </c>
      <c r="M1662" s="10">
        <f t="shared" ref="M1662" si="396">IF(I1662=1,0,IF(M1661+L1661&gt;=$M$5,$M$5,IF(M1661+L1661&lt;=$M$7,$M$7,M1661+L1661)))</f>
        <v>0</v>
      </c>
      <c r="N1662" s="30">
        <f t="shared" ref="N1662" si="397">IF(M1662=0,0,IF(M1662&gt;M1661,(C1662+N1661*M1661)*$S$5,0))</f>
        <v>0</v>
      </c>
      <c r="O1662" s="10">
        <f t="shared" ref="O1662" si="398">IF(M1662=0,0,IF(M1662=M1661,O1661,((M1662-M1661)*C1662+N1661*M1661)*$S$5/M1662))</f>
        <v>0</v>
      </c>
      <c r="P1662" s="29">
        <f t="shared" ref="P1662" ca="1" si="399">IF(M1661=M1662,(M1661*J1662+M1662*K1662)*$S$5,(M1661*J1662+M1662*K1662)*$S$5-$S$6)</f>
        <v>0</v>
      </c>
      <c r="Q1662" s="12">
        <f t="shared" ref="Q1662" ca="1" si="400">P1662+Q1661</f>
        <v>-76000</v>
      </c>
      <c r="R1662" s="10">
        <f t="shared" ref="R1662" ca="1" si="401">IF(P1662=0,0,IF(O1662=0,100*P1662/O1661,100*P1662/O1662))</f>
        <v>0</v>
      </c>
      <c r="S1662" s="10">
        <f t="shared" ca="1" si="392"/>
        <v>4.3616506532107557</v>
      </c>
      <c r="T1662" s="14">
        <f t="shared" ca="1" si="393"/>
        <v>0.28647902641553669</v>
      </c>
      <c r="U1662" s="12">
        <f t="shared" ref="U1662" ca="1" si="402">IF(Q1662&gt;U1661,Q1662,U1661)</f>
        <v>141900</v>
      </c>
      <c r="V1662" s="14">
        <f t="shared" ref="V1662" ca="1" si="403">IF(U1662=0,0,100*(Q1662-U1662)/U1662)</f>
        <v>-153.55884425651868</v>
      </c>
      <c r="W1662" s="12">
        <f t="shared" ca="1" si="394"/>
        <v>0</v>
      </c>
      <c r="X1662" s="7">
        <f ca="1">AVERAGE(E1662:OFFSET(F1662,-$X$5+1,0))</f>
        <v>12829.8</v>
      </c>
      <c r="Y1662" s="7">
        <f ca="1">AVERAGE(E1662:OFFSET(F1662,-$Y$5+1,0))</f>
        <v>12649.85</v>
      </c>
      <c r="Z1662" s="7">
        <f t="shared" ca="1" si="395"/>
        <v>0</v>
      </c>
    </row>
    <row r="1663" spans="1:26">
      <c r="B1663" s="5"/>
      <c r="X1663" s="7"/>
      <c r="Y1663" s="7"/>
      <c r="Z1663" s="7"/>
    </row>
    <row r="1664" spans="1:26">
      <c r="B1664" s="5"/>
      <c r="X1664" s="7"/>
      <c r="Y1664" s="7"/>
      <c r="Z1664" s="7"/>
    </row>
    <row r="1665" spans="2:26">
      <c r="B1665" s="5"/>
      <c r="X1665" s="7"/>
      <c r="Y1665" s="7"/>
      <c r="Z1665" s="7"/>
    </row>
    <row r="1666" spans="2:26">
      <c r="B1666" s="5"/>
      <c r="X1666" s="7"/>
      <c r="Y1666" s="7"/>
      <c r="Z1666" s="7"/>
    </row>
    <row r="1667" spans="2:26">
      <c r="B1667" s="5"/>
      <c r="X1667" s="7"/>
      <c r="Y1667" s="7"/>
      <c r="Z1667" s="7"/>
    </row>
    <row r="1668" spans="2:26">
      <c r="B1668" s="5"/>
      <c r="X1668" s="7"/>
      <c r="Y1668" s="7"/>
      <c r="Z1668" s="7"/>
    </row>
    <row r="1669" spans="2:26">
      <c r="B1669" s="5"/>
      <c r="X1669" s="7"/>
      <c r="Y1669" s="7"/>
      <c r="Z1669" s="7"/>
    </row>
    <row r="1670" spans="2:26">
      <c r="B1670" s="5"/>
      <c r="X1670" s="7"/>
      <c r="Y1670" s="7"/>
      <c r="Z1670" s="7"/>
    </row>
    <row r="1671" spans="2:26">
      <c r="B1671" s="5"/>
      <c r="X1671" s="7"/>
      <c r="Y1671" s="7"/>
      <c r="Z1671" s="7"/>
    </row>
    <row r="1672" spans="2:26">
      <c r="B1672" s="5"/>
      <c r="X1672" s="7"/>
      <c r="Y1672" s="7"/>
      <c r="Z1672" s="7"/>
    </row>
    <row r="1673" spans="2:26">
      <c r="B1673" s="5"/>
      <c r="X1673" s="7"/>
      <c r="Y1673" s="7"/>
      <c r="Z1673" s="7"/>
    </row>
    <row r="1674" spans="2:26">
      <c r="B1674" s="5"/>
      <c r="X1674" s="7"/>
      <c r="Y1674" s="7"/>
      <c r="Z1674" s="7"/>
    </row>
    <row r="1675" spans="2:26">
      <c r="B1675" s="5"/>
      <c r="X1675" s="7"/>
      <c r="Y1675" s="7"/>
      <c r="Z1675" s="7"/>
    </row>
    <row r="1676" spans="2:26">
      <c r="B1676" s="5"/>
      <c r="X1676" s="7"/>
      <c r="Y1676" s="7"/>
      <c r="Z1676" s="7"/>
    </row>
    <row r="1677" spans="2:26">
      <c r="B1677" s="5"/>
      <c r="X1677" s="7"/>
      <c r="Y1677" s="7"/>
      <c r="Z1677" s="7"/>
    </row>
    <row r="1678" spans="2:26">
      <c r="B1678" s="5"/>
      <c r="X1678" s="7"/>
      <c r="Y1678" s="7"/>
      <c r="Z1678" s="7"/>
    </row>
    <row r="1679" spans="2:26">
      <c r="B1679" s="5"/>
      <c r="X1679" s="7"/>
      <c r="Y1679" s="7"/>
      <c r="Z1679" s="7"/>
    </row>
    <row r="1680" spans="2:26">
      <c r="B1680" s="5"/>
      <c r="X1680" s="7"/>
      <c r="Y1680" s="7"/>
      <c r="Z1680" s="7"/>
    </row>
    <row r="1681" spans="2:26">
      <c r="B1681" s="5"/>
      <c r="X1681" s="7"/>
      <c r="Y1681" s="7"/>
      <c r="Z1681" s="7"/>
    </row>
    <row r="1682" spans="2:26">
      <c r="B1682" s="5"/>
      <c r="X1682" s="7"/>
      <c r="Y1682" s="7"/>
      <c r="Z1682" s="7"/>
    </row>
    <row r="1683" spans="2:26">
      <c r="B1683" s="5"/>
      <c r="X1683" s="7"/>
      <c r="Y1683" s="7"/>
      <c r="Z1683" s="7"/>
    </row>
    <row r="1684" spans="2:26">
      <c r="B1684" s="5"/>
      <c r="X1684" s="7"/>
      <c r="Y1684" s="7"/>
      <c r="Z1684" s="7"/>
    </row>
    <row r="1685" spans="2:26">
      <c r="B1685" s="5"/>
      <c r="X1685" s="7"/>
      <c r="Y1685" s="7"/>
      <c r="Z1685" s="7"/>
    </row>
    <row r="1686" spans="2:26">
      <c r="B1686" s="5"/>
      <c r="X1686" s="7"/>
      <c r="Y1686" s="7"/>
      <c r="Z1686" s="7"/>
    </row>
    <row r="1687" spans="2:26">
      <c r="B1687" s="5"/>
      <c r="X1687" s="7"/>
      <c r="Y1687" s="7"/>
      <c r="Z1687" s="7"/>
    </row>
    <row r="1688" spans="2:26">
      <c r="B1688" s="5"/>
      <c r="X1688" s="7"/>
      <c r="Y1688" s="7"/>
      <c r="Z1688" s="7"/>
    </row>
    <row r="1689" spans="2:26">
      <c r="B1689" s="5"/>
      <c r="X1689" s="7"/>
      <c r="Y1689" s="7"/>
      <c r="Z1689" s="7"/>
    </row>
    <row r="1690" spans="2:26">
      <c r="B1690" s="5"/>
      <c r="X1690" s="7"/>
      <c r="Y1690" s="7"/>
      <c r="Z1690" s="7"/>
    </row>
    <row r="1691" spans="2:26">
      <c r="B1691" s="5"/>
      <c r="X1691" s="7"/>
      <c r="Y1691" s="7"/>
      <c r="Z1691" s="7"/>
    </row>
    <row r="1692" spans="2:26">
      <c r="B1692" s="5"/>
      <c r="X1692" s="7"/>
      <c r="Y1692" s="7"/>
      <c r="Z1692" s="7"/>
    </row>
    <row r="1693" spans="2:26">
      <c r="B1693" s="5"/>
      <c r="X1693" s="7"/>
      <c r="Y1693" s="7"/>
      <c r="Z1693" s="7"/>
    </row>
    <row r="1694" spans="2:26">
      <c r="B1694" s="5"/>
      <c r="X1694" s="7"/>
      <c r="Y1694" s="7"/>
      <c r="Z1694" s="7"/>
    </row>
    <row r="1695" spans="2:26">
      <c r="B1695" s="5"/>
      <c r="X1695" s="7"/>
      <c r="Y1695" s="7"/>
      <c r="Z1695" s="7"/>
    </row>
    <row r="1696" spans="2:26">
      <c r="B1696" s="5"/>
      <c r="X1696" s="7"/>
      <c r="Y1696" s="7"/>
      <c r="Z1696" s="7"/>
    </row>
    <row r="1697" spans="2:26">
      <c r="B1697" s="5"/>
      <c r="X1697" s="7"/>
      <c r="Y1697" s="7"/>
      <c r="Z1697" s="7"/>
    </row>
    <row r="1698" spans="2:26">
      <c r="B1698" s="5"/>
      <c r="X1698" s="7"/>
      <c r="Y1698" s="7"/>
      <c r="Z1698" s="7"/>
    </row>
    <row r="1699" spans="2:26">
      <c r="B1699" s="5"/>
      <c r="X1699" s="7"/>
      <c r="Y1699" s="7"/>
      <c r="Z1699" s="7"/>
    </row>
    <row r="1700" spans="2:26">
      <c r="B1700" s="5"/>
      <c r="X1700" s="7"/>
      <c r="Y1700" s="7"/>
      <c r="Z1700" s="7"/>
    </row>
    <row r="1701" spans="2:26">
      <c r="B1701" s="5"/>
      <c r="X1701" s="7"/>
      <c r="Y1701" s="7"/>
      <c r="Z1701" s="7"/>
    </row>
    <row r="1702" spans="2:26">
      <c r="B1702" s="5"/>
      <c r="X1702" s="7"/>
      <c r="Y1702" s="7"/>
      <c r="Z1702" s="7"/>
    </row>
    <row r="1703" spans="2:26">
      <c r="B1703" s="5"/>
      <c r="X1703" s="7"/>
      <c r="Y1703" s="7"/>
      <c r="Z1703" s="7"/>
    </row>
    <row r="1704" spans="2:26">
      <c r="B1704" s="5"/>
      <c r="X1704" s="7"/>
      <c r="Y1704" s="7"/>
      <c r="Z1704" s="7"/>
    </row>
    <row r="1705" spans="2:26">
      <c r="B1705" s="5"/>
      <c r="X1705" s="7"/>
      <c r="Y1705" s="7"/>
      <c r="Z1705" s="7"/>
    </row>
    <row r="1706" spans="2:26">
      <c r="B1706" s="5"/>
      <c r="X1706" s="7"/>
      <c r="Y1706" s="7"/>
      <c r="Z1706" s="7"/>
    </row>
    <row r="1707" spans="2:26">
      <c r="B1707" s="5"/>
      <c r="X1707" s="7"/>
      <c r="Y1707" s="7"/>
      <c r="Z1707" s="7"/>
    </row>
    <row r="1708" spans="2:26">
      <c r="B1708" s="5"/>
      <c r="X1708" s="7"/>
      <c r="Y1708" s="7"/>
      <c r="Z1708" s="7"/>
    </row>
    <row r="1709" spans="2:26">
      <c r="B1709" s="5"/>
      <c r="X1709" s="7"/>
      <c r="Y1709" s="7"/>
      <c r="Z1709" s="7"/>
    </row>
    <row r="1710" spans="2:26">
      <c r="B1710" s="5"/>
      <c r="X1710" s="7"/>
      <c r="Y1710" s="7"/>
      <c r="Z1710" s="7"/>
    </row>
    <row r="1711" spans="2:26">
      <c r="B1711" s="5"/>
      <c r="X1711" s="7"/>
      <c r="Y1711" s="7"/>
      <c r="Z1711" s="7"/>
    </row>
    <row r="1712" spans="2:26">
      <c r="B1712" s="5"/>
      <c r="X1712" s="7"/>
      <c r="Y1712" s="7"/>
      <c r="Z1712" s="7"/>
    </row>
    <row r="1713" spans="2:26">
      <c r="B1713" s="5"/>
      <c r="X1713" s="7"/>
      <c r="Y1713" s="7"/>
      <c r="Z1713" s="7"/>
    </row>
    <row r="1714" spans="2:26">
      <c r="B1714" s="5"/>
      <c r="X1714" s="7"/>
      <c r="Y1714" s="7"/>
      <c r="Z1714" s="7"/>
    </row>
    <row r="1715" spans="2:26">
      <c r="B1715" s="5"/>
      <c r="X1715" s="7"/>
      <c r="Y1715" s="7"/>
      <c r="Z1715" s="7"/>
    </row>
    <row r="1716" spans="2:26">
      <c r="B1716" s="5"/>
      <c r="X1716" s="7"/>
      <c r="Y1716" s="7"/>
      <c r="Z1716" s="7"/>
    </row>
    <row r="1717" spans="2:26">
      <c r="B1717" s="5"/>
      <c r="X1717" s="7"/>
      <c r="Y1717" s="7"/>
      <c r="Z1717" s="7"/>
    </row>
    <row r="1718" spans="2:26">
      <c r="B1718" s="5"/>
      <c r="X1718" s="7"/>
      <c r="Y1718" s="7"/>
      <c r="Z1718" s="7"/>
    </row>
    <row r="1719" spans="2:26">
      <c r="B1719" s="5"/>
      <c r="X1719" s="7"/>
      <c r="Y1719" s="7"/>
      <c r="Z1719" s="7"/>
    </row>
    <row r="1720" spans="2:26">
      <c r="B1720" s="5"/>
      <c r="X1720" s="7"/>
      <c r="Y1720" s="7"/>
      <c r="Z1720" s="7"/>
    </row>
    <row r="1721" spans="2:26">
      <c r="B1721" s="5"/>
      <c r="X1721" s="7"/>
      <c r="Y1721" s="7"/>
      <c r="Z1721" s="7"/>
    </row>
    <row r="1722" spans="2:26">
      <c r="B1722" s="5"/>
      <c r="X1722" s="7"/>
      <c r="Y1722" s="7"/>
      <c r="Z1722" s="7"/>
    </row>
    <row r="1723" spans="2:26">
      <c r="B1723" s="5"/>
      <c r="X1723" s="7"/>
      <c r="Y1723" s="7"/>
      <c r="Z1723" s="7"/>
    </row>
    <row r="1724" spans="2:26">
      <c r="B1724" s="5"/>
      <c r="X1724" s="7"/>
      <c r="Y1724" s="7"/>
      <c r="Z1724" s="7"/>
    </row>
    <row r="1725" spans="2:26">
      <c r="B1725" s="5"/>
      <c r="X1725" s="7"/>
      <c r="Y1725" s="7"/>
      <c r="Z1725" s="7"/>
    </row>
    <row r="1726" spans="2:26">
      <c r="B1726" s="5"/>
      <c r="X1726" s="7"/>
      <c r="Y1726" s="7"/>
      <c r="Z1726" s="7"/>
    </row>
    <row r="1727" spans="2:26">
      <c r="B1727" s="5"/>
      <c r="X1727" s="7"/>
      <c r="Y1727" s="7"/>
      <c r="Z1727" s="7"/>
    </row>
    <row r="1728" spans="2:26">
      <c r="B1728" s="5"/>
      <c r="X1728" s="7"/>
      <c r="Y1728" s="7"/>
      <c r="Z1728" s="7"/>
    </row>
    <row r="1729" spans="2:26">
      <c r="B1729" s="5"/>
      <c r="X1729" s="7"/>
      <c r="Y1729" s="7"/>
      <c r="Z1729" s="7"/>
    </row>
    <row r="1730" spans="2:26">
      <c r="B1730" s="5"/>
      <c r="X1730" s="7"/>
      <c r="Y1730" s="7"/>
      <c r="Z1730" s="7"/>
    </row>
    <row r="1731" spans="2:26">
      <c r="B1731" s="5"/>
      <c r="X1731" s="7"/>
      <c r="Y1731" s="7"/>
      <c r="Z1731" s="7"/>
    </row>
    <row r="1732" spans="2:26">
      <c r="B1732" s="5"/>
      <c r="X1732" s="7"/>
      <c r="Y1732" s="7"/>
      <c r="Z1732" s="7"/>
    </row>
    <row r="1733" spans="2:26">
      <c r="B1733" s="5"/>
      <c r="X1733" s="7"/>
      <c r="Y1733" s="7"/>
      <c r="Z1733" s="7"/>
    </row>
    <row r="1734" spans="2:26">
      <c r="B1734" s="5"/>
      <c r="X1734" s="7"/>
      <c r="Y1734" s="7"/>
      <c r="Z1734" s="7"/>
    </row>
    <row r="1735" spans="2:26">
      <c r="B1735" s="5"/>
      <c r="X1735" s="7"/>
      <c r="Y1735" s="7"/>
      <c r="Z1735" s="7"/>
    </row>
    <row r="1736" spans="2:26">
      <c r="B1736" s="5"/>
      <c r="X1736" s="7"/>
      <c r="Y1736" s="7"/>
      <c r="Z1736" s="7"/>
    </row>
    <row r="1737" spans="2:26">
      <c r="B1737" s="5"/>
      <c r="X1737" s="7"/>
      <c r="Y1737" s="7"/>
      <c r="Z1737" s="7"/>
    </row>
    <row r="1738" spans="2:26">
      <c r="B1738" s="5"/>
      <c r="X1738" s="7"/>
      <c r="Y1738" s="7"/>
      <c r="Z1738" s="7"/>
    </row>
    <row r="1739" spans="2:26">
      <c r="B1739" s="5"/>
      <c r="X1739" s="7"/>
      <c r="Y1739" s="7"/>
      <c r="Z1739" s="7"/>
    </row>
    <row r="1740" spans="2:26">
      <c r="B1740" s="5"/>
      <c r="X1740" s="7"/>
      <c r="Y1740" s="7"/>
      <c r="Z1740" s="7"/>
    </row>
    <row r="1741" spans="2:26">
      <c r="B1741" s="5"/>
      <c r="X1741" s="7"/>
      <c r="Y1741" s="7"/>
      <c r="Z1741" s="7"/>
    </row>
    <row r="1742" spans="2:26">
      <c r="B1742" s="5"/>
      <c r="X1742" s="7"/>
      <c r="Y1742" s="7"/>
      <c r="Z1742" s="7"/>
    </row>
    <row r="1743" spans="2:26">
      <c r="B1743" s="5"/>
      <c r="X1743" s="7"/>
      <c r="Y1743" s="7"/>
      <c r="Z1743" s="7"/>
    </row>
    <row r="1744" spans="2:26">
      <c r="B1744" s="5"/>
      <c r="X1744" s="7"/>
      <c r="Y1744" s="7"/>
      <c r="Z1744" s="7"/>
    </row>
    <row r="1745" spans="2:26">
      <c r="B1745" s="5"/>
      <c r="X1745" s="7"/>
      <c r="Y1745" s="7"/>
      <c r="Z1745" s="7"/>
    </row>
    <row r="1746" spans="2:26">
      <c r="B1746" s="5"/>
      <c r="X1746" s="7"/>
      <c r="Y1746" s="7"/>
      <c r="Z1746" s="7"/>
    </row>
    <row r="1747" spans="2:26">
      <c r="B1747" s="5"/>
      <c r="X1747" s="7"/>
      <c r="Y1747" s="7"/>
      <c r="Z1747" s="7"/>
    </row>
    <row r="1748" spans="2:26">
      <c r="B1748" s="5"/>
      <c r="X1748" s="7"/>
      <c r="Y1748" s="7"/>
      <c r="Z1748" s="7"/>
    </row>
    <row r="1749" spans="2:26">
      <c r="B1749" s="5"/>
      <c r="X1749" s="7"/>
      <c r="Y1749" s="7"/>
      <c r="Z1749" s="7"/>
    </row>
    <row r="1750" spans="2:26">
      <c r="B1750" s="5"/>
      <c r="X1750" s="7"/>
      <c r="Y1750" s="7"/>
      <c r="Z1750" s="7"/>
    </row>
    <row r="1751" spans="2:26">
      <c r="B1751" s="5"/>
      <c r="X1751" s="7"/>
      <c r="Y1751" s="7"/>
      <c r="Z1751" s="7"/>
    </row>
    <row r="1752" spans="2:26">
      <c r="B1752" s="5"/>
      <c r="X1752" s="7"/>
      <c r="Y1752" s="7"/>
      <c r="Z1752" s="7"/>
    </row>
    <row r="1753" spans="2:26">
      <c r="B1753" s="5"/>
      <c r="X1753" s="7"/>
      <c r="Y1753" s="7"/>
      <c r="Z1753" s="7"/>
    </row>
    <row r="1754" spans="2:26">
      <c r="B1754" s="5"/>
      <c r="X1754" s="7"/>
      <c r="Y1754" s="7"/>
      <c r="Z1754" s="7"/>
    </row>
    <row r="1755" spans="2:26">
      <c r="B1755" s="5"/>
      <c r="X1755" s="7"/>
      <c r="Y1755" s="7"/>
      <c r="Z1755" s="7"/>
    </row>
    <row r="1756" spans="2:26">
      <c r="B1756" s="5"/>
      <c r="X1756" s="7"/>
      <c r="Y1756" s="7"/>
      <c r="Z1756" s="7"/>
    </row>
    <row r="1757" spans="2:26">
      <c r="B1757" s="5"/>
      <c r="X1757" s="7"/>
      <c r="Y1757" s="7"/>
      <c r="Z1757" s="7"/>
    </row>
    <row r="1758" spans="2:26">
      <c r="B1758" s="5"/>
      <c r="X1758" s="7"/>
      <c r="Y1758" s="7"/>
      <c r="Z1758" s="7"/>
    </row>
    <row r="1759" spans="2:26">
      <c r="B1759" s="5"/>
      <c r="X1759" s="7"/>
      <c r="Y1759" s="7"/>
      <c r="Z1759" s="7"/>
    </row>
    <row r="1760" spans="2:26">
      <c r="B1760" s="5"/>
      <c r="X1760" s="7"/>
      <c r="Y1760" s="7"/>
      <c r="Z1760" s="7"/>
    </row>
    <row r="1761" spans="2:26">
      <c r="B1761" s="5"/>
      <c r="X1761" s="7"/>
      <c r="Y1761" s="7"/>
      <c r="Z1761" s="7"/>
    </row>
    <row r="1762" spans="2:26">
      <c r="B1762" s="5"/>
      <c r="X1762" s="7"/>
      <c r="Y1762" s="7"/>
      <c r="Z1762" s="7"/>
    </row>
    <row r="1763" spans="2:26">
      <c r="B1763" s="5"/>
      <c r="X1763" s="7"/>
      <c r="Y1763" s="7"/>
      <c r="Z1763" s="7"/>
    </row>
    <row r="1764" spans="2:26">
      <c r="B1764" s="5"/>
      <c r="X1764" s="7"/>
      <c r="Y1764" s="7"/>
      <c r="Z1764" s="7"/>
    </row>
    <row r="1765" spans="2:26">
      <c r="B1765" s="5"/>
      <c r="X1765" s="7"/>
      <c r="Y1765" s="7"/>
      <c r="Z1765" s="7"/>
    </row>
    <row r="1766" spans="2:26">
      <c r="B1766" s="5"/>
      <c r="X1766" s="7"/>
      <c r="Y1766" s="7"/>
      <c r="Z1766" s="7"/>
    </row>
    <row r="1767" spans="2:26">
      <c r="B1767" s="5"/>
      <c r="X1767" s="7"/>
      <c r="Y1767" s="7"/>
      <c r="Z1767" s="7"/>
    </row>
    <row r="1768" spans="2:26">
      <c r="B1768" s="5"/>
      <c r="X1768" s="7"/>
      <c r="Y1768" s="7"/>
      <c r="Z1768" s="7"/>
    </row>
    <row r="1769" spans="2:26">
      <c r="B1769" s="5"/>
      <c r="X1769" s="7"/>
      <c r="Y1769" s="7"/>
      <c r="Z1769" s="7"/>
    </row>
    <row r="1770" spans="2:26">
      <c r="B1770" s="5"/>
      <c r="X1770" s="7"/>
      <c r="Y1770" s="7"/>
      <c r="Z1770" s="7"/>
    </row>
    <row r="1771" spans="2:26">
      <c r="B1771" s="5"/>
      <c r="X1771" s="7"/>
      <c r="Y1771" s="7"/>
      <c r="Z1771" s="7"/>
    </row>
    <row r="1772" spans="2:26">
      <c r="B1772" s="5"/>
      <c r="X1772" s="7"/>
      <c r="Y1772" s="7"/>
      <c r="Z1772" s="7"/>
    </row>
    <row r="1773" spans="2:26">
      <c r="B1773" s="5"/>
      <c r="X1773" s="7"/>
      <c r="Y1773" s="7"/>
      <c r="Z1773" s="7"/>
    </row>
    <row r="1774" spans="2:26">
      <c r="B1774" s="5"/>
      <c r="X1774" s="7"/>
      <c r="Y1774" s="7"/>
      <c r="Z1774" s="7"/>
    </row>
  </sheetData>
  <mergeCells count="13">
    <mergeCell ref="R4:T4"/>
    <mergeCell ref="X1:Z1"/>
    <mergeCell ref="J1:S1"/>
    <mergeCell ref="A1:H1"/>
    <mergeCell ref="U4:W4"/>
    <mergeCell ref="AC7:AD7"/>
    <mergeCell ref="AC9:AD9"/>
    <mergeCell ref="AA51:AB51"/>
    <mergeCell ref="AA1:AD1"/>
    <mergeCell ref="AA2:AB2"/>
    <mergeCell ref="AC2:AD2"/>
    <mergeCell ref="AC3:AD3"/>
    <mergeCell ref="AC5:AD5"/>
  </mergeCells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xMA">
                <anchor moveWithCells="1" sizeWithCells="1">
                  <from>
                    <xdr:col>26</xdr:col>
                    <xdr:colOff>28575</xdr:colOff>
                    <xdr:row>5</xdr:row>
                    <xdr:rowOff>76200</xdr:rowOff>
                  </from>
                  <to>
                    <xdr:col>27</xdr:col>
                    <xdr:colOff>647700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10"/>
  <sheetViews>
    <sheetView workbookViewId="0">
      <selection activeCell="C10" sqref="C10"/>
    </sheetView>
  </sheetViews>
  <sheetFormatPr defaultRowHeight="16.5"/>
  <cols>
    <col min="1" max="1" width="9" style="1"/>
  </cols>
  <sheetData>
    <row r="1" spans="1:3">
      <c r="A1" s="1">
        <v>-3</v>
      </c>
      <c r="B1">
        <f>IF(A1&gt;0,1,0)</f>
        <v>0</v>
      </c>
      <c r="C1">
        <f>IF(A1&gt;0,1,IF(A1&lt;0,-1,0))</f>
        <v>-1</v>
      </c>
    </row>
    <row r="2" spans="1:3">
      <c r="A2" s="1">
        <v>-8</v>
      </c>
      <c r="B2">
        <f t="shared" ref="B2:B10" si="0">IF(A2&gt;0,1,0)</f>
        <v>0</v>
      </c>
      <c r="C2">
        <f t="shared" ref="C2:C10" si="1">IF(A2&gt;0,1,IF(A2&lt;0,-1,0))</f>
        <v>-1</v>
      </c>
    </row>
    <row r="3" spans="1:3">
      <c r="A3" s="1">
        <v>2</v>
      </c>
      <c r="B3">
        <f t="shared" si="0"/>
        <v>1</v>
      </c>
      <c r="C3">
        <f t="shared" si="1"/>
        <v>1</v>
      </c>
    </row>
    <row r="4" spans="1:3">
      <c r="A4" s="1">
        <v>0</v>
      </c>
      <c r="B4">
        <f t="shared" si="0"/>
        <v>0</v>
      </c>
      <c r="C4">
        <f t="shared" si="1"/>
        <v>0</v>
      </c>
    </row>
    <row r="5" spans="1:3">
      <c r="A5" s="1">
        <v>2</v>
      </c>
      <c r="B5">
        <f t="shared" si="0"/>
        <v>1</v>
      </c>
      <c r="C5">
        <f t="shared" si="1"/>
        <v>1</v>
      </c>
    </row>
    <row r="6" spans="1:3">
      <c r="A6" s="1">
        <v>-5</v>
      </c>
      <c r="B6">
        <f t="shared" si="0"/>
        <v>0</v>
      </c>
      <c r="C6">
        <f t="shared" si="1"/>
        <v>-1</v>
      </c>
    </row>
    <row r="7" spans="1:3">
      <c r="A7" s="1">
        <v>2</v>
      </c>
      <c r="B7">
        <f t="shared" si="0"/>
        <v>1</v>
      </c>
      <c r="C7">
        <f t="shared" si="1"/>
        <v>1</v>
      </c>
    </row>
    <row r="8" spans="1:3">
      <c r="A8" s="1">
        <v>8</v>
      </c>
      <c r="B8">
        <f t="shared" si="0"/>
        <v>1</v>
      </c>
      <c r="C8">
        <f t="shared" si="1"/>
        <v>1</v>
      </c>
    </row>
    <row r="9" spans="1:3">
      <c r="A9" s="1">
        <v>-1</v>
      </c>
      <c r="B9">
        <f t="shared" si="0"/>
        <v>0</v>
      </c>
      <c r="C9">
        <f t="shared" si="1"/>
        <v>-1</v>
      </c>
    </row>
    <row r="10" spans="1:3">
      <c r="A10" s="1">
        <v>10</v>
      </c>
      <c r="B10">
        <f t="shared" si="0"/>
        <v>1</v>
      </c>
      <c r="C10">
        <f t="shared" si="1"/>
        <v>1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回測系統</vt:lpstr>
      <vt:lpstr>工作表1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李宗儒</dc:creator>
  <cp:lastModifiedBy>Windows 使用者</cp:lastModifiedBy>
  <dcterms:created xsi:type="dcterms:W3CDTF">2020-09-09T13:11:14Z</dcterms:created>
  <dcterms:modified xsi:type="dcterms:W3CDTF">2020-10-22T07:32:59Z</dcterms:modified>
</cp:coreProperties>
</file>